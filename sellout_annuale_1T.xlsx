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ilip\Desktop\report\sell_out\"/>
    </mc:Choice>
  </mc:AlternateContent>
  <xr:revisionPtr revIDLastSave="0" documentId="13_ncr:1_{C93C421A-1635-4EAE-A706-BF61788A600D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ds_ALL_MP" sheetId="1" state="hidden" r:id="rId1"/>
    <sheet name="ds_IT" sheetId="4" state="hidden" r:id="rId2"/>
    <sheet name="pivot_ALL_MP" sheetId="2" state="hidden" r:id="rId3"/>
    <sheet name="pivot_IT" sheetId="5" state="hidden" r:id="rId4"/>
    <sheet name="analisi_ALL_MP" sheetId="3" r:id="rId5"/>
    <sheet name="analisi_IT" sheetId="6" r:id="rId6"/>
    <sheet name="analisi_ESTERO" sheetId="7" r:id="rId7"/>
    <sheet name="RIEPILOGATIVO" sheetId="8" r:id="rId8"/>
  </sheets>
  <externalReferences>
    <externalReference r:id="rId9"/>
    <externalReference r:id="rId10"/>
    <externalReference r:id="rId11"/>
  </externalReferences>
  <definedNames>
    <definedName name="_xlnm._FilterDatabase" localSheetId="4" hidden="1">analisi_ALL_MP!$A$1:$N$386</definedName>
    <definedName name="_xlnm._FilterDatabase" localSheetId="6" hidden="1">analisi_ESTERO!$A$1:$N$387</definedName>
    <definedName name="_xlnm._FilterDatabase" localSheetId="5" hidden="1">analisi_IT!$A$1:$N$391</definedName>
  </definedNames>
  <calcPr calcId="191029"/>
  <pivotCaches>
    <pivotCache cacheId="4" r:id="rId12"/>
    <pivotCache cacheId="5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8" l="1"/>
  <c r="M4" i="8" s="1"/>
  <c r="N4" i="8" s="1"/>
  <c r="H4" i="8"/>
  <c r="L4" i="8" s="1"/>
  <c r="M3" i="8"/>
  <c r="N3" i="8" s="1"/>
  <c r="L3" i="8"/>
  <c r="G3" i="8"/>
  <c r="G2" i="8"/>
  <c r="L2" i="8"/>
  <c r="M2" i="8"/>
  <c r="N2" i="8" s="1"/>
  <c r="M391" i="6"/>
  <c r="H387" i="7"/>
  <c r="L387" i="7" s="1"/>
  <c r="I387" i="7"/>
  <c r="G387" i="7" s="1"/>
  <c r="I386" i="7"/>
  <c r="M386" i="7" s="1"/>
  <c r="I3" i="7"/>
  <c r="M3" i="7" s="1"/>
  <c r="N3" i="7" s="1"/>
  <c r="I4" i="7"/>
  <c r="G4" i="7" s="1"/>
  <c r="I5" i="7"/>
  <c r="I6" i="7"/>
  <c r="M6" i="7" s="1"/>
  <c r="N6" i="7" s="1"/>
  <c r="I7" i="7"/>
  <c r="I8" i="7"/>
  <c r="M8" i="7" s="1"/>
  <c r="N8" i="7" s="1"/>
  <c r="I9" i="7"/>
  <c r="G9" i="7" s="1"/>
  <c r="I10" i="7"/>
  <c r="G10" i="7" s="1"/>
  <c r="I11" i="7"/>
  <c r="M11" i="7" s="1"/>
  <c r="N11" i="7" s="1"/>
  <c r="I12" i="7"/>
  <c r="I13" i="7"/>
  <c r="G13" i="7" s="1"/>
  <c r="I14" i="7"/>
  <c r="M14" i="7" s="1"/>
  <c r="N14" i="7" s="1"/>
  <c r="I15" i="7"/>
  <c r="G15" i="7" s="1"/>
  <c r="I16" i="7"/>
  <c r="G16" i="7" s="1"/>
  <c r="I17" i="7"/>
  <c r="M17" i="7" s="1"/>
  <c r="N17" i="7" s="1"/>
  <c r="I18" i="7"/>
  <c r="G18" i="7" s="1"/>
  <c r="I19" i="7"/>
  <c r="M19" i="7" s="1"/>
  <c r="N19" i="7" s="1"/>
  <c r="I20" i="7"/>
  <c r="I21" i="7"/>
  <c r="G21" i="7" s="1"/>
  <c r="I22" i="7"/>
  <c r="I23" i="7"/>
  <c r="I24" i="7"/>
  <c r="I25" i="7"/>
  <c r="M25" i="7" s="1"/>
  <c r="N25" i="7" s="1"/>
  <c r="I26" i="7"/>
  <c r="G26" i="7" s="1"/>
  <c r="I27" i="7"/>
  <c r="M27" i="7" s="1"/>
  <c r="N27" i="7" s="1"/>
  <c r="I28" i="7"/>
  <c r="I29" i="7"/>
  <c r="I30" i="7"/>
  <c r="I31" i="7"/>
  <c r="I32" i="7"/>
  <c r="G32" i="7" s="1"/>
  <c r="I33" i="7"/>
  <c r="M33" i="7" s="1"/>
  <c r="N33" i="7" s="1"/>
  <c r="I34" i="7"/>
  <c r="M34" i="7" s="1"/>
  <c r="N34" i="7" s="1"/>
  <c r="I35" i="7"/>
  <c r="M35" i="7" s="1"/>
  <c r="N35" i="7" s="1"/>
  <c r="I36" i="7"/>
  <c r="G36" i="7" s="1"/>
  <c r="I37" i="7"/>
  <c r="G37" i="7" s="1"/>
  <c r="I38" i="7"/>
  <c r="I39" i="7"/>
  <c r="M39" i="7" s="1"/>
  <c r="N39" i="7" s="1"/>
  <c r="I40" i="7"/>
  <c r="G40" i="7" s="1"/>
  <c r="I41" i="7"/>
  <c r="G41" i="7" s="1"/>
  <c r="I42" i="7"/>
  <c r="G42" i="7" s="1"/>
  <c r="I43" i="7"/>
  <c r="M43" i="7" s="1"/>
  <c r="N43" i="7" s="1"/>
  <c r="I44" i="7"/>
  <c r="G44" i="7" s="1"/>
  <c r="I45" i="7"/>
  <c r="I46" i="7"/>
  <c r="M46" i="7" s="1"/>
  <c r="N46" i="7" s="1"/>
  <c r="I47" i="7"/>
  <c r="I48" i="7"/>
  <c r="G48" i="7" s="1"/>
  <c r="I49" i="7"/>
  <c r="M49" i="7" s="1"/>
  <c r="N49" i="7" s="1"/>
  <c r="I50" i="7"/>
  <c r="M50" i="7" s="1"/>
  <c r="N50" i="7" s="1"/>
  <c r="I51" i="7"/>
  <c r="M51" i="7" s="1"/>
  <c r="N51" i="7" s="1"/>
  <c r="I52" i="7"/>
  <c r="I53" i="7"/>
  <c r="G53" i="7" s="1"/>
  <c r="I54" i="7"/>
  <c r="M54" i="7" s="1"/>
  <c r="I55" i="7"/>
  <c r="I56" i="7"/>
  <c r="I57" i="7"/>
  <c r="G57" i="7" s="1"/>
  <c r="I58" i="7"/>
  <c r="G58" i="7" s="1"/>
  <c r="I59" i="7"/>
  <c r="M59" i="7" s="1"/>
  <c r="N59" i="7" s="1"/>
  <c r="I60" i="7"/>
  <c r="I61" i="7"/>
  <c r="I62" i="7"/>
  <c r="I63" i="7"/>
  <c r="I64" i="7"/>
  <c r="I65" i="7"/>
  <c r="M65" i="7" s="1"/>
  <c r="N65" i="7" s="1"/>
  <c r="I66" i="7"/>
  <c r="G66" i="7" s="1"/>
  <c r="I67" i="7"/>
  <c r="M67" i="7" s="1"/>
  <c r="N67" i="7" s="1"/>
  <c r="I68" i="7"/>
  <c r="G68" i="7" s="1"/>
  <c r="I69" i="7"/>
  <c r="I70" i="7"/>
  <c r="I71" i="7"/>
  <c r="M71" i="7" s="1"/>
  <c r="N71" i="7" s="1"/>
  <c r="I72" i="7"/>
  <c r="M72" i="7" s="1"/>
  <c r="N72" i="7" s="1"/>
  <c r="I73" i="7"/>
  <c r="G73" i="7" s="1"/>
  <c r="I74" i="7"/>
  <c r="G74" i="7" s="1"/>
  <c r="I75" i="7"/>
  <c r="M75" i="7" s="1"/>
  <c r="N75" i="7" s="1"/>
  <c r="I76" i="7"/>
  <c r="I77" i="7"/>
  <c r="G77" i="7" s="1"/>
  <c r="I78" i="7"/>
  <c r="M78" i="7" s="1"/>
  <c r="N78" i="7" s="1"/>
  <c r="I79" i="7"/>
  <c r="G79" i="7" s="1"/>
  <c r="I80" i="7"/>
  <c r="I81" i="7"/>
  <c r="G81" i="7" s="1"/>
  <c r="I82" i="7"/>
  <c r="G82" i="7" s="1"/>
  <c r="I83" i="7"/>
  <c r="M83" i="7" s="1"/>
  <c r="N83" i="7" s="1"/>
  <c r="I84" i="7"/>
  <c r="I85" i="7"/>
  <c r="I86" i="7"/>
  <c r="M86" i="7" s="1"/>
  <c r="N86" i="7" s="1"/>
  <c r="I87" i="7"/>
  <c r="M87" i="7" s="1"/>
  <c r="N87" i="7" s="1"/>
  <c r="I88" i="7"/>
  <c r="I89" i="7"/>
  <c r="G89" i="7" s="1"/>
  <c r="I90" i="7"/>
  <c r="M90" i="7" s="1"/>
  <c r="N90" i="7" s="1"/>
  <c r="I91" i="7"/>
  <c r="M91" i="7" s="1"/>
  <c r="N91" i="7" s="1"/>
  <c r="I92" i="7"/>
  <c r="G92" i="7" s="1"/>
  <c r="I93" i="7"/>
  <c r="I94" i="7"/>
  <c r="M94" i="7" s="1"/>
  <c r="N94" i="7" s="1"/>
  <c r="I95" i="7"/>
  <c r="I96" i="7"/>
  <c r="M96" i="7" s="1"/>
  <c r="I97" i="7"/>
  <c r="G97" i="7" s="1"/>
  <c r="I98" i="7"/>
  <c r="M98" i="7" s="1"/>
  <c r="N98" i="7" s="1"/>
  <c r="I99" i="7"/>
  <c r="M99" i="7" s="1"/>
  <c r="N99" i="7" s="1"/>
  <c r="I100" i="7"/>
  <c r="I101" i="7"/>
  <c r="G101" i="7" s="1"/>
  <c r="I102" i="7"/>
  <c r="M102" i="7" s="1"/>
  <c r="N102" i="7" s="1"/>
  <c r="I103" i="7"/>
  <c r="I104" i="7"/>
  <c r="I105" i="7"/>
  <c r="G105" i="7" s="1"/>
  <c r="I106" i="7"/>
  <c r="G106" i="7" s="1"/>
  <c r="I107" i="7"/>
  <c r="M107" i="7" s="1"/>
  <c r="N107" i="7" s="1"/>
  <c r="I108" i="7"/>
  <c r="G108" i="7" s="1"/>
  <c r="I109" i="7"/>
  <c r="G109" i="7" s="1"/>
  <c r="I110" i="7"/>
  <c r="M110" i="7" s="1"/>
  <c r="N110" i="7" s="1"/>
  <c r="I111" i="7"/>
  <c r="M111" i="7" s="1"/>
  <c r="N111" i="7" s="1"/>
  <c r="I112" i="7"/>
  <c r="G112" i="7" s="1"/>
  <c r="I113" i="7"/>
  <c r="M113" i="7" s="1"/>
  <c r="N113" i="7" s="1"/>
  <c r="I114" i="7"/>
  <c r="M114" i="7" s="1"/>
  <c r="N114" i="7" s="1"/>
  <c r="I115" i="7"/>
  <c r="M115" i="7" s="1"/>
  <c r="N115" i="7" s="1"/>
  <c r="I116" i="7"/>
  <c r="I117" i="7"/>
  <c r="G117" i="7" s="1"/>
  <c r="I118" i="7"/>
  <c r="M118" i="7" s="1"/>
  <c r="N118" i="7" s="1"/>
  <c r="I119" i="7"/>
  <c r="I120" i="7"/>
  <c r="M120" i="7" s="1"/>
  <c r="N120" i="7" s="1"/>
  <c r="I121" i="7"/>
  <c r="M121" i="7" s="1"/>
  <c r="N121" i="7" s="1"/>
  <c r="I122" i="7"/>
  <c r="G122" i="7" s="1"/>
  <c r="I123" i="7"/>
  <c r="M123" i="7" s="1"/>
  <c r="N123" i="7" s="1"/>
  <c r="I124" i="7"/>
  <c r="G124" i="7" s="1"/>
  <c r="I125" i="7"/>
  <c r="I126" i="7"/>
  <c r="I127" i="7"/>
  <c r="I128" i="7"/>
  <c r="M128" i="7" s="1"/>
  <c r="N128" i="7" s="1"/>
  <c r="I129" i="7"/>
  <c r="M129" i="7" s="1"/>
  <c r="N129" i="7" s="1"/>
  <c r="I130" i="7"/>
  <c r="M130" i="7" s="1"/>
  <c r="I131" i="7"/>
  <c r="M131" i="7" s="1"/>
  <c r="N131" i="7" s="1"/>
  <c r="I132" i="7"/>
  <c r="G132" i="7" s="1"/>
  <c r="I133" i="7"/>
  <c r="I134" i="7"/>
  <c r="M134" i="7" s="1"/>
  <c r="N134" i="7" s="1"/>
  <c r="I135" i="7"/>
  <c r="M135" i="7" s="1"/>
  <c r="N135" i="7" s="1"/>
  <c r="I136" i="7"/>
  <c r="M136" i="7" s="1"/>
  <c r="N136" i="7" s="1"/>
  <c r="I137" i="7"/>
  <c r="G137" i="7" s="1"/>
  <c r="I138" i="7"/>
  <c r="G138" i="7" s="1"/>
  <c r="I139" i="7"/>
  <c r="M139" i="7" s="1"/>
  <c r="N139" i="7" s="1"/>
  <c r="I140" i="7"/>
  <c r="I141" i="7"/>
  <c r="G141" i="7" s="1"/>
  <c r="I142" i="7"/>
  <c r="M142" i="7" s="1"/>
  <c r="N142" i="7" s="1"/>
  <c r="I143" i="7"/>
  <c r="M143" i="7" s="1"/>
  <c r="N143" i="7" s="1"/>
  <c r="I144" i="7"/>
  <c r="M144" i="7" s="1"/>
  <c r="N144" i="7" s="1"/>
  <c r="I145" i="7"/>
  <c r="G145" i="7" s="1"/>
  <c r="I146" i="7"/>
  <c r="M146" i="7" s="1"/>
  <c r="N146" i="7" s="1"/>
  <c r="I147" i="7"/>
  <c r="M147" i="7" s="1"/>
  <c r="N147" i="7" s="1"/>
  <c r="I148" i="7"/>
  <c r="G148" i="7" s="1"/>
  <c r="I149" i="7"/>
  <c r="G149" i="7" s="1"/>
  <c r="I150" i="7"/>
  <c r="M150" i="7" s="1"/>
  <c r="N150" i="7" s="1"/>
  <c r="I151" i="7"/>
  <c r="M151" i="7" s="1"/>
  <c r="N151" i="7" s="1"/>
  <c r="I152" i="7"/>
  <c r="I153" i="7"/>
  <c r="M153" i="7" s="1"/>
  <c r="N153" i="7" s="1"/>
  <c r="I154" i="7"/>
  <c r="G154" i="7" s="1"/>
  <c r="I155" i="7"/>
  <c r="M155" i="7" s="1"/>
  <c r="N155" i="7" s="1"/>
  <c r="I156" i="7"/>
  <c r="I157" i="7"/>
  <c r="I158" i="7"/>
  <c r="M158" i="7" s="1"/>
  <c r="N158" i="7" s="1"/>
  <c r="I159" i="7"/>
  <c r="I160" i="7"/>
  <c r="G160" i="7" s="1"/>
  <c r="I161" i="7"/>
  <c r="M161" i="7" s="1"/>
  <c r="N161" i="7" s="1"/>
  <c r="I162" i="7"/>
  <c r="M162" i="7" s="1"/>
  <c r="N162" i="7" s="1"/>
  <c r="I163" i="7"/>
  <c r="M163" i="7" s="1"/>
  <c r="N163" i="7" s="1"/>
  <c r="I164" i="7"/>
  <c r="G164" i="7" s="1"/>
  <c r="I165" i="7"/>
  <c r="I166" i="7"/>
  <c r="M166" i="7" s="1"/>
  <c r="I167" i="7"/>
  <c r="I168" i="7"/>
  <c r="M168" i="7" s="1"/>
  <c r="I169" i="7"/>
  <c r="M169" i="7" s="1"/>
  <c r="I170" i="7"/>
  <c r="G170" i="7" s="1"/>
  <c r="I171" i="7"/>
  <c r="M171" i="7" s="1"/>
  <c r="I172" i="7"/>
  <c r="G172" i="7" s="1"/>
  <c r="I173" i="7"/>
  <c r="I174" i="7"/>
  <c r="M174" i="7" s="1"/>
  <c r="I175" i="7"/>
  <c r="M175" i="7" s="1"/>
  <c r="N175" i="7" s="1"/>
  <c r="I176" i="7"/>
  <c r="G176" i="7" s="1"/>
  <c r="I177" i="7"/>
  <c r="M177" i="7" s="1"/>
  <c r="N177" i="7" s="1"/>
  <c r="I178" i="7"/>
  <c r="G178" i="7" s="1"/>
  <c r="I179" i="7"/>
  <c r="M179" i="7" s="1"/>
  <c r="N179" i="7" s="1"/>
  <c r="I180" i="7"/>
  <c r="I181" i="7"/>
  <c r="I182" i="7"/>
  <c r="M182" i="7" s="1"/>
  <c r="I183" i="7"/>
  <c r="M183" i="7" s="1"/>
  <c r="N183" i="7" s="1"/>
  <c r="I184" i="7"/>
  <c r="G184" i="7" s="1"/>
  <c r="I185" i="7"/>
  <c r="G185" i="7" s="1"/>
  <c r="I186" i="7"/>
  <c r="M186" i="7" s="1"/>
  <c r="N186" i="7" s="1"/>
  <c r="I187" i="7"/>
  <c r="M187" i="7" s="1"/>
  <c r="N187" i="7" s="1"/>
  <c r="I188" i="7"/>
  <c r="I189" i="7"/>
  <c r="M189" i="7" s="1"/>
  <c r="N189" i="7" s="1"/>
  <c r="I190" i="7"/>
  <c r="M190" i="7" s="1"/>
  <c r="N190" i="7" s="1"/>
  <c r="I191" i="7"/>
  <c r="M191" i="7" s="1"/>
  <c r="N191" i="7" s="1"/>
  <c r="I192" i="7"/>
  <c r="M192" i="7" s="1"/>
  <c r="N192" i="7" s="1"/>
  <c r="I193" i="7"/>
  <c r="M193" i="7" s="1"/>
  <c r="I194" i="7"/>
  <c r="M194" i="7" s="1"/>
  <c r="N194" i="7" s="1"/>
  <c r="I195" i="7"/>
  <c r="M195" i="7" s="1"/>
  <c r="N195" i="7" s="1"/>
  <c r="I196" i="7"/>
  <c r="I197" i="7"/>
  <c r="G197" i="7" s="1"/>
  <c r="I198" i="7"/>
  <c r="I199" i="7"/>
  <c r="M199" i="7" s="1"/>
  <c r="I200" i="7"/>
  <c r="G200" i="7" s="1"/>
  <c r="I201" i="7"/>
  <c r="M201" i="7" s="1"/>
  <c r="N201" i="7" s="1"/>
  <c r="I202" i="7"/>
  <c r="M202" i="7" s="1"/>
  <c r="N202" i="7" s="1"/>
  <c r="I203" i="7"/>
  <c r="M203" i="7" s="1"/>
  <c r="N203" i="7" s="1"/>
  <c r="I204" i="7"/>
  <c r="M204" i="7" s="1"/>
  <c r="I205" i="7"/>
  <c r="I206" i="7"/>
  <c r="M206" i="7" s="1"/>
  <c r="N206" i="7" s="1"/>
  <c r="I207" i="7"/>
  <c r="M207" i="7" s="1"/>
  <c r="N207" i="7" s="1"/>
  <c r="I208" i="7"/>
  <c r="M208" i="7" s="1"/>
  <c r="N208" i="7" s="1"/>
  <c r="I209" i="7"/>
  <c r="G209" i="7" s="1"/>
  <c r="I210" i="7"/>
  <c r="M210" i="7" s="1"/>
  <c r="N210" i="7" s="1"/>
  <c r="I211" i="7"/>
  <c r="M211" i="7" s="1"/>
  <c r="N211" i="7" s="1"/>
  <c r="I212" i="7"/>
  <c r="G212" i="7" s="1"/>
  <c r="I213" i="7"/>
  <c r="I214" i="7"/>
  <c r="M214" i="7" s="1"/>
  <c r="N214" i="7" s="1"/>
  <c r="I215" i="7"/>
  <c r="I216" i="7"/>
  <c r="M216" i="7" s="1"/>
  <c r="N216" i="7" s="1"/>
  <c r="I217" i="7"/>
  <c r="M217" i="7" s="1"/>
  <c r="N217" i="7" s="1"/>
  <c r="I218" i="7"/>
  <c r="G218" i="7" s="1"/>
  <c r="I219" i="7"/>
  <c r="M219" i="7" s="1"/>
  <c r="I220" i="7"/>
  <c r="I221" i="7"/>
  <c r="I222" i="7"/>
  <c r="M222" i="7" s="1"/>
  <c r="I223" i="7"/>
  <c r="M223" i="7" s="1"/>
  <c r="I224" i="7"/>
  <c r="M224" i="7" s="1"/>
  <c r="I225" i="7"/>
  <c r="M225" i="7" s="1"/>
  <c r="I226" i="7"/>
  <c r="M226" i="7" s="1"/>
  <c r="I227" i="7"/>
  <c r="M227" i="7" s="1"/>
  <c r="I228" i="7"/>
  <c r="M228" i="7" s="1"/>
  <c r="I229" i="7"/>
  <c r="M229" i="7" s="1"/>
  <c r="I230" i="7"/>
  <c r="M230" i="7" s="1"/>
  <c r="I231" i="7"/>
  <c r="M231" i="7" s="1"/>
  <c r="I232" i="7"/>
  <c r="M232" i="7" s="1"/>
  <c r="I233" i="7"/>
  <c r="M233" i="7" s="1"/>
  <c r="N233" i="7" s="1"/>
  <c r="I234" i="7"/>
  <c r="M234" i="7" s="1"/>
  <c r="I235" i="7"/>
  <c r="M235" i="7" s="1"/>
  <c r="I236" i="7"/>
  <c r="M236" i="7" s="1"/>
  <c r="I237" i="7"/>
  <c r="M237" i="7" s="1"/>
  <c r="I238" i="7"/>
  <c r="M238" i="7" s="1"/>
  <c r="I239" i="7"/>
  <c r="M239" i="7" s="1"/>
  <c r="I240" i="7"/>
  <c r="M240" i="7" s="1"/>
  <c r="I241" i="7"/>
  <c r="M241" i="7" s="1"/>
  <c r="I242" i="7"/>
  <c r="M242" i="7" s="1"/>
  <c r="I243" i="7"/>
  <c r="M243" i="7" s="1"/>
  <c r="I244" i="7"/>
  <c r="M244" i="7" s="1"/>
  <c r="I245" i="7"/>
  <c r="G245" i="7" s="1"/>
  <c r="I246" i="7"/>
  <c r="I247" i="7"/>
  <c r="M247" i="7" s="1"/>
  <c r="N247" i="7" s="1"/>
  <c r="I248" i="7"/>
  <c r="M248" i="7" s="1"/>
  <c r="I249" i="7"/>
  <c r="G249" i="7" s="1"/>
  <c r="I250" i="7"/>
  <c r="M250" i="7" s="1"/>
  <c r="I251" i="7"/>
  <c r="M251" i="7" s="1"/>
  <c r="I252" i="7"/>
  <c r="I253" i="7"/>
  <c r="G253" i="7" s="1"/>
  <c r="I254" i="7"/>
  <c r="I255" i="7"/>
  <c r="M255" i="7" s="1"/>
  <c r="N255" i="7" s="1"/>
  <c r="I256" i="7"/>
  <c r="M256" i="7" s="1"/>
  <c r="N256" i="7" s="1"/>
  <c r="I257" i="7"/>
  <c r="M257" i="7" s="1"/>
  <c r="I258" i="7"/>
  <c r="M258" i="7" s="1"/>
  <c r="I259" i="7"/>
  <c r="M259" i="7" s="1"/>
  <c r="N259" i="7" s="1"/>
  <c r="I260" i="7"/>
  <c r="I261" i="7"/>
  <c r="G261" i="7" s="1"/>
  <c r="I262" i="7"/>
  <c r="I263" i="7"/>
  <c r="G263" i="7" s="1"/>
  <c r="I264" i="7"/>
  <c r="I265" i="7"/>
  <c r="M265" i="7" s="1"/>
  <c r="N265" i="7" s="1"/>
  <c r="I266" i="7"/>
  <c r="M266" i="7" s="1"/>
  <c r="N266" i="7" s="1"/>
  <c r="I267" i="7"/>
  <c r="M267" i="7" s="1"/>
  <c r="N267" i="7" s="1"/>
  <c r="I268" i="7"/>
  <c r="I269" i="7"/>
  <c r="M269" i="7" s="1"/>
  <c r="I270" i="7"/>
  <c r="M270" i="7" s="1"/>
  <c r="I271" i="7"/>
  <c r="I272" i="7"/>
  <c r="M272" i="7" s="1"/>
  <c r="N272" i="7" s="1"/>
  <c r="I273" i="7"/>
  <c r="M273" i="7" s="1"/>
  <c r="N273" i="7" s="1"/>
  <c r="I274" i="7"/>
  <c r="M274" i="7" s="1"/>
  <c r="N274" i="7" s="1"/>
  <c r="I275" i="7"/>
  <c r="M275" i="7" s="1"/>
  <c r="N275" i="7" s="1"/>
  <c r="I276" i="7"/>
  <c r="I277" i="7"/>
  <c r="G277" i="7" s="1"/>
  <c r="I278" i="7"/>
  <c r="M278" i="7" s="1"/>
  <c r="N278" i="7" s="1"/>
  <c r="I279" i="7"/>
  <c r="M279" i="7" s="1"/>
  <c r="N279" i="7" s="1"/>
  <c r="I280" i="7"/>
  <c r="M280" i="7" s="1"/>
  <c r="N280" i="7" s="1"/>
  <c r="I281" i="7"/>
  <c r="G281" i="7" s="1"/>
  <c r="I282" i="7"/>
  <c r="M282" i="7" s="1"/>
  <c r="N282" i="7" s="1"/>
  <c r="I283" i="7"/>
  <c r="M283" i="7" s="1"/>
  <c r="I284" i="7"/>
  <c r="M284" i="7" s="1"/>
  <c r="I285" i="7"/>
  <c r="M285" i="7" s="1"/>
  <c r="I286" i="7"/>
  <c r="M286" i="7" s="1"/>
  <c r="N286" i="7" s="1"/>
  <c r="I287" i="7"/>
  <c r="G287" i="7" s="1"/>
  <c r="I288" i="7"/>
  <c r="G288" i="7" s="1"/>
  <c r="I289" i="7"/>
  <c r="G289" i="7" s="1"/>
  <c r="I290" i="7"/>
  <c r="G290" i="7" s="1"/>
  <c r="I291" i="7"/>
  <c r="M291" i="7" s="1"/>
  <c r="N291" i="7" s="1"/>
  <c r="I292" i="7"/>
  <c r="G292" i="7" s="1"/>
  <c r="I293" i="7"/>
  <c r="I294" i="7"/>
  <c r="I295" i="7"/>
  <c r="I296" i="7"/>
  <c r="G296" i="7" s="1"/>
  <c r="I297" i="7"/>
  <c r="M297" i="7" s="1"/>
  <c r="I298" i="7"/>
  <c r="G298" i="7" s="1"/>
  <c r="I299" i="7"/>
  <c r="M299" i="7" s="1"/>
  <c r="I300" i="7"/>
  <c r="G300" i="7" s="1"/>
  <c r="I301" i="7"/>
  <c r="I302" i="7"/>
  <c r="I303" i="7"/>
  <c r="I304" i="7"/>
  <c r="I305" i="7"/>
  <c r="M305" i="7" s="1"/>
  <c r="N305" i="7" s="1"/>
  <c r="I306" i="7"/>
  <c r="G306" i="7" s="1"/>
  <c r="I307" i="7"/>
  <c r="M307" i="7" s="1"/>
  <c r="N307" i="7" s="1"/>
  <c r="I308" i="7"/>
  <c r="M308" i="7" s="1"/>
  <c r="I309" i="7"/>
  <c r="I310" i="7"/>
  <c r="I311" i="7"/>
  <c r="M311" i="7" s="1"/>
  <c r="I312" i="7"/>
  <c r="I313" i="7"/>
  <c r="M313" i="7" s="1"/>
  <c r="I314" i="7"/>
  <c r="G314" i="7" s="1"/>
  <c r="I315" i="7"/>
  <c r="M315" i="7" s="1"/>
  <c r="N315" i="7" s="1"/>
  <c r="I316" i="7"/>
  <c r="G316" i="7" s="1"/>
  <c r="I317" i="7"/>
  <c r="G317" i="7" s="1"/>
  <c r="I318" i="7"/>
  <c r="I319" i="7"/>
  <c r="I320" i="7"/>
  <c r="I321" i="7"/>
  <c r="M321" i="7" s="1"/>
  <c r="N321" i="7" s="1"/>
  <c r="I322" i="7"/>
  <c r="G322" i="7" s="1"/>
  <c r="I323" i="7"/>
  <c r="M323" i="7" s="1"/>
  <c r="N323" i="7" s="1"/>
  <c r="I324" i="7"/>
  <c r="G324" i="7" s="1"/>
  <c r="I325" i="7"/>
  <c r="M325" i="7" s="1"/>
  <c r="I326" i="7"/>
  <c r="I327" i="7"/>
  <c r="M327" i="7" s="1"/>
  <c r="N327" i="7" s="1"/>
  <c r="I328" i="7"/>
  <c r="G328" i="7" s="1"/>
  <c r="I329" i="7"/>
  <c r="M329" i="7" s="1"/>
  <c r="I330" i="7"/>
  <c r="G330" i="7" s="1"/>
  <c r="I331" i="7"/>
  <c r="M331" i="7" s="1"/>
  <c r="I332" i="7"/>
  <c r="G332" i="7" s="1"/>
  <c r="I333" i="7"/>
  <c r="M333" i="7" s="1"/>
  <c r="I334" i="7"/>
  <c r="I335" i="7"/>
  <c r="I336" i="7"/>
  <c r="I337" i="7"/>
  <c r="M337" i="7" s="1"/>
  <c r="I338" i="7"/>
  <c r="G338" i="7" s="1"/>
  <c r="I339" i="7"/>
  <c r="M339" i="7" s="1"/>
  <c r="I340" i="7"/>
  <c r="M340" i="7" s="1"/>
  <c r="I341" i="7"/>
  <c r="M341" i="7" s="1"/>
  <c r="I342" i="7"/>
  <c r="I343" i="7"/>
  <c r="I344" i="7"/>
  <c r="I345" i="7"/>
  <c r="M345" i="7" s="1"/>
  <c r="I346" i="7"/>
  <c r="G346" i="7" s="1"/>
  <c r="I347" i="7"/>
  <c r="M347" i="7" s="1"/>
  <c r="N347" i="7" s="1"/>
  <c r="I348" i="7"/>
  <c r="G348" i="7" s="1"/>
  <c r="I349" i="7"/>
  <c r="I350" i="7"/>
  <c r="I351" i="7"/>
  <c r="M351" i="7" s="1"/>
  <c r="I352" i="7"/>
  <c r="M352" i="7" s="1"/>
  <c r="I353" i="7"/>
  <c r="G353" i="7" s="1"/>
  <c r="I354" i="7"/>
  <c r="M354" i="7" s="1"/>
  <c r="N354" i="7" s="1"/>
  <c r="I355" i="7"/>
  <c r="M355" i="7" s="1"/>
  <c r="I356" i="7"/>
  <c r="G356" i="7" s="1"/>
  <c r="I357" i="7"/>
  <c r="G357" i="7" s="1"/>
  <c r="I358" i="7"/>
  <c r="I359" i="7"/>
  <c r="I360" i="7"/>
  <c r="I361" i="7"/>
  <c r="M361" i="7" s="1"/>
  <c r="N361" i="7" s="1"/>
  <c r="I362" i="7"/>
  <c r="G362" i="7" s="1"/>
  <c r="I363" i="7"/>
  <c r="M363" i="7" s="1"/>
  <c r="I364" i="7"/>
  <c r="G364" i="7" s="1"/>
  <c r="I365" i="7"/>
  <c r="G365" i="7" s="1"/>
  <c r="I366" i="7"/>
  <c r="I367" i="7"/>
  <c r="G367" i="7" s="1"/>
  <c r="I368" i="7"/>
  <c r="I369" i="7"/>
  <c r="M369" i="7" s="1"/>
  <c r="N369" i="7" s="1"/>
  <c r="I370" i="7"/>
  <c r="G370" i="7" s="1"/>
  <c r="I371" i="7"/>
  <c r="M371" i="7" s="1"/>
  <c r="I372" i="7"/>
  <c r="I373" i="7"/>
  <c r="M373" i="7" s="1"/>
  <c r="I374" i="7"/>
  <c r="I375" i="7"/>
  <c r="M375" i="7" s="1"/>
  <c r="I376" i="7"/>
  <c r="M376" i="7" s="1"/>
  <c r="N376" i="7" s="1"/>
  <c r="I377" i="7"/>
  <c r="M377" i="7" s="1"/>
  <c r="N377" i="7" s="1"/>
  <c r="I378" i="7"/>
  <c r="G378" i="7" s="1"/>
  <c r="I379" i="7"/>
  <c r="M379" i="7" s="1"/>
  <c r="N379" i="7" s="1"/>
  <c r="I380" i="7"/>
  <c r="G380" i="7" s="1"/>
  <c r="I381" i="7"/>
  <c r="G381" i="7" s="1"/>
  <c r="I382" i="7"/>
  <c r="I383" i="7"/>
  <c r="I384" i="7"/>
  <c r="I385" i="7"/>
  <c r="M385" i="7" s="1"/>
  <c r="N385" i="7" s="1"/>
  <c r="G386" i="7"/>
  <c r="I2" i="7"/>
  <c r="M2" i="7" s="1"/>
  <c r="N2" i="7" s="1"/>
  <c r="G33" i="7"/>
  <c r="G162" i="7"/>
  <c r="H3" i="7"/>
  <c r="L3" i="7" s="1"/>
  <c r="H4" i="7"/>
  <c r="L4" i="7" s="1"/>
  <c r="H5" i="7"/>
  <c r="L5" i="7" s="1"/>
  <c r="H6" i="7"/>
  <c r="H7" i="7"/>
  <c r="L7" i="7" s="1"/>
  <c r="H8" i="7"/>
  <c r="L8" i="7" s="1"/>
  <c r="H9" i="7"/>
  <c r="L9" i="7" s="1"/>
  <c r="H10" i="7"/>
  <c r="L10" i="7" s="1"/>
  <c r="H11" i="7"/>
  <c r="L11" i="7" s="1"/>
  <c r="H12" i="7"/>
  <c r="H13" i="7"/>
  <c r="L13" i="7" s="1"/>
  <c r="H14" i="7"/>
  <c r="H15" i="7"/>
  <c r="L15" i="7" s="1"/>
  <c r="H16" i="7"/>
  <c r="L16" i="7" s="1"/>
  <c r="H17" i="7"/>
  <c r="L17" i="7" s="1"/>
  <c r="H18" i="7"/>
  <c r="L18" i="7" s="1"/>
  <c r="H19" i="7"/>
  <c r="L19" i="7" s="1"/>
  <c r="H20" i="7"/>
  <c r="L20" i="7" s="1"/>
  <c r="H21" i="7"/>
  <c r="L21" i="7" s="1"/>
  <c r="H22" i="7"/>
  <c r="H23" i="7"/>
  <c r="L23" i="7" s="1"/>
  <c r="H24" i="7"/>
  <c r="L24" i="7" s="1"/>
  <c r="H25" i="7"/>
  <c r="L25" i="7" s="1"/>
  <c r="H26" i="7"/>
  <c r="L26" i="7" s="1"/>
  <c r="H27" i="7"/>
  <c r="L27" i="7" s="1"/>
  <c r="H28" i="7"/>
  <c r="H29" i="7"/>
  <c r="L29" i="7" s="1"/>
  <c r="H30" i="7"/>
  <c r="L30" i="7" s="1"/>
  <c r="H31" i="7"/>
  <c r="L31" i="7" s="1"/>
  <c r="H32" i="7"/>
  <c r="L32" i="7" s="1"/>
  <c r="H33" i="7"/>
  <c r="L33" i="7" s="1"/>
  <c r="H34" i="7"/>
  <c r="L34" i="7" s="1"/>
  <c r="H35" i="7"/>
  <c r="L35" i="7" s="1"/>
  <c r="H36" i="7"/>
  <c r="L36" i="7" s="1"/>
  <c r="H37" i="7"/>
  <c r="L37" i="7" s="1"/>
  <c r="H38" i="7"/>
  <c r="H39" i="7"/>
  <c r="L39" i="7" s="1"/>
  <c r="H40" i="7"/>
  <c r="L40" i="7" s="1"/>
  <c r="H41" i="7"/>
  <c r="L41" i="7" s="1"/>
  <c r="H42" i="7"/>
  <c r="L42" i="7" s="1"/>
  <c r="H43" i="7"/>
  <c r="L43" i="7" s="1"/>
  <c r="H44" i="7"/>
  <c r="H45" i="7"/>
  <c r="L45" i="7" s="1"/>
  <c r="H46" i="7"/>
  <c r="H47" i="7"/>
  <c r="L47" i="7" s="1"/>
  <c r="H48" i="7"/>
  <c r="L48" i="7" s="1"/>
  <c r="H49" i="7"/>
  <c r="L49" i="7" s="1"/>
  <c r="H50" i="7"/>
  <c r="L50" i="7" s="1"/>
  <c r="H51" i="7"/>
  <c r="L51" i="7" s="1"/>
  <c r="H52" i="7"/>
  <c r="L52" i="7" s="1"/>
  <c r="H53" i="7"/>
  <c r="L53" i="7" s="1"/>
  <c r="H54" i="7"/>
  <c r="H55" i="7"/>
  <c r="L55" i="7" s="1"/>
  <c r="H56" i="7"/>
  <c r="L56" i="7" s="1"/>
  <c r="H57" i="7"/>
  <c r="L57" i="7" s="1"/>
  <c r="H58" i="7"/>
  <c r="L58" i="7" s="1"/>
  <c r="H59" i="7"/>
  <c r="L59" i="7" s="1"/>
  <c r="H60" i="7"/>
  <c r="L60" i="7" s="1"/>
  <c r="H61" i="7"/>
  <c r="L61" i="7" s="1"/>
  <c r="H62" i="7"/>
  <c r="H63" i="7"/>
  <c r="L63" i="7" s="1"/>
  <c r="H64" i="7"/>
  <c r="L64" i="7" s="1"/>
  <c r="H65" i="7"/>
  <c r="L65" i="7" s="1"/>
  <c r="H66" i="7"/>
  <c r="L66" i="7" s="1"/>
  <c r="H67" i="7"/>
  <c r="L67" i="7" s="1"/>
  <c r="H68" i="7"/>
  <c r="L68" i="7" s="1"/>
  <c r="H69" i="7"/>
  <c r="L69" i="7" s="1"/>
  <c r="H70" i="7"/>
  <c r="H71" i="7"/>
  <c r="L71" i="7" s="1"/>
  <c r="H72" i="7"/>
  <c r="L72" i="7" s="1"/>
  <c r="H73" i="7"/>
  <c r="L73" i="7" s="1"/>
  <c r="H74" i="7"/>
  <c r="L74" i="7" s="1"/>
  <c r="H75" i="7"/>
  <c r="L75" i="7" s="1"/>
  <c r="H76" i="7"/>
  <c r="H77" i="7"/>
  <c r="L77" i="7" s="1"/>
  <c r="H78" i="7"/>
  <c r="H79" i="7"/>
  <c r="L79" i="7" s="1"/>
  <c r="H80" i="7"/>
  <c r="L80" i="7" s="1"/>
  <c r="H81" i="7"/>
  <c r="L81" i="7" s="1"/>
  <c r="H82" i="7"/>
  <c r="L82" i="7" s="1"/>
  <c r="H83" i="7"/>
  <c r="L83" i="7" s="1"/>
  <c r="H84" i="7"/>
  <c r="H85" i="7"/>
  <c r="L85" i="7" s="1"/>
  <c r="H86" i="7"/>
  <c r="H87" i="7"/>
  <c r="L87" i="7" s="1"/>
  <c r="H88" i="7"/>
  <c r="L88" i="7" s="1"/>
  <c r="H89" i="7"/>
  <c r="L89" i="7" s="1"/>
  <c r="H90" i="7"/>
  <c r="L90" i="7" s="1"/>
  <c r="H91" i="7"/>
  <c r="L91" i="7" s="1"/>
  <c r="H92" i="7"/>
  <c r="L92" i="7" s="1"/>
  <c r="H93" i="7"/>
  <c r="L93" i="7" s="1"/>
  <c r="H94" i="7"/>
  <c r="L94" i="7" s="1"/>
  <c r="H95" i="7"/>
  <c r="L95" i="7" s="1"/>
  <c r="H96" i="7"/>
  <c r="L96" i="7" s="1"/>
  <c r="H97" i="7"/>
  <c r="L97" i="7" s="1"/>
  <c r="H98" i="7"/>
  <c r="L98" i="7" s="1"/>
  <c r="H99" i="7"/>
  <c r="L99" i="7" s="1"/>
  <c r="H100" i="7"/>
  <c r="H101" i="7"/>
  <c r="L101" i="7" s="1"/>
  <c r="H102" i="7"/>
  <c r="H103" i="7"/>
  <c r="L103" i="7" s="1"/>
  <c r="H104" i="7"/>
  <c r="L104" i="7" s="1"/>
  <c r="H105" i="7"/>
  <c r="L105" i="7" s="1"/>
  <c r="H106" i="7"/>
  <c r="L106" i="7" s="1"/>
  <c r="H107" i="7"/>
  <c r="L107" i="7" s="1"/>
  <c r="H108" i="7"/>
  <c r="L108" i="7" s="1"/>
  <c r="H109" i="7"/>
  <c r="L109" i="7" s="1"/>
  <c r="H110" i="7"/>
  <c r="H111" i="7"/>
  <c r="L111" i="7" s="1"/>
  <c r="H112" i="7"/>
  <c r="L112" i="7" s="1"/>
  <c r="H113" i="7"/>
  <c r="L113" i="7" s="1"/>
  <c r="H114" i="7"/>
  <c r="L114" i="7" s="1"/>
  <c r="H115" i="7"/>
  <c r="L115" i="7" s="1"/>
  <c r="H116" i="7"/>
  <c r="H117" i="7"/>
  <c r="L117" i="7" s="1"/>
  <c r="H118" i="7"/>
  <c r="H119" i="7"/>
  <c r="L119" i="7" s="1"/>
  <c r="H120" i="7"/>
  <c r="L120" i="7" s="1"/>
  <c r="H121" i="7"/>
  <c r="L121" i="7" s="1"/>
  <c r="H122" i="7"/>
  <c r="L122" i="7" s="1"/>
  <c r="H123" i="7"/>
  <c r="H124" i="7"/>
  <c r="H125" i="7"/>
  <c r="L125" i="7" s="1"/>
  <c r="H126" i="7"/>
  <c r="H127" i="7"/>
  <c r="L127" i="7" s="1"/>
  <c r="H128" i="7"/>
  <c r="L128" i="7" s="1"/>
  <c r="H129" i="7"/>
  <c r="L129" i="7" s="1"/>
  <c r="H130" i="7"/>
  <c r="L130" i="7" s="1"/>
  <c r="H131" i="7"/>
  <c r="L131" i="7" s="1"/>
  <c r="H132" i="7"/>
  <c r="H133" i="7"/>
  <c r="L133" i="7" s="1"/>
  <c r="H134" i="7"/>
  <c r="H135" i="7"/>
  <c r="L135" i="7" s="1"/>
  <c r="H136" i="7"/>
  <c r="L136" i="7" s="1"/>
  <c r="H137" i="7"/>
  <c r="L137" i="7" s="1"/>
  <c r="H138" i="7"/>
  <c r="L138" i="7" s="1"/>
  <c r="H139" i="7"/>
  <c r="L139" i="7" s="1"/>
  <c r="H140" i="7"/>
  <c r="L140" i="7" s="1"/>
  <c r="H141" i="7"/>
  <c r="L141" i="7" s="1"/>
  <c r="H142" i="7"/>
  <c r="H143" i="7"/>
  <c r="L143" i="7" s="1"/>
  <c r="H144" i="7"/>
  <c r="L144" i="7" s="1"/>
  <c r="H145" i="7"/>
  <c r="L145" i="7" s="1"/>
  <c r="H146" i="7"/>
  <c r="L146" i="7" s="1"/>
  <c r="H147" i="7"/>
  <c r="L147" i="7" s="1"/>
  <c r="H148" i="7"/>
  <c r="L148" i="7" s="1"/>
  <c r="H149" i="7"/>
  <c r="L149" i="7" s="1"/>
  <c r="H150" i="7"/>
  <c r="H151" i="7"/>
  <c r="L151" i="7" s="1"/>
  <c r="H152" i="7"/>
  <c r="L152" i="7" s="1"/>
  <c r="H153" i="7"/>
  <c r="L153" i="7" s="1"/>
  <c r="H154" i="7"/>
  <c r="L154" i="7" s="1"/>
  <c r="H155" i="7"/>
  <c r="L155" i="7" s="1"/>
  <c r="H156" i="7"/>
  <c r="H157" i="7"/>
  <c r="L157" i="7" s="1"/>
  <c r="H158" i="7"/>
  <c r="H159" i="7"/>
  <c r="L159" i="7" s="1"/>
  <c r="H160" i="7"/>
  <c r="L160" i="7" s="1"/>
  <c r="H161" i="7"/>
  <c r="L161" i="7" s="1"/>
  <c r="H162" i="7"/>
  <c r="L162" i="7" s="1"/>
  <c r="H163" i="7"/>
  <c r="L163" i="7" s="1"/>
  <c r="H164" i="7"/>
  <c r="H165" i="7"/>
  <c r="L165" i="7" s="1"/>
  <c r="H166" i="7"/>
  <c r="H167" i="7"/>
  <c r="L167" i="7" s="1"/>
  <c r="H168" i="7"/>
  <c r="L168" i="7" s="1"/>
  <c r="H169" i="7"/>
  <c r="L169" i="7" s="1"/>
  <c r="H170" i="7"/>
  <c r="L170" i="7" s="1"/>
  <c r="H171" i="7"/>
  <c r="L171" i="7" s="1"/>
  <c r="H172" i="7"/>
  <c r="L172" i="7" s="1"/>
  <c r="H173" i="7"/>
  <c r="L173" i="7" s="1"/>
  <c r="H174" i="7"/>
  <c r="H175" i="7"/>
  <c r="L175" i="7" s="1"/>
  <c r="H176" i="7"/>
  <c r="L176" i="7" s="1"/>
  <c r="H177" i="7"/>
  <c r="H178" i="7"/>
  <c r="L178" i="7" s="1"/>
  <c r="H179" i="7"/>
  <c r="L179" i="7" s="1"/>
  <c r="H180" i="7"/>
  <c r="L180" i="7" s="1"/>
  <c r="H181" i="7"/>
  <c r="L181" i="7" s="1"/>
  <c r="H182" i="7"/>
  <c r="H183" i="7"/>
  <c r="L183" i="7" s="1"/>
  <c r="H184" i="7"/>
  <c r="L184" i="7" s="1"/>
  <c r="H185" i="7"/>
  <c r="L185" i="7" s="1"/>
  <c r="H186" i="7"/>
  <c r="L186" i="7" s="1"/>
  <c r="H187" i="7"/>
  <c r="L187" i="7" s="1"/>
  <c r="H188" i="7"/>
  <c r="L188" i="7" s="1"/>
  <c r="H189" i="7"/>
  <c r="L189" i="7" s="1"/>
  <c r="H190" i="7"/>
  <c r="H191" i="7"/>
  <c r="L191" i="7" s="1"/>
  <c r="H192" i="7"/>
  <c r="L192" i="7" s="1"/>
  <c r="H193" i="7"/>
  <c r="L193" i="7" s="1"/>
  <c r="H194" i="7"/>
  <c r="L194" i="7" s="1"/>
  <c r="H195" i="7"/>
  <c r="L195" i="7" s="1"/>
  <c r="H196" i="7"/>
  <c r="H197" i="7"/>
  <c r="L197" i="7" s="1"/>
  <c r="H198" i="7"/>
  <c r="H199" i="7"/>
  <c r="L199" i="7" s="1"/>
  <c r="H200" i="7"/>
  <c r="L200" i="7" s="1"/>
  <c r="H201" i="7"/>
  <c r="L201" i="7" s="1"/>
  <c r="H202" i="7"/>
  <c r="L202" i="7" s="1"/>
  <c r="H203" i="7"/>
  <c r="L203" i="7" s="1"/>
  <c r="H204" i="7"/>
  <c r="H205" i="7"/>
  <c r="L205" i="7" s="1"/>
  <c r="H206" i="7"/>
  <c r="H207" i="7"/>
  <c r="L207" i="7" s="1"/>
  <c r="H208" i="7"/>
  <c r="L208" i="7" s="1"/>
  <c r="H209" i="7"/>
  <c r="L209" i="7" s="1"/>
  <c r="H210" i="7"/>
  <c r="L210" i="7" s="1"/>
  <c r="H211" i="7"/>
  <c r="L211" i="7" s="1"/>
  <c r="H212" i="7"/>
  <c r="H213" i="7"/>
  <c r="L213" i="7" s="1"/>
  <c r="H214" i="7"/>
  <c r="H215" i="7"/>
  <c r="L215" i="7" s="1"/>
  <c r="H216" i="7"/>
  <c r="L216" i="7" s="1"/>
  <c r="H217" i="7"/>
  <c r="L217" i="7" s="1"/>
  <c r="H218" i="7"/>
  <c r="L218" i="7" s="1"/>
  <c r="H219" i="7"/>
  <c r="L219" i="7" s="1"/>
  <c r="H220" i="7"/>
  <c r="L220" i="7" s="1"/>
  <c r="H221" i="7"/>
  <c r="L221" i="7" s="1"/>
  <c r="H222" i="7"/>
  <c r="H223" i="7"/>
  <c r="L223" i="7" s="1"/>
  <c r="H224" i="7"/>
  <c r="L224" i="7" s="1"/>
  <c r="H225" i="7"/>
  <c r="L225" i="7" s="1"/>
  <c r="H226" i="7"/>
  <c r="L226" i="7" s="1"/>
  <c r="H227" i="7"/>
  <c r="L227" i="7" s="1"/>
  <c r="H228" i="7"/>
  <c r="H229" i="7"/>
  <c r="L229" i="7" s="1"/>
  <c r="H230" i="7"/>
  <c r="H231" i="7"/>
  <c r="L231" i="7" s="1"/>
  <c r="H232" i="7"/>
  <c r="L232" i="7" s="1"/>
  <c r="H233" i="7"/>
  <c r="L233" i="7" s="1"/>
  <c r="H234" i="7"/>
  <c r="L234" i="7" s="1"/>
  <c r="H235" i="7"/>
  <c r="L235" i="7" s="1"/>
  <c r="H236" i="7"/>
  <c r="L236" i="7" s="1"/>
  <c r="H237" i="7"/>
  <c r="L237" i="7" s="1"/>
  <c r="H238" i="7"/>
  <c r="L238" i="7" s="1"/>
  <c r="H239" i="7"/>
  <c r="L239" i="7" s="1"/>
  <c r="H240" i="7"/>
  <c r="L240" i="7" s="1"/>
  <c r="H241" i="7"/>
  <c r="L241" i="7" s="1"/>
  <c r="H242" i="7"/>
  <c r="L242" i="7" s="1"/>
  <c r="H243" i="7"/>
  <c r="L243" i="7" s="1"/>
  <c r="H244" i="7"/>
  <c r="H245" i="7"/>
  <c r="H246" i="7"/>
  <c r="H247" i="7"/>
  <c r="L247" i="7" s="1"/>
  <c r="H248" i="7"/>
  <c r="L248" i="7" s="1"/>
  <c r="H249" i="7"/>
  <c r="L249" i="7" s="1"/>
  <c r="H250" i="7"/>
  <c r="L250" i="7" s="1"/>
  <c r="H251" i="7"/>
  <c r="L251" i="7" s="1"/>
  <c r="H252" i="7"/>
  <c r="H253" i="7"/>
  <c r="L253" i="7" s="1"/>
  <c r="H254" i="7"/>
  <c r="H255" i="7"/>
  <c r="L255" i="7" s="1"/>
  <c r="H256" i="7"/>
  <c r="L256" i="7" s="1"/>
  <c r="H257" i="7"/>
  <c r="L257" i="7" s="1"/>
  <c r="H258" i="7"/>
  <c r="L258" i="7" s="1"/>
  <c r="H259" i="7"/>
  <c r="L259" i="7" s="1"/>
  <c r="H260" i="7"/>
  <c r="L260" i="7" s="1"/>
  <c r="H261" i="7"/>
  <c r="L261" i="7" s="1"/>
  <c r="H262" i="7"/>
  <c r="H263" i="7"/>
  <c r="L263" i="7" s="1"/>
  <c r="H264" i="7"/>
  <c r="L264" i="7" s="1"/>
  <c r="H265" i="7"/>
  <c r="L265" i="7" s="1"/>
  <c r="H266" i="7"/>
  <c r="L266" i="7" s="1"/>
  <c r="H267" i="7"/>
  <c r="L267" i="7" s="1"/>
  <c r="H268" i="7"/>
  <c r="H269" i="7"/>
  <c r="L269" i="7" s="1"/>
  <c r="H270" i="7"/>
  <c r="H271" i="7"/>
  <c r="L271" i="7" s="1"/>
  <c r="H272" i="7"/>
  <c r="L272" i="7" s="1"/>
  <c r="H273" i="7"/>
  <c r="L273" i="7" s="1"/>
  <c r="H274" i="7"/>
  <c r="L274" i="7" s="1"/>
  <c r="H275" i="7"/>
  <c r="L275" i="7" s="1"/>
  <c r="H276" i="7"/>
  <c r="L276" i="7" s="1"/>
  <c r="H277" i="7"/>
  <c r="L277" i="7" s="1"/>
  <c r="H278" i="7"/>
  <c r="H279" i="7"/>
  <c r="L279" i="7" s="1"/>
  <c r="H280" i="7"/>
  <c r="L280" i="7" s="1"/>
  <c r="H281" i="7"/>
  <c r="L281" i="7" s="1"/>
  <c r="H282" i="7"/>
  <c r="L282" i="7" s="1"/>
  <c r="H283" i="7"/>
  <c r="L283" i="7" s="1"/>
  <c r="H284" i="7"/>
  <c r="L284" i="7" s="1"/>
  <c r="H285" i="7"/>
  <c r="H286" i="7"/>
  <c r="H287" i="7"/>
  <c r="L287" i="7" s="1"/>
  <c r="H288" i="7"/>
  <c r="L288" i="7" s="1"/>
  <c r="H289" i="7"/>
  <c r="L289" i="7" s="1"/>
  <c r="H290" i="7"/>
  <c r="L290" i="7" s="1"/>
  <c r="H291" i="7"/>
  <c r="L291" i="7" s="1"/>
  <c r="H292" i="7"/>
  <c r="H293" i="7"/>
  <c r="L293" i="7" s="1"/>
  <c r="H294" i="7"/>
  <c r="H295" i="7"/>
  <c r="L295" i="7" s="1"/>
  <c r="H296" i="7"/>
  <c r="L296" i="7" s="1"/>
  <c r="H297" i="7"/>
  <c r="L297" i="7" s="1"/>
  <c r="H298" i="7"/>
  <c r="L298" i="7" s="1"/>
  <c r="H299" i="7"/>
  <c r="L299" i="7" s="1"/>
  <c r="H300" i="7"/>
  <c r="L300" i="7" s="1"/>
  <c r="H301" i="7"/>
  <c r="L301" i="7" s="1"/>
  <c r="H302" i="7"/>
  <c r="L302" i="7" s="1"/>
  <c r="H303" i="7"/>
  <c r="L303" i="7" s="1"/>
  <c r="H304" i="7"/>
  <c r="L304" i="7" s="1"/>
  <c r="H305" i="7"/>
  <c r="L305" i="7" s="1"/>
  <c r="H306" i="7"/>
  <c r="L306" i="7" s="1"/>
  <c r="H307" i="7"/>
  <c r="L307" i="7" s="1"/>
  <c r="H308" i="7"/>
  <c r="H309" i="7"/>
  <c r="L309" i="7" s="1"/>
  <c r="H310" i="7"/>
  <c r="H311" i="7"/>
  <c r="L311" i="7" s="1"/>
  <c r="H312" i="7"/>
  <c r="L312" i="7" s="1"/>
  <c r="H313" i="7"/>
  <c r="L313" i="7" s="1"/>
  <c r="H314" i="7"/>
  <c r="L314" i="7" s="1"/>
  <c r="H315" i="7"/>
  <c r="L315" i="7" s="1"/>
  <c r="H316" i="7"/>
  <c r="L316" i="7" s="1"/>
  <c r="H317" i="7"/>
  <c r="H318" i="7"/>
  <c r="H319" i="7"/>
  <c r="L319" i="7" s="1"/>
  <c r="H320" i="7"/>
  <c r="L320" i="7" s="1"/>
  <c r="H321" i="7"/>
  <c r="H322" i="7"/>
  <c r="L322" i="7" s="1"/>
  <c r="H323" i="7"/>
  <c r="L323" i="7" s="1"/>
  <c r="H324" i="7"/>
  <c r="L324" i="7" s="1"/>
  <c r="H325" i="7"/>
  <c r="L325" i="7" s="1"/>
  <c r="H326" i="7"/>
  <c r="L326" i="7" s="1"/>
  <c r="H327" i="7"/>
  <c r="L327" i="7" s="1"/>
  <c r="H328" i="7"/>
  <c r="L328" i="7" s="1"/>
  <c r="H329" i="7"/>
  <c r="L329" i="7" s="1"/>
  <c r="H330" i="7"/>
  <c r="L330" i="7" s="1"/>
  <c r="H331" i="7"/>
  <c r="L331" i="7" s="1"/>
  <c r="H332" i="7"/>
  <c r="L332" i="7" s="1"/>
  <c r="H333" i="7"/>
  <c r="L333" i="7" s="1"/>
  <c r="H334" i="7"/>
  <c r="H335" i="7"/>
  <c r="L335" i="7" s="1"/>
  <c r="H336" i="7"/>
  <c r="L336" i="7" s="1"/>
  <c r="H337" i="7"/>
  <c r="L337" i="7" s="1"/>
  <c r="H338" i="7"/>
  <c r="L338" i="7" s="1"/>
  <c r="H339" i="7"/>
  <c r="L339" i="7" s="1"/>
  <c r="H340" i="7"/>
  <c r="H341" i="7"/>
  <c r="L341" i="7" s="1"/>
  <c r="H342" i="7"/>
  <c r="H343" i="7"/>
  <c r="L343" i="7" s="1"/>
  <c r="H344" i="7"/>
  <c r="L344" i="7" s="1"/>
  <c r="H345" i="7"/>
  <c r="L345" i="7" s="1"/>
  <c r="H346" i="7"/>
  <c r="L346" i="7" s="1"/>
  <c r="H347" i="7"/>
  <c r="L347" i="7" s="1"/>
  <c r="H348" i="7"/>
  <c r="L348" i="7" s="1"/>
  <c r="H349" i="7"/>
  <c r="L349" i="7" s="1"/>
  <c r="H350" i="7"/>
  <c r="H351" i="7"/>
  <c r="L351" i="7" s="1"/>
  <c r="H352" i="7"/>
  <c r="L352" i="7" s="1"/>
  <c r="H353" i="7"/>
  <c r="L353" i="7" s="1"/>
  <c r="H354" i="7"/>
  <c r="L354" i="7" s="1"/>
  <c r="H355" i="7"/>
  <c r="L355" i="7" s="1"/>
  <c r="H356" i="7"/>
  <c r="H357" i="7"/>
  <c r="L357" i="7" s="1"/>
  <c r="H358" i="7"/>
  <c r="H359" i="7"/>
  <c r="L359" i="7" s="1"/>
  <c r="H360" i="7"/>
  <c r="L360" i="7" s="1"/>
  <c r="H361" i="7"/>
  <c r="L361" i="7" s="1"/>
  <c r="H362" i="7"/>
  <c r="L362" i="7" s="1"/>
  <c r="H363" i="7"/>
  <c r="L363" i="7" s="1"/>
  <c r="H364" i="7"/>
  <c r="L364" i="7" s="1"/>
  <c r="H365" i="7"/>
  <c r="L365" i="7" s="1"/>
  <c r="H366" i="7"/>
  <c r="H367" i="7"/>
  <c r="L367" i="7" s="1"/>
  <c r="H368" i="7"/>
  <c r="L368" i="7" s="1"/>
  <c r="H369" i="7"/>
  <c r="L369" i="7" s="1"/>
  <c r="H370" i="7"/>
  <c r="L370" i="7" s="1"/>
  <c r="H371" i="7"/>
  <c r="L371" i="7" s="1"/>
  <c r="H372" i="7"/>
  <c r="H373" i="7"/>
  <c r="L373" i="7" s="1"/>
  <c r="H374" i="7"/>
  <c r="H375" i="7"/>
  <c r="L375" i="7" s="1"/>
  <c r="H376" i="7"/>
  <c r="L376" i="7" s="1"/>
  <c r="H377" i="7"/>
  <c r="L377" i="7" s="1"/>
  <c r="H378" i="7"/>
  <c r="L378" i="7" s="1"/>
  <c r="H379" i="7"/>
  <c r="L379" i="7" s="1"/>
  <c r="H380" i="7"/>
  <c r="L380" i="7" s="1"/>
  <c r="H381" i="7"/>
  <c r="L381" i="7" s="1"/>
  <c r="H382" i="7"/>
  <c r="H383" i="7"/>
  <c r="L383" i="7" s="1"/>
  <c r="H384" i="7"/>
  <c r="L384" i="7" s="1"/>
  <c r="H385" i="7"/>
  <c r="L385" i="7" s="1"/>
  <c r="H386" i="7"/>
  <c r="L386" i="7" s="1"/>
  <c r="H2" i="7"/>
  <c r="L2" i="7" s="1"/>
  <c r="G27" i="7"/>
  <c r="G35" i="7"/>
  <c r="G75" i="7"/>
  <c r="G76" i="7"/>
  <c r="G107" i="7"/>
  <c r="G121" i="7"/>
  <c r="G166" i="7"/>
  <c r="G179" i="7"/>
  <c r="G203" i="7"/>
  <c r="G279" i="7"/>
  <c r="G283" i="7"/>
  <c r="G297" i="7"/>
  <c r="G323" i="7"/>
  <c r="G329" i="7"/>
  <c r="G352" i="7"/>
  <c r="G361" i="7"/>
  <c r="G363" i="7"/>
  <c r="G376" i="7"/>
  <c r="G8" i="7"/>
  <c r="G11" i="7"/>
  <c r="G2" i="7"/>
  <c r="L372" i="7"/>
  <c r="L356" i="7"/>
  <c r="L340" i="7"/>
  <c r="L321" i="7"/>
  <c r="L308" i="7"/>
  <c r="L292" i="7"/>
  <c r="L268" i="7"/>
  <c r="L252" i="7"/>
  <c r="L245" i="7"/>
  <c r="L244" i="7"/>
  <c r="L228" i="7"/>
  <c r="L212" i="7"/>
  <c r="L204" i="7"/>
  <c r="L196" i="7"/>
  <c r="L177" i="7"/>
  <c r="L164" i="7"/>
  <c r="L156" i="7"/>
  <c r="L132" i="7"/>
  <c r="L124" i="7"/>
  <c r="L123" i="7"/>
  <c r="L116" i="7"/>
  <c r="L100" i="7"/>
  <c r="L84" i="7"/>
  <c r="L76" i="7"/>
  <c r="L44" i="7"/>
  <c r="L28" i="7"/>
  <c r="L12" i="7"/>
  <c r="L3" i="6"/>
  <c r="M3" i="6"/>
  <c r="L4" i="6"/>
  <c r="M4" i="6"/>
  <c r="N4" i="6" s="1"/>
  <c r="L5" i="6"/>
  <c r="M5" i="6"/>
  <c r="L6" i="6"/>
  <c r="M6" i="6"/>
  <c r="N6" i="6" s="1"/>
  <c r="L7" i="6"/>
  <c r="M7" i="6"/>
  <c r="N7" i="6" s="1"/>
  <c r="L8" i="6"/>
  <c r="M8" i="6"/>
  <c r="L9" i="6"/>
  <c r="M9" i="6"/>
  <c r="L10" i="6"/>
  <c r="M10" i="6"/>
  <c r="N10" i="6" s="1"/>
  <c r="L11" i="6"/>
  <c r="M11" i="6"/>
  <c r="L12" i="6"/>
  <c r="M12" i="6"/>
  <c r="N12" i="6" s="1"/>
  <c r="L13" i="6"/>
  <c r="M13" i="6"/>
  <c r="L14" i="6"/>
  <c r="M14" i="6"/>
  <c r="N14" i="6" s="1"/>
  <c r="L15" i="6"/>
  <c r="M15" i="6"/>
  <c r="N15" i="6" s="1"/>
  <c r="L16" i="6"/>
  <c r="M16" i="6"/>
  <c r="N16" i="6" s="1"/>
  <c r="L17" i="6"/>
  <c r="M17" i="6"/>
  <c r="N17" i="6" s="1"/>
  <c r="L18" i="6"/>
  <c r="M18" i="6"/>
  <c r="N18" i="6" s="1"/>
  <c r="L19" i="6"/>
  <c r="M19" i="6"/>
  <c r="N19" i="6" s="1"/>
  <c r="L20" i="6"/>
  <c r="M20" i="6"/>
  <c r="L21" i="6"/>
  <c r="M21" i="6"/>
  <c r="L22" i="6"/>
  <c r="M22" i="6"/>
  <c r="N22" i="6" s="1"/>
  <c r="L23" i="6"/>
  <c r="M23" i="6"/>
  <c r="N23" i="6" s="1"/>
  <c r="L24" i="6"/>
  <c r="M24" i="6"/>
  <c r="L25" i="6"/>
  <c r="M25" i="6"/>
  <c r="L26" i="6"/>
  <c r="M26" i="6"/>
  <c r="N26" i="6" s="1"/>
  <c r="L27" i="6"/>
  <c r="M27" i="6"/>
  <c r="L28" i="6"/>
  <c r="M28" i="6"/>
  <c r="N28" i="6" s="1"/>
  <c r="L29" i="6"/>
  <c r="M29" i="6"/>
  <c r="N29" i="6" s="1"/>
  <c r="L30" i="6"/>
  <c r="M30" i="6"/>
  <c r="L31" i="6"/>
  <c r="M31" i="6"/>
  <c r="L32" i="6"/>
  <c r="M32" i="6"/>
  <c r="L33" i="6"/>
  <c r="M33" i="6"/>
  <c r="L34" i="6"/>
  <c r="M34" i="6"/>
  <c r="N34" i="6" s="1"/>
  <c r="L35" i="6"/>
  <c r="M35" i="6"/>
  <c r="N35" i="6" s="1"/>
  <c r="L36" i="6"/>
  <c r="M36" i="6"/>
  <c r="N36" i="6" s="1"/>
  <c r="L37" i="6"/>
  <c r="M37" i="6"/>
  <c r="L38" i="6"/>
  <c r="M38" i="6"/>
  <c r="L39" i="6"/>
  <c r="M39" i="6"/>
  <c r="L40" i="6"/>
  <c r="M40" i="6"/>
  <c r="L41" i="6"/>
  <c r="M41" i="6"/>
  <c r="L42" i="6"/>
  <c r="M42" i="6"/>
  <c r="L43" i="6"/>
  <c r="M43" i="6"/>
  <c r="L44" i="6"/>
  <c r="M44" i="6"/>
  <c r="L45" i="6"/>
  <c r="M45" i="6"/>
  <c r="N45" i="6" s="1"/>
  <c r="L46" i="6"/>
  <c r="M46" i="6"/>
  <c r="L47" i="6"/>
  <c r="M47" i="6"/>
  <c r="N47" i="6" s="1"/>
  <c r="L48" i="6"/>
  <c r="M48" i="6"/>
  <c r="N48" i="6" s="1"/>
  <c r="L49" i="6"/>
  <c r="M49" i="6"/>
  <c r="L50" i="6"/>
  <c r="M50" i="6"/>
  <c r="N50" i="6" s="1"/>
  <c r="L51" i="6"/>
  <c r="M51" i="6"/>
  <c r="N51" i="6" s="1"/>
  <c r="L52" i="6"/>
  <c r="M52" i="6"/>
  <c r="N52" i="6" s="1"/>
  <c r="L53" i="6"/>
  <c r="M53" i="6"/>
  <c r="N53" i="6" s="1"/>
  <c r="L54" i="6"/>
  <c r="M54" i="6"/>
  <c r="N54" i="6" s="1"/>
  <c r="L55" i="6"/>
  <c r="M55" i="6"/>
  <c r="L56" i="6"/>
  <c r="M56" i="6"/>
  <c r="N56" i="6" s="1"/>
  <c r="L57" i="6"/>
  <c r="M57" i="6"/>
  <c r="N57" i="6" s="1"/>
  <c r="L58" i="6"/>
  <c r="M58" i="6"/>
  <c r="L59" i="6"/>
  <c r="M59" i="6"/>
  <c r="L60" i="6"/>
  <c r="M60" i="6"/>
  <c r="L61" i="6"/>
  <c r="M61" i="6"/>
  <c r="N61" i="6" s="1"/>
  <c r="L62" i="6"/>
  <c r="M62" i="6"/>
  <c r="L63" i="6"/>
  <c r="M63" i="6"/>
  <c r="L64" i="6"/>
  <c r="M64" i="6"/>
  <c r="L65" i="6"/>
  <c r="M65" i="6"/>
  <c r="N65" i="6" s="1"/>
  <c r="L66" i="6"/>
  <c r="M66" i="6"/>
  <c r="N66" i="6" s="1"/>
  <c r="L67" i="6"/>
  <c r="M67" i="6"/>
  <c r="L68" i="6"/>
  <c r="M68" i="6"/>
  <c r="L69" i="6"/>
  <c r="M69" i="6"/>
  <c r="L70" i="6"/>
  <c r="M70" i="6"/>
  <c r="N70" i="6" s="1"/>
  <c r="L71" i="6"/>
  <c r="M71" i="6"/>
  <c r="N71" i="6" s="1"/>
  <c r="L72" i="6"/>
  <c r="M72" i="6"/>
  <c r="N72" i="6" s="1"/>
  <c r="L73" i="6"/>
  <c r="M73" i="6"/>
  <c r="L74" i="6"/>
  <c r="M74" i="6"/>
  <c r="L75" i="6"/>
  <c r="M75" i="6"/>
  <c r="N75" i="6" s="1"/>
  <c r="L76" i="6"/>
  <c r="M76" i="6"/>
  <c r="L77" i="6"/>
  <c r="M77" i="6"/>
  <c r="N77" i="6" s="1"/>
  <c r="L78" i="6"/>
  <c r="M78" i="6"/>
  <c r="L79" i="6"/>
  <c r="M79" i="6"/>
  <c r="N79" i="6" s="1"/>
  <c r="L80" i="6"/>
  <c r="M80" i="6"/>
  <c r="N80" i="6" s="1"/>
  <c r="L81" i="6"/>
  <c r="M81" i="6"/>
  <c r="L82" i="6"/>
  <c r="M82" i="6"/>
  <c r="L83" i="6"/>
  <c r="M83" i="6"/>
  <c r="L84" i="6"/>
  <c r="M84" i="6"/>
  <c r="N84" i="6" s="1"/>
  <c r="L85" i="6"/>
  <c r="M85" i="6"/>
  <c r="N85" i="6" s="1"/>
  <c r="L86" i="6"/>
  <c r="M86" i="6"/>
  <c r="N86" i="6" s="1"/>
  <c r="L87" i="6"/>
  <c r="M87" i="6"/>
  <c r="N87" i="6" s="1"/>
  <c r="L88" i="6"/>
  <c r="M88" i="6"/>
  <c r="L89" i="6"/>
  <c r="M89" i="6"/>
  <c r="N89" i="6" s="1"/>
  <c r="L90" i="6"/>
  <c r="M90" i="6"/>
  <c r="N90" i="6" s="1"/>
  <c r="L91" i="6"/>
  <c r="M91" i="6"/>
  <c r="N91" i="6" s="1"/>
  <c r="L92" i="6"/>
  <c r="M92" i="6"/>
  <c r="L93" i="6"/>
  <c r="M93" i="6"/>
  <c r="N93" i="6" s="1"/>
  <c r="L94" i="6"/>
  <c r="M94" i="6"/>
  <c r="L95" i="6"/>
  <c r="M95" i="6"/>
  <c r="N95" i="6" s="1"/>
  <c r="L96" i="6"/>
  <c r="M96" i="6"/>
  <c r="L97" i="6"/>
  <c r="M97" i="6"/>
  <c r="N97" i="6" s="1"/>
  <c r="L98" i="6"/>
  <c r="M98" i="6"/>
  <c r="N98" i="6" s="1"/>
  <c r="L99" i="6"/>
  <c r="M99" i="6"/>
  <c r="L100" i="6"/>
  <c r="M100" i="6"/>
  <c r="N100" i="6" s="1"/>
  <c r="L101" i="6"/>
  <c r="M101" i="6"/>
  <c r="L102" i="6"/>
  <c r="M102" i="6"/>
  <c r="L103" i="6"/>
  <c r="M103" i="6"/>
  <c r="L104" i="6"/>
  <c r="M104" i="6"/>
  <c r="N104" i="6" s="1"/>
  <c r="L105" i="6"/>
  <c r="M105" i="6"/>
  <c r="N105" i="6" s="1"/>
  <c r="L106" i="6"/>
  <c r="M106" i="6"/>
  <c r="N106" i="6" s="1"/>
  <c r="L107" i="6"/>
  <c r="M107" i="6"/>
  <c r="N107" i="6" s="1"/>
  <c r="L108" i="6"/>
  <c r="M108" i="6"/>
  <c r="N108" i="6" s="1"/>
  <c r="L109" i="6"/>
  <c r="M109" i="6"/>
  <c r="N109" i="6" s="1"/>
  <c r="L110" i="6"/>
  <c r="M110" i="6"/>
  <c r="L111" i="6"/>
  <c r="M111" i="6"/>
  <c r="N111" i="6" s="1"/>
  <c r="L112" i="6"/>
  <c r="M112" i="6"/>
  <c r="N112" i="6" s="1"/>
  <c r="L113" i="6"/>
  <c r="M113" i="6"/>
  <c r="N113" i="6" s="1"/>
  <c r="L114" i="6"/>
  <c r="M114" i="6"/>
  <c r="L115" i="6"/>
  <c r="M115" i="6"/>
  <c r="N115" i="6" s="1"/>
  <c r="L116" i="6"/>
  <c r="M116" i="6"/>
  <c r="L117" i="6"/>
  <c r="M117" i="6"/>
  <c r="L118" i="6"/>
  <c r="M118" i="6"/>
  <c r="N118" i="6" s="1"/>
  <c r="L119" i="6"/>
  <c r="M119" i="6"/>
  <c r="L120" i="6"/>
  <c r="M120" i="6"/>
  <c r="L121" i="6"/>
  <c r="M121" i="6"/>
  <c r="L122" i="6"/>
  <c r="M122" i="6"/>
  <c r="N122" i="6" s="1"/>
  <c r="L123" i="6"/>
  <c r="M123" i="6"/>
  <c r="N123" i="6" s="1"/>
  <c r="L124" i="6"/>
  <c r="M124" i="6"/>
  <c r="N124" i="6" s="1"/>
  <c r="L125" i="6"/>
  <c r="M125" i="6"/>
  <c r="N125" i="6" s="1"/>
  <c r="L126" i="6"/>
  <c r="M126" i="6"/>
  <c r="L127" i="6"/>
  <c r="M127" i="6"/>
  <c r="N127" i="6" s="1"/>
  <c r="L128" i="6"/>
  <c r="M128" i="6"/>
  <c r="L129" i="6"/>
  <c r="M129" i="6"/>
  <c r="L130" i="6"/>
  <c r="M130" i="6"/>
  <c r="N130" i="6" s="1"/>
  <c r="L131" i="6"/>
  <c r="M131" i="6"/>
  <c r="L132" i="6"/>
  <c r="M132" i="6"/>
  <c r="N132" i="6" s="1"/>
  <c r="L133" i="6"/>
  <c r="M133" i="6"/>
  <c r="L134" i="6"/>
  <c r="M134" i="6"/>
  <c r="N134" i="6" s="1"/>
  <c r="L135" i="6"/>
  <c r="M135" i="6"/>
  <c r="L136" i="6"/>
  <c r="M136" i="6"/>
  <c r="N136" i="6" s="1"/>
  <c r="L137" i="6"/>
  <c r="M137" i="6"/>
  <c r="L138" i="6"/>
  <c r="M138" i="6"/>
  <c r="N138" i="6" s="1"/>
  <c r="L139" i="6"/>
  <c r="M139" i="6"/>
  <c r="N139" i="6" s="1"/>
  <c r="L140" i="6"/>
  <c r="M140" i="6"/>
  <c r="L141" i="6"/>
  <c r="M141" i="6"/>
  <c r="N141" i="6" s="1"/>
  <c r="L142" i="6"/>
  <c r="M142" i="6"/>
  <c r="L143" i="6"/>
  <c r="M143" i="6"/>
  <c r="N143" i="6" s="1"/>
  <c r="L144" i="6"/>
  <c r="M144" i="6"/>
  <c r="N144" i="6" s="1"/>
  <c r="L145" i="6"/>
  <c r="M145" i="6"/>
  <c r="L146" i="6"/>
  <c r="M146" i="6"/>
  <c r="L147" i="6"/>
  <c r="M147" i="6"/>
  <c r="N147" i="6" s="1"/>
  <c r="L148" i="6"/>
  <c r="M148" i="6"/>
  <c r="L149" i="6"/>
  <c r="M149" i="6"/>
  <c r="N149" i="6" s="1"/>
  <c r="L150" i="6"/>
  <c r="M150" i="6"/>
  <c r="N150" i="6" s="1"/>
  <c r="L151" i="6"/>
  <c r="M151" i="6"/>
  <c r="L152" i="6"/>
  <c r="M152" i="6"/>
  <c r="L153" i="6"/>
  <c r="M153" i="6"/>
  <c r="L154" i="6"/>
  <c r="M154" i="6"/>
  <c r="L155" i="6"/>
  <c r="M155" i="6"/>
  <c r="N155" i="6" s="1"/>
  <c r="L156" i="6"/>
  <c r="M156" i="6"/>
  <c r="N156" i="6" s="1"/>
  <c r="L157" i="6"/>
  <c r="M157" i="6"/>
  <c r="L158" i="6"/>
  <c r="M158" i="6"/>
  <c r="L159" i="6"/>
  <c r="M159" i="6"/>
  <c r="L160" i="6"/>
  <c r="M160" i="6"/>
  <c r="N160" i="6" s="1"/>
  <c r="L161" i="6"/>
  <c r="M161" i="6"/>
  <c r="N161" i="6" s="1"/>
  <c r="L162" i="6"/>
  <c r="M162" i="6"/>
  <c r="N162" i="6" s="1"/>
  <c r="L163" i="6"/>
  <c r="M163" i="6"/>
  <c r="N163" i="6" s="1"/>
  <c r="L164" i="6"/>
  <c r="M164" i="6"/>
  <c r="N164" i="6" s="1"/>
  <c r="L165" i="6"/>
  <c r="M165" i="6"/>
  <c r="N165" i="6" s="1"/>
  <c r="L166" i="6"/>
  <c r="M166" i="6"/>
  <c r="N166" i="6" s="1"/>
  <c r="L167" i="6"/>
  <c r="M167" i="6"/>
  <c r="L168" i="6"/>
  <c r="M168" i="6"/>
  <c r="L169" i="6"/>
  <c r="M169" i="6"/>
  <c r="N169" i="6" s="1"/>
  <c r="L170" i="6"/>
  <c r="M170" i="6"/>
  <c r="L171" i="6"/>
  <c r="M171" i="6"/>
  <c r="N171" i="6" s="1"/>
  <c r="L172" i="6"/>
  <c r="M172" i="6"/>
  <c r="N172" i="6" s="1"/>
  <c r="L173" i="6"/>
  <c r="M173" i="6"/>
  <c r="L174" i="6"/>
  <c r="M174" i="6"/>
  <c r="N174" i="6" s="1"/>
  <c r="L175" i="6"/>
  <c r="M175" i="6"/>
  <c r="L176" i="6"/>
  <c r="M176" i="6"/>
  <c r="L177" i="6"/>
  <c r="M177" i="6"/>
  <c r="N177" i="6" s="1"/>
  <c r="L178" i="6"/>
  <c r="M178" i="6"/>
  <c r="N178" i="6" s="1"/>
  <c r="L179" i="6"/>
  <c r="M179" i="6"/>
  <c r="L180" i="6"/>
  <c r="M180" i="6"/>
  <c r="L181" i="6"/>
  <c r="M181" i="6"/>
  <c r="L182" i="6"/>
  <c r="M182" i="6"/>
  <c r="L183" i="6"/>
  <c r="M183" i="6"/>
  <c r="L184" i="6"/>
  <c r="M184" i="6"/>
  <c r="N184" i="6" s="1"/>
  <c r="L185" i="6"/>
  <c r="M185" i="6"/>
  <c r="N185" i="6" s="1"/>
  <c r="L186" i="6"/>
  <c r="M186" i="6"/>
  <c r="L187" i="6"/>
  <c r="M187" i="6"/>
  <c r="N187" i="6" s="1"/>
  <c r="L188" i="6"/>
  <c r="M188" i="6"/>
  <c r="L189" i="6"/>
  <c r="M189" i="6"/>
  <c r="N189" i="6" s="1"/>
  <c r="L190" i="6"/>
  <c r="M190" i="6"/>
  <c r="L191" i="6"/>
  <c r="M191" i="6"/>
  <c r="N191" i="6" s="1"/>
  <c r="L192" i="6"/>
  <c r="M192" i="6"/>
  <c r="N192" i="6" s="1"/>
  <c r="L193" i="6"/>
  <c r="M193" i="6"/>
  <c r="L194" i="6"/>
  <c r="M194" i="6"/>
  <c r="N194" i="6" s="1"/>
  <c r="L195" i="6"/>
  <c r="M195" i="6"/>
  <c r="N195" i="6" s="1"/>
  <c r="L196" i="6"/>
  <c r="M196" i="6"/>
  <c r="N196" i="6" s="1"/>
  <c r="L197" i="6"/>
  <c r="M197" i="6"/>
  <c r="N197" i="6" s="1"/>
  <c r="L198" i="6"/>
  <c r="M198" i="6"/>
  <c r="N198" i="6" s="1"/>
  <c r="L199" i="6"/>
  <c r="M199" i="6"/>
  <c r="N199" i="6" s="1"/>
  <c r="L200" i="6"/>
  <c r="M200" i="6"/>
  <c r="N200" i="6" s="1"/>
  <c r="L201" i="6"/>
  <c r="M201" i="6"/>
  <c r="N201" i="6" s="1"/>
  <c r="L202" i="6"/>
  <c r="M202" i="6"/>
  <c r="L203" i="6"/>
  <c r="M203" i="6"/>
  <c r="N203" i="6" s="1"/>
  <c r="L204" i="6"/>
  <c r="M204" i="6"/>
  <c r="N204" i="6" s="1"/>
  <c r="L205" i="6"/>
  <c r="M205" i="6"/>
  <c r="N205" i="6" s="1"/>
  <c r="L206" i="6"/>
  <c r="M206" i="6"/>
  <c r="N206" i="6" s="1"/>
  <c r="L207" i="6"/>
  <c r="M207" i="6"/>
  <c r="L208" i="6"/>
  <c r="M208" i="6"/>
  <c r="L209" i="6"/>
  <c r="M209" i="6"/>
  <c r="N209" i="6" s="1"/>
  <c r="L210" i="6"/>
  <c r="M210" i="6"/>
  <c r="N210" i="6" s="1"/>
  <c r="L211" i="6"/>
  <c r="M211" i="6"/>
  <c r="L212" i="6"/>
  <c r="M212" i="6"/>
  <c r="N212" i="6" s="1"/>
  <c r="L213" i="6"/>
  <c r="M213" i="6"/>
  <c r="L214" i="6"/>
  <c r="M214" i="6"/>
  <c r="N214" i="6" s="1"/>
  <c r="L215" i="6"/>
  <c r="M215" i="6"/>
  <c r="N215" i="6" s="1"/>
  <c r="L216" i="6"/>
  <c r="M216" i="6"/>
  <c r="L217" i="6"/>
  <c r="M217" i="6"/>
  <c r="N217" i="6" s="1"/>
  <c r="L218" i="6"/>
  <c r="M218" i="6"/>
  <c r="L219" i="6"/>
  <c r="M219" i="6"/>
  <c r="L220" i="6"/>
  <c r="M220" i="6"/>
  <c r="N220" i="6" s="1"/>
  <c r="L221" i="6"/>
  <c r="M221" i="6"/>
  <c r="L222" i="6"/>
  <c r="M222" i="6"/>
  <c r="L223" i="6"/>
  <c r="M223" i="6"/>
  <c r="N223" i="6" s="1"/>
  <c r="L224" i="6"/>
  <c r="M224" i="6"/>
  <c r="L225" i="6"/>
  <c r="M225" i="6"/>
  <c r="N225" i="6" s="1"/>
  <c r="L226" i="6"/>
  <c r="M226" i="6"/>
  <c r="L227" i="6"/>
  <c r="M227" i="6"/>
  <c r="N227" i="6" s="1"/>
  <c r="L228" i="6"/>
  <c r="M228" i="6"/>
  <c r="N228" i="6" s="1"/>
  <c r="L229" i="6"/>
  <c r="M229" i="6"/>
  <c r="L230" i="6"/>
  <c r="M230" i="6"/>
  <c r="N230" i="6" s="1"/>
  <c r="L231" i="6"/>
  <c r="M231" i="6"/>
  <c r="N231" i="6" s="1"/>
  <c r="L232" i="6"/>
  <c r="M232" i="6"/>
  <c r="N232" i="6" s="1"/>
  <c r="L233" i="6"/>
  <c r="M233" i="6"/>
  <c r="L234" i="6"/>
  <c r="M234" i="6"/>
  <c r="N234" i="6" s="1"/>
  <c r="L235" i="6"/>
  <c r="M235" i="6"/>
  <c r="L236" i="6"/>
  <c r="M236" i="6"/>
  <c r="N236" i="6" s="1"/>
  <c r="L237" i="6"/>
  <c r="M237" i="6"/>
  <c r="N237" i="6" s="1"/>
  <c r="L238" i="6"/>
  <c r="M238" i="6"/>
  <c r="N238" i="6" s="1"/>
  <c r="L239" i="6"/>
  <c r="M239" i="6"/>
  <c r="N239" i="6" s="1"/>
  <c r="L240" i="6"/>
  <c r="M240" i="6"/>
  <c r="L241" i="6"/>
  <c r="M241" i="6"/>
  <c r="N241" i="6" s="1"/>
  <c r="L242" i="6"/>
  <c r="M242" i="6"/>
  <c r="L243" i="6"/>
  <c r="M243" i="6"/>
  <c r="N243" i="6" s="1"/>
  <c r="L244" i="6"/>
  <c r="M244" i="6"/>
  <c r="N244" i="6" s="1"/>
  <c r="L245" i="6"/>
  <c r="M245" i="6"/>
  <c r="N245" i="6" s="1"/>
  <c r="L246" i="6"/>
  <c r="M246" i="6"/>
  <c r="N246" i="6" s="1"/>
  <c r="L247" i="6"/>
  <c r="M247" i="6"/>
  <c r="N247" i="6" s="1"/>
  <c r="L248" i="6"/>
  <c r="M248" i="6"/>
  <c r="L249" i="6"/>
  <c r="M249" i="6"/>
  <c r="N249" i="6" s="1"/>
  <c r="L250" i="6"/>
  <c r="M250" i="6"/>
  <c r="N250" i="6" s="1"/>
  <c r="L251" i="6"/>
  <c r="M251" i="6"/>
  <c r="N251" i="6" s="1"/>
  <c r="L252" i="6"/>
  <c r="M252" i="6"/>
  <c r="L253" i="6"/>
  <c r="M253" i="6"/>
  <c r="N253" i="6" s="1"/>
  <c r="L254" i="6"/>
  <c r="M254" i="6"/>
  <c r="N254" i="6" s="1"/>
  <c r="L255" i="6"/>
  <c r="M255" i="6"/>
  <c r="N255" i="6" s="1"/>
  <c r="L256" i="6"/>
  <c r="M256" i="6"/>
  <c r="N256" i="6" s="1"/>
  <c r="L257" i="6"/>
  <c r="M257" i="6"/>
  <c r="L258" i="6"/>
  <c r="M258" i="6"/>
  <c r="N258" i="6" s="1"/>
  <c r="L259" i="6"/>
  <c r="M259" i="6"/>
  <c r="N259" i="6" s="1"/>
  <c r="L260" i="6"/>
  <c r="M260" i="6"/>
  <c r="L261" i="6"/>
  <c r="M261" i="6"/>
  <c r="N261" i="6" s="1"/>
  <c r="L262" i="6"/>
  <c r="M262" i="6"/>
  <c r="N262" i="6" s="1"/>
  <c r="L263" i="6"/>
  <c r="M263" i="6"/>
  <c r="N263" i="6" s="1"/>
  <c r="L264" i="6"/>
  <c r="M264" i="6"/>
  <c r="N264" i="6" s="1"/>
  <c r="L265" i="6"/>
  <c r="M265" i="6"/>
  <c r="L266" i="6"/>
  <c r="M266" i="6"/>
  <c r="N266" i="6" s="1"/>
  <c r="L267" i="6"/>
  <c r="M267" i="6"/>
  <c r="L268" i="6"/>
  <c r="M268" i="6"/>
  <c r="L269" i="6"/>
  <c r="M269" i="6"/>
  <c r="N269" i="6" s="1"/>
  <c r="L270" i="6"/>
  <c r="M270" i="6"/>
  <c r="L271" i="6"/>
  <c r="M271" i="6"/>
  <c r="N271" i="6" s="1"/>
  <c r="L272" i="6"/>
  <c r="M272" i="6"/>
  <c r="N272" i="6" s="1"/>
  <c r="L273" i="6"/>
  <c r="M273" i="6"/>
  <c r="N273" i="6" s="1"/>
  <c r="L274" i="6"/>
  <c r="M274" i="6"/>
  <c r="N274" i="6" s="1"/>
  <c r="L275" i="6"/>
  <c r="M275" i="6"/>
  <c r="N275" i="6" s="1"/>
  <c r="L276" i="6"/>
  <c r="M276" i="6"/>
  <c r="L277" i="6"/>
  <c r="M277" i="6"/>
  <c r="N277" i="6" s="1"/>
  <c r="L278" i="6"/>
  <c r="M278" i="6"/>
  <c r="L279" i="6"/>
  <c r="M279" i="6"/>
  <c r="N279" i="6" s="1"/>
  <c r="L280" i="6"/>
  <c r="M280" i="6"/>
  <c r="N280" i="6" s="1"/>
  <c r="L281" i="6"/>
  <c r="M281" i="6"/>
  <c r="N281" i="6" s="1"/>
  <c r="L282" i="6"/>
  <c r="M282" i="6"/>
  <c r="L283" i="6"/>
  <c r="M283" i="6"/>
  <c r="N283" i="6" s="1"/>
  <c r="L284" i="6"/>
  <c r="M284" i="6"/>
  <c r="N284" i="6" s="1"/>
  <c r="L285" i="6"/>
  <c r="M285" i="6"/>
  <c r="L286" i="6"/>
  <c r="M286" i="6"/>
  <c r="N286" i="6" s="1"/>
  <c r="L287" i="6"/>
  <c r="M287" i="6"/>
  <c r="L288" i="6"/>
  <c r="M288" i="6"/>
  <c r="N288" i="6" s="1"/>
  <c r="L289" i="6"/>
  <c r="M289" i="6"/>
  <c r="N289" i="6" s="1"/>
  <c r="L290" i="6"/>
  <c r="M290" i="6"/>
  <c r="N290" i="6" s="1"/>
  <c r="L291" i="6"/>
  <c r="M291" i="6"/>
  <c r="N291" i="6" s="1"/>
  <c r="L292" i="6"/>
  <c r="M292" i="6"/>
  <c r="N292" i="6" s="1"/>
  <c r="L293" i="6"/>
  <c r="M293" i="6"/>
  <c r="L294" i="6"/>
  <c r="M294" i="6"/>
  <c r="N294" i="6" s="1"/>
  <c r="L295" i="6"/>
  <c r="M295" i="6"/>
  <c r="N295" i="6" s="1"/>
  <c r="L296" i="6"/>
  <c r="M296" i="6"/>
  <c r="N296" i="6" s="1"/>
  <c r="L297" i="6"/>
  <c r="M297" i="6"/>
  <c r="N297" i="6" s="1"/>
  <c r="L298" i="6"/>
  <c r="M298" i="6"/>
  <c r="N298" i="6" s="1"/>
  <c r="L299" i="6"/>
  <c r="M299" i="6"/>
  <c r="L300" i="6"/>
  <c r="M300" i="6"/>
  <c r="L301" i="6"/>
  <c r="M301" i="6"/>
  <c r="N301" i="6" s="1"/>
  <c r="L302" i="6"/>
  <c r="M302" i="6"/>
  <c r="L303" i="6"/>
  <c r="M303" i="6"/>
  <c r="N303" i="6" s="1"/>
  <c r="L304" i="6"/>
  <c r="M304" i="6"/>
  <c r="N304" i="6" s="1"/>
  <c r="L305" i="6"/>
  <c r="M305" i="6"/>
  <c r="N305" i="6" s="1"/>
  <c r="L306" i="6"/>
  <c r="M306" i="6"/>
  <c r="N306" i="6" s="1"/>
  <c r="L307" i="6"/>
  <c r="M307" i="6"/>
  <c r="N307" i="6" s="1"/>
  <c r="L308" i="6"/>
  <c r="M308" i="6"/>
  <c r="N308" i="6" s="1"/>
  <c r="L309" i="6"/>
  <c r="M309" i="6"/>
  <c r="N309" i="6" s="1"/>
  <c r="L310" i="6"/>
  <c r="M310" i="6"/>
  <c r="N310" i="6" s="1"/>
  <c r="L311" i="6"/>
  <c r="M311" i="6"/>
  <c r="N311" i="6" s="1"/>
  <c r="L312" i="6"/>
  <c r="M312" i="6"/>
  <c r="L313" i="6"/>
  <c r="M313" i="6"/>
  <c r="N313" i="6" s="1"/>
  <c r="L314" i="6"/>
  <c r="M314" i="6"/>
  <c r="N314" i="6" s="1"/>
  <c r="L315" i="6"/>
  <c r="M315" i="6"/>
  <c r="L316" i="6"/>
  <c r="M316" i="6"/>
  <c r="N316" i="6" s="1"/>
  <c r="L317" i="6"/>
  <c r="M317" i="6"/>
  <c r="N317" i="6" s="1"/>
  <c r="L318" i="6"/>
  <c r="M318" i="6"/>
  <c r="N318" i="6" s="1"/>
  <c r="L319" i="6"/>
  <c r="M319" i="6"/>
  <c r="N319" i="6" s="1"/>
  <c r="L320" i="6"/>
  <c r="M320" i="6"/>
  <c r="N320" i="6" s="1"/>
  <c r="L321" i="6"/>
  <c r="M321" i="6"/>
  <c r="L322" i="6"/>
  <c r="M322" i="6"/>
  <c r="N322" i="6" s="1"/>
  <c r="L323" i="6"/>
  <c r="M323" i="6"/>
  <c r="N323" i="6" s="1"/>
  <c r="L324" i="6"/>
  <c r="M324" i="6"/>
  <c r="N324" i="6" s="1"/>
  <c r="L325" i="6"/>
  <c r="M325" i="6"/>
  <c r="N325" i="6" s="1"/>
  <c r="L326" i="6"/>
  <c r="M326" i="6"/>
  <c r="L327" i="6"/>
  <c r="M327" i="6"/>
  <c r="N327" i="6" s="1"/>
  <c r="L328" i="6"/>
  <c r="M328" i="6"/>
  <c r="N328" i="6" s="1"/>
  <c r="L329" i="6"/>
  <c r="M329" i="6"/>
  <c r="N329" i="6" s="1"/>
  <c r="L330" i="6"/>
  <c r="M330" i="6"/>
  <c r="N330" i="6" s="1"/>
  <c r="L331" i="6"/>
  <c r="M331" i="6"/>
  <c r="N331" i="6" s="1"/>
  <c r="L332" i="6"/>
  <c r="M332" i="6"/>
  <c r="N332" i="6" s="1"/>
  <c r="L333" i="6"/>
  <c r="M333" i="6"/>
  <c r="L334" i="6"/>
  <c r="M334" i="6"/>
  <c r="L335" i="6"/>
  <c r="M335" i="6"/>
  <c r="N335" i="6" s="1"/>
  <c r="L336" i="6"/>
  <c r="M336" i="6"/>
  <c r="N336" i="6" s="1"/>
  <c r="L337" i="6"/>
  <c r="M337" i="6"/>
  <c r="N337" i="6" s="1"/>
  <c r="L338" i="6"/>
  <c r="M338" i="6"/>
  <c r="N338" i="6" s="1"/>
  <c r="L339" i="6"/>
  <c r="M339" i="6"/>
  <c r="N339" i="6" s="1"/>
  <c r="L340" i="6"/>
  <c r="M340" i="6"/>
  <c r="N340" i="6" s="1"/>
  <c r="L341" i="6"/>
  <c r="M341" i="6"/>
  <c r="N341" i="6" s="1"/>
  <c r="L342" i="6"/>
  <c r="M342" i="6"/>
  <c r="N342" i="6" s="1"/>
  <c r="L343" i="6"/>
  <c r="M343" i="6"/>
  <c r="N343" i="6" s="1"/>
  <c r="L344" i="6"/>
  <c r="M344" i="6"/>
  <c r="N344" i="6" s="1"/>
  <c r="L345" i="6"/>
  <c r="M345" i="6"/>
  <c r="N345" i="6" s="1"/>
  <c r="L346" i="6"/>
  <c r="M346" i="6"/>
  <c r="N346" i="6" s="1"/>
  <c r="L347" i="6"/>
  <c r="M347" i="6"/>
  <c r="N347" i="6" s="1"/>
  <c r="L348" i="6"/>
  <c r="M348" i="6"/>
  <c r="L349" i="6"/>
  <c r="M349" i="6"/>
  <c r="N349" i="6" s="1"/>
  <c r="L350" i="6"/>
  <c r="M350" i="6"/>
  <c r="N350" i="6" s="1"/>
  <c r="L351" i="6"/>
  <c r="M351" i="6"/>
  <c r="N351" i="6" s="1"/>
  <c r="L352" i="6"/>
  <c r="M352" i="6"/>
  <c r="N352" i="6" s="1"/>
  <c r="L353" i="6"/>
  <c r="M353" i="6"/>
  <c r="N353" i="6" s="1"/>
  <c r="L354" i="6"/>
  <c r="M354" i="6"/>
  <c r="N354" i="6" s="1"/>
  <c r="L355" i="6"/>
  <c r="M355" i="6"/>
  <c r="L356" i="6"/>
  <c r="M356" i="6"/>
  <c r="N356" i="6" s="1"/>
  <c r="L357" i="6"/>
  <c r="M357" i="6"/>
  <c r="L358" i="6"/>
  <c r="M358" i="6"/>
  <c r="N358" i="6" s="1"/>
  <c r="L359" i="6"/>
  <c r="M359" i="6"/>
  <c r="N359" i="6" s="1"/>
  <c r="L360" i="6"/>
  <c r="M360" i="6"/>
  <c r="L361" i="6"/>
  <c r="M361" i="6"/>
  <c r="L362" i="6"/>
  <c r="M362" i="6"/>
  <c r="L363" i="6"/>
  <c r="M363" i="6"/>
  <c r="L364" i="6"/>
  <c r="M364" i="6"/>
  <c r="L365" i="6"/>
  <c r="M365" i="6"/>
  <c r="L366" i="6"/>
  <c r="M366" i="6"/>
  <c r="L367" i="6"/>
  <c r="M367" i="6"/>
  <c r="L368" i="6"/>
  <c r="M368" i="6"/>
  <c r="L369" i="6"/>
  <c r="M369" i="6"/>
  <c r="L370" i="6"/>
  <c r="M370" i="6"/>
  <c r="L371" i="6"/>
  <c r="M371" i="6"/>
  <c r="L372" i="6"/>
  <c r="M372" i="6"/>
  <c r="L373" i="6"/>
  <c r="M373" i="6"/>
  <c r="L374" i="6"/>
  <c r="M374" i="6"/>
  <c r="L375" i="6"/>
  <c r="M375" i="6"/>
  <c r="L376" i="6"/>
  <c r="M376" i="6"/>
  <c r="L377" i="6"/>
  <c r="M377" i="6"/>
  <c r="L378" i="6"/>
  <c r="M378" i="6"/>
  <c r="L379" i="6"/>
  <c r="M379" i="6"/>
  <c r="L380" i="6"/>
  <c r="M380" i="6"/>
  <c r="L381" i="6"/>
  <c r="M381" i="6"/>
  <c r="L382" i="6"/>
  <c r="M382" i="6"/>
  <c r="L383" i="6"/>
  <c r="M383" i="6"/>
  <c r="L384" i="6"/>
  <c r="M384" i="6"/>
  <c r="L385" i="6"/>
  <c r="M385" i="6"/>
  <c r="L386" i="6"/>
  <c r="M386" i="6"/>
  <c r="L387" i="6"/>
  <c r="M387" i="6"/>
  <c r="L388" i="6"/>
  <c r="M388" i="6"/>
  <c r="L389" i="6"/>
  <c r="M389" i="6"/>
  <c r="L390" i="6"/>
  <c r="M390" i="6"/>
  <c r="L391" i="6"/>
  <c r="N391" i="6"/>
  <c r="M2" i="6"/>
  <c r="N2" i="6" s="1"/>
  <c r="L2" i="6"/>
  <c r="G14" i="6"/>
  <c r="G15" i="6"/>
  <c r="G16" i="6"/>
  <c r="G17" i="6"/>
  <c r="G18" i="6"/>
  <c r="G19" i="6"/>
  <c r="G25" i="6"/>
  <c r="G28" i="6"/>
  <c r="G29" i="6"/>
  <c r="G30" i="6"/>
  <c r="G34" i="6"/>
  <c r="G35" i="6"/>
  <c r="G37" i="6"/>
  <c r="G43" i="6"/>
  <c r="G44" i="6"/>
  <c r="G45" i="6"/>
  <c r="G48" i="6"/>
  <c r="G50" i="6"/>
  <c r="G51" i="6"/>
  <c r="G53" i="6"/>
  <c r="G56" i="6"/>
  <c r="G57" i="6"/>
  <c r="G61" i="6"/>
  <c r="G70" i="6"/>
  <c r="G71" i="6"/>
  <c r="G72" i="6"/>
  <c r="G77" i="6"/>
  <c r="G78" i="6"/>
  <c r="G79" i="6"/>
  <c r="G86" i="6"/>
  <c r="G87" i="6"/>
  <c r="G88" i="6"/>
  <c r="G89" i="6"/>
  <c r="G90" i="6"/>
  <c r="G94" i="6"/>
  <c r="G95" i="6"/>
  <c r="G96" i="6"/>
  <c r="G97" i="6"/>
  <c r="G98" i="6"/>
  <c r="G100" i="6"/>
  <c r="G104" i="6"/>
  <c r="G105" i="6"/>
  <c r="G107" i="6"/>
  <c r="G108" i="6"/>
  <c r="G111" i="6"/>
  <c r="G112" i="6"/>
  <c r="G113" i="6"/>
  <c r="G118" i="6"/>
  <c r="G124" i="6"/>
  <c r="G127" i="6"/>
  <c r="G130" i="6"/>
  <c r="G132" i="6"/>
  <c r="G134" i="6"/>
  <c r="G136" i="6"/>
  <c r="G137" i="6"/>
  <c r="G141" i="6"/>
  <c r="G142" i="6"/>
  <c r="G144" i="6"/>
  <c r="G147" i="6"/>
  <c r="G149" i="6"/>
  <c r="G162" i="6"/>
  <c r="G164" i="6"/>
  <c r="G166" i="6"/>
  <c r="G168" i="6"/>
  <c r="G171" i="6"/>
  <c r="G172" i="6"/>
  <c r="G174" i="6"/>
  <c r="G178" i="6"/>
  <c r="G182" i="6"/>
  <c r="G183" i="6"/>
  <c r="G184" i="6"/>
  <c r="G185" i="6"/>
  <c r="G187" i="6"/>
  <c r="G189" i="6"/>
  <c r="G191" i="6"/>
  <c r="G193" i="6"/>
  <c r="G194" i="6"/>
  <c r="G195" i="6"/>
  <c r="G197" i="6"/>
  <c r="G198" i="6"/>
  <c r="G199" i="6"/>
  <c r="G200" i="6"/>
  <c r="G201" i="6"/>
  <c r="G203" i="6"/>
  <c r="G204" i="6"/>
  <c r="G206" i="6"/>
  <c r="G207" i="6"/>
  <c r="G209" i="6"/>
  <c r="G210" i="6"/>
  <c r="G211" i="6"/>
  <c r="G212" i="6"/>
  <c r="G214" i="6"/>
  <c r="G215" i="6"/>
  <c r="G217" i="6"/>
  <c r="G220" i="6"/>
  <c r="G223" i="6"/>
  <c r="G228" i="6"/>
  <c r="G230" i="6"/>
  <c r="G231" i="6"/>
  <c r="G232" i="6"/>
  <c r="G236" i="6"/>
  <c r="G237" i="6"/>
  <c r="G239" i="6"/>
  <c r="G241" i="6"/>
  <c r="G243" i="6"/>
  <c r="G244" i="6"/>
  <c r="G245" i="6"/>
  <c r="G246" i="6"/>
  <c r="G248" i="6"/>
  <c r="G249" i="6"/>
  <c r="G250" i="6"/>
  <c r="G252" i="6"/>
  <c r="G253" i="6"/>
  <c r="G254" i="6"/>
  <c r="G255" i="6"/>
  <c r="G256" i="6"/>
  <c r="G257" i="6"/>
  <c r="G258" i="6"/>
  <c r="G259" i="6"/>
  <c r="G261" i="6"/>
  <c r="G263" i="6"/>
  <c r="G266" i="6"/>
  <c r="G271" i="6"/>
  <c r="G273" i="6"/>
  <c r="G274" i="6"/>
  <c r="G275" i="6"/>
  <c r="G276" i="6"/>
  <c r="G277" i="6"/>
  <c r="G278" i="6"/>
  <c r="G279" i="6"/>
  <c r="G281" i="6"/>
  <c r="G283" i="6"/>
  <c r="G284" i="6"/>
  <c r="G286" i="6"/>
  <c r="G288" i="6"/>
  <c r="G289" i="6"/>
  <c r="G290" i="6"/>
  <c r="G291" i="6"/>
  <c r="G292" i="6"/>
  <c r="G294" i="6"/>
  <c r="G295" i="6"/>
  <c r="G296" i="6"/>
  <c r="G297" i="6"/>
  <c r="G298" i="6"/>
  <c r="G301" i="6"/>
  <c r="G303" i="6"/>
  <c r="G304" i="6"/>
  <c r="G305" i="6"/>
  <c r="G306" i="6"/>
  <c r="G307" i="6"/>
  <c r="G309" i="6"/>
  <c r="G310" i="6"/>
  <c r="G311" i="6"/>
  <c r="G313" i="6"/>
  <c r="G314" i="6"/>
  <c r="G316" i="6"/>
  <c r="G317" i="6"/>
  <c r="G319" i="6"/>
  <c r="G321" i="6"/>
  <c r="G322" i="6"/>
  <c r="G325" i="6"/>
  <c r="G327" i="6"/>
  <c r="G328" i="6"/>
  <c r="G329" i="6"/>
  <c r="G330" i="6"/>
  <c r="G331" i="6"/>
  <c r="G332" i="6"/>
  <c r="G335" i="6"/>
  <c r="G336" i="6"/>
  <c r="G337" i="6"/>
  <c r="G338" i="6"/>
  <c r="G339" i="6"/>
  <c r="G340" i="6"/>
  <c r="G341" i="6"/>
  <c r="G342" i="6"/>
  <c r="G343" i="6"/>
  <c r="G344" i="6"/>
  <c r="G345" i="6"/>
  <c r="G347" i="6"/>
  <c r="G349" i="6"/>
  <c r="G350" i="6"/>
  <c r="G351" i="6"/>
  <c r="G352" i="6"/>
  <c r="G353" i="6"/>
  <c r="G354" i="6"/>
  <c r="G356" i="6"/>
  <c r="G359" i="6"/>
  <c r="G360" i="6"/>
  <c r="G362" i="6"/>
  <c r="G364" i="6"/>
  <c r="G365" i="6"/>
  <c r="G367" i="6"/>
  <c r="G370" i="6"/>
  <c r="G372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7" i="6"/>
  <c r="G10" i="6"/>
  <c r="G4" i="6"/>
  <c r="G2" i="6"/>
  <c r="K1055" i="4"/>
  <c r="J1055" i="4"/>
  <c r="I1055" i="4"/>
  <c r="H1055" i="4"/>
  <c r="K1054" i="4"/>
  <c r="J1054" i="4"/>
  <c r="I1054" i="4"/>
  <c r="H1054" i="4"/>
  <c r="K1053" i="4"/>
  <c r="J1053" i="4"/>
  <c r="I1053" i="4"/>
  <c r="H1053" i="4"/>
  <c r="K1052" i="4"/>
  <c r="J1052" i="4"/>
  <c r="I1052" i="4"/>
  <c r="H1052" i="4"/>
  <c r="F1051" i="4"/>
  <c r="I1051" i="4" s="1"/>
  <c r="M1051" i="4" s="1"/>
  <c r="E1051" i="4"/>
  <c r="H1051" i="4" s="1"/>
  <c r="L1051" i="4" s="1"/>
  <c r="K1050" i="4"/>
  <c r="J1050" i="4"/>
  <c r="I1050" i="4"/>
  <c r="H1050" i="4"/>
  <c r="I1049" i="4"/>
  <c r="M1049" i="4" s="1"/>
  <c r="H1049" i="4"/>
  <c r="L1049" i="4" s="1"/>
  <c r="I1048" i="4"/>
  <c r="M1048" i="4" s="1"/>
  <c r="H1048" i="4"/>
  <c r="L1048" i="4" s="1"/>
  <c r="L1047" i="4"/>
  <c r="I1047" i="4"/>
  <c r="M1047" i="4" s="1"/>
  <c r="H1047" i="4"/>
  <c r="K1046" i="4"/>
  <c r="J1046" i="4"/>
  <c r="I1046" i="4"/>
  <c r="H1046" i="4"/>
  <c r="I1045" i="4"/>
  <c r="M1045" i="4" s="1"/>
  <c r="H1045" i="4"/>
  <c r="L1045" i="4" s="1"/>
  <c r="K1044" i="4"/>
  <c r="J1044" i="4"/>
  <c r="I1044" i="4"/>
  <c r="H1044" i="4"/>
  <c r="K1043" i="4"/>
  <c r="J1043" i="4"/>
  <c r="I1043" i="4"/>
  <c r="H1043" i="4"/>
  <c r="I1042" i="4"/>
  <c r="M1042" i="4" s="1"/>
  <c r="H1042" i="4"/>
  <c r="L1042" i="4" s="1"/>
  <c r="I1041" i="4"/>
  <c r="M1041" i="4" s="1"/>
  <c r="H1041" i="4"/>
  <c r="L1041" i="4" s="1"/>
  <c r="K1040" i="4"/>
  <c r="J1040" i="4"/>
  <c r="I1040" i="4"/>
  <c r="H1040" i="4"/>
  <c r="M1039" i="4"/>
  <c r="I1039" i="4"/>
  <c r="H1039" i="4"/>
  <c r="L1039" i="4" s="1"/>
  <c r="K1038" i="4"/>
  <c r="M1038" i="4" s="1"/>
  <c r="J1038" i="4"/>
  <c r="I1038" i="4"/>
  <c r="H1038" i="4"/>
  <c r="I1037" i="4"/>
  <c r="M1037" i="4" s="1"/>
  <c r="H1037" i="4"/>
  <c r="L1037" i="4" s="1"/>
  <c r="K1036" i="4"/>
  <c r="J1036" i="4"/>
  <c r="I1036" i="4"/>
  <c r="H1036" i="4"/>
  <c r="I1035" i="4"/>
  <c r="M1035" i="4" s="1"/>
  <c r="H1035" i="4"/>
  <c r="L1035" i="4" s="1"/>
  <c r="K1034" i="4"/>
  <c r="J1034" i="4"/>
  <c r="I1034" i="4"/>
  <c r="H1034" i="4"/>
  <c r="I1033" i="4"/>
  <c r="M1033" i="4" s="1"/>
  <c r="H1033" i="4"/>
  <c r="L1033" i="4" s="1"/>
  <c r="K1032" i="4"/>
  <c r="J1032" i="4"/>
  <c r="I1032" i="4"/>
  <c r="H1032" i="4"/>
  <c r="K1031" i="4"/>
  <c r="J1031" i="4"/>
  <c r="L1031" i="4" s="1"/>
  <c r="I1031" i="4"/>
  <c r="H1031" i="4"/>
  <c r="I1030" i="4"/>
  <c r="M1030" i="4" s="1"/>
  <c r="H1030" i="4"/>
  <c r="L1030" i="4" s="1"/>
  <c r="K1029" i="4"/>
  <c r="J1029" i="4"/>
  <c r="I1029" i="4"/>
  <c r="H1029" i="4"/>
  <c r="L1029" i="4" s="1"/>
  <c r="I1028" i="4"/>
  <c r="M1028" i="4" s="1"/>
  <c r="H1028" i="4"/>
  <c r="L1028" i="4" s="1"/>
  <c r="I1027" i="4"/>
  <c r="M1027" i="4" s="1"/>
  <c r="H1027" i="4"/>
  <c r="L1027" i="4" s="1"/>
  <c r="K1026" i="4"/>
  <c r="J1026" i="4"/>
  <c r="I1026" i="4"/>
  <c r="H1026" i="4"/>
  <c r="I1025" i="4"/>
  <c r="M1025" i="4" s="1"/>
  <c r="H1025" i="4"/>
  <c r="L1025" i="4" s="1"/>
  <c r="K1024" i="4"/>
  <c r="M1024" i="4" s="1"/>
  <c r="N1024" i="4" s="1"/>
  <c r="J1024" i="4"/>
  <c r="I1024" i="4"/>
  <c r="H1024" i="4"/>
  <c r="K1023" i="4"/>
  <c r="J1023" i="4"/>
  <c r="I1023" i="4"/>
  <c r="H1023" i="4"/>
  <c r="K1022" i="4"/>
  <c r="J1022" i="4"/>
  <c r="I1022" i="4"/>
  <c r="H1022" i="4"/>
  <c r="K1021" i="4"/>
  <c r="M1021" i="4" s="1"/>
  <c r="N1021" i="4" s="1"/>
  <c r="J1021" i="4"/>
  <c r="I1021" i="4"/>
  <c r="H1021" i="4"/>
  <c r="K1020" i="4"/>
  <c r="J1020" i="4"/>
  <c r="I1020" i="4"/>
  <c r="H1020" i="4"/>
  <c r="I1019" i="4"/>
  <c r="M1019" i="4" s="1"/>
  <c r="H1019" i="4"/>
  <c r="L1019" i="4" s="1"/>
  <c r="K1018" i="4"/>
  <c r="J1018" i="4"/>
  <c r="L1018" i="4" s="1"/>
  <c r="I1018" i="4"/>
  <c r="H1018" i="4"/>
  <c r="K1017" i="4"/>
  <c r="J1017" i="4"/>
  <c r="I1017" i="4"/>
  <c r="H1017" i="4"/>
  <c r="L1017" i="4" s="1"/>
  <c r="I1016" i="4"/>
  <c r="M1016" i="4" s="1"/>
  <c r="H1016" i="4"/>
  <c r="L1016" i="4" s="1"/>
  <c r="I1015" i="4"/>
  <c r="M1015" i="4" s="1"/>
  <c r="H1015" i="4"/>
  <c r="L1015" i="4" s="1"/>
  <c r="K1014" i="4"/>
  <c r="J1014" i="4"/>
  <c r="I1014" i="4"/>
  <c r="H1014" i="4"/>
  <c r="K1013" i="4"/>
  <c r="J1013" i="4"/>
  <c r="I1013" i="4"/>
  <c r="H1013" i="4"/>
  <c r="I1012" i="4"/>
  <c r="M1012" i="4" s="1"/>
  <c r="H1012" i="4"/>
  <c r="L1012" i="4" s="1"/>
  <c r="K1011" i="4"/>
  <c r="J1011" i="4"/>
  <c r="I1011" i="4"/>
  <c r="H1011" i="4"/>
  <c r="K1010" i="4"/>
  <c r="J1010" i="4"/>
  <c r="I1010" i="4"/>
  <c r="H1010" i="4"/>
  <c r="I1009" i="4"/>
  <c r="M1009" i="4" s="1"/>
  <c r="H1009" i="4"/>
  <c r="L1009" i="4" s="1"/>
  <c r="I1008" i="4"/>
  <c r="M1008" i="4" s="1"/>
  <c r="H1008" i="4"/>
  <c r="L1008" i="4" s="1"/>
  <c r="K1007" i="4"/>
  <c r="J1007" i="4"/>
  <c r="L1007" i="4" s="1"/>
  <c r="I1007" i="4"/>
  <c r="H1007" i="4"/>
  <c r="I1006" i="4"/>
  <c r="M1006" i="4" s="1"/>
  <c r="H1006" i="4"/>
  <c r="L1006" i="4" s="1"/>
  <c r="K1005" i="4"/>
  <c r="J1005" i="4"/>
  <c r="I1005" i="4"/>
  <c r="H1005" i="4"/>
  <c r="I1004" i="4"/>
  <c r="M1004" i="4" s="1"/>
  <c r="H1004" i="4"/>
  <c r="L1004" i="4" s="1"/>
  <c r="K1003" i="4"/>
  <c r="J1003" i="4"/>
  <c r="I1003" i="4"/>
  <c r="H1003" i="4"/>
  <c r="K1002" i="4"/>
  <c r="J1002" i="4"/>
  <c r="I1002" i="4"/>
  <c r="H1002" i="4"/>
  <c r="I1001" i="4"/>
  <c r="M1001" i="4" s="1"/>
  <c r="H1001" i="4"/>
  <c r="L1001" i="4" s="1"/>
  <c r="K1000" i="4"/>
  <c r="J1000" i="4"/>
  <c r="F1000" i="4"/>
  <c r="I1000" i="4" s="1"/>
  <c r="E1000" i="4"/>
  <c r="H1000" i="4" s="1"/>
  <c r="I999" i="4"/>
  <c r="M999" i="4" s="1"/>
  <c r="H999" i="4"/>
  <c r="L999" i="4" s="1"/>
  <c r="I998" i="4"/>
  <c r="M998" i="4" s="1"/>
  <c r="H998" i="4"/>
  <c r="L998" i="4" s="1"/>
  <c r="K997" i="4"/>
  <c r="J997" i="4"/>
  <c r="D997" i="4"/>
  <c r="I997" i="4" s="1"/>
  <c r="C997" i="4"/>
  <c r="H997" i="4" s="1"/>
  <c r="F996" i="4"/>
  <c r="I996" i="4" s="1"/>
  <c r="M996" i="4" s="1"/>
  <c r="E996" i="4"/>
  <c r="H996" i="4" s="1"/>
  <c r="L996" i="4" s="1"/>
  <c r="K995" i="4"/>
  <c r="J995" i="4"/>
  <c r="D995" i="4"/>
  <c r="I995" i="4" s="1"/>
  <c r="C995" i="4"/>
  <c r="H995" i="4" s="1"/>
  <c r="K994" i="4"/>
  <c r="J994" i="4"/>
  <c r="I994" i="4"/>
  <c r="H994" i="4"/>
  <c r="K993" i="4"/>
  <c r="J993" i="4"/>
  <c r="D993" i="4"/>
  <c r="I993" i="4" s="1"/>
  <c r="C993" i="4"/>
  <c r="H993" i="4" s="1"/>
  <c r="D992" i="4"/>
  <c r="I992" i="4" s="1"/>
  <c r="M992" i="4" s="1"/>
  <c r="C992" i="4"/>
  <c r="H992" i="4" s="1"/>
  <c r="L992" i="4" s="1"/>
  <c r="I991" i="4"/>
  <c r="M991" i="4" s="1"/>
  <c r="H991" i="4"/>
  <c r="L991" i="4" s="1"/>
  <c r="I990" i="4"/>
  <c r="M990" i="4" s="1"/>
  <c r="H990" i="4"/>
  <c r="L990" i="4" s="1"/>
  <c r="K989" i="4"/>
  <c r="J989" i="4"/>
  <c r="D989" i="4"/>
  <c r="I989" i="4" s="1"/>
  <c r="C989" i="4"/>
  <c r="H989" i="4" s="1"/>
  <c r="K988" i="4"/>
  <c r="J988" i="4"/>
  <c r="D988" i="4"/>
  <c r="I988" i="4" s="1"/>
  <c r="G988" i="4" s="1"/>
  <c r="C988" i="4"/>
  <c r="H988" i="4" s="1"/>
  <c r="K987" i="4"/>
  <c r="J987" i="4"/>
  <c r="D987" i="4"/>
  <c r="I987" i="4" s="1"/>
  <c r="C987" i="4"/>
  <c r="H987" i="4" s="1"/>
  <c r="I986" i="4"/>
  <c r="M986" i="4" s="1"/>
  <c r="H986" i="4"/>
  <c r="L986" i="4" s="1"/>
  <c r="K985" i="4"/>
  <c r="J985" i="4"/>
  <c r="D985" i="4"/>
  <c r="I985" i="4" s="1"/>
  <c r="C985" i="4"/>
  <c r="H985" i="4" s="1"/>
  <c r="K984" i="4"/>
  <c r="J984" i="4"/>
  <c r="D984" i="4"/>
  <c r="I984" i="4" s="1"/>
  <c r="G984" i="4" s="1"/>
  <c r="C984" i="4"/>
  <c r="H984" i="4" s="1"/>
  <c r="I983" i="4"/>
  <c r="M983" i="4" s="1"/>
  <c r="H983" i="4"/>
  <c r="L983" i="4" s="1"/>
  <c r="K982" i="4"/>
  <c r="J982" i="4"/>
  <c r="F982" i="4"/>
  <c r="E982" i="4"/>
  <c r="D982" i="4"/>
  <c r="C982" i="4"/>
  <c r="I981" i="4"/>
  <c r="M981" i="4" s="1"/>
  <c r="H981" i="4"/>
  <c r="L981" i="4" s="1"/>
  <c r="K980" i="4"/>
  <c r="J980" i="4"/>
  <c r="D980" i="4"/>
  <c r="I980" i="4" s="1"/>
  <c r="G980" i="4" s="1"/>
  <c r="C980" i="4"/>
  <c r="H980" i="4" s="1"/>
  <c r="K979" i="4"/>
  <c r="J979" i="4"/>
  <c r="D979" i="4"/>
  <c r="I979" i="4" s="1"/>
  <c r="G979" i="4" s="1"/>
  <c r="C979" i="4"/>
  <c r="H979" i="4" s="1"/>
  <c r="I978" i="4"/>
  <c r="M978" i="4" s="1"/>
  <c r="H978" i="4"/>
  <c r="L978" i="4" s="1"/>
  <c r="K977" i="4"/>
  <c r="J977" i="4"/>
  <c r="F977" i="4"/>
  <c r="E977" i="4"/>
  <c r="D977" i="4"/>
  <c r="C977" i="4"/>
  <c r="F976" i="4"/>
  <c r="I976" i="4" s="1"/>
  <c r="M976" i="4" s="1"/>
  <c r="E976" i="4"/>
  <c r="H976" i="4" s="1"/>
  <c r="L976" i="4" s="1"/>
  <c r="K975" i="4"/>
  <c r="J975" i="4"/>
  <c r="D975" i="4"/>
  <c r="I975" i="4" s="1"/>
  <c r="C975" i="4"/>
  <c r="H975" i="4" s="1"/>
  <c r="F974" i="4"/>
  <c r="I974" i="4" s="1"/>
  <c r="M974" i="4" s="1"/>
  <c r="E974" i="4"/>
  <c r="H974" i="4" s="1"/>
  <c r="L974" i="4" s="1"/>
  <c r="K973" i="4"/>
  <c r="J973" i="4"/>
  <c r="D973" i="4"/>
  <c r="I973" i="4" s="1"/>
  <c r="C973" i="4"/>
  <c r="H973" i="4" s="1"/>
  <c r="K972" i="4"/>
  <c r="J972" i="4"/>
  <c r="F972" i="4"/>
  <c r="E972" i="4"/>
  <c r="D972" i="4"/>
  <c r="I972" i="4" s="1"/>
  <c r="C972" i="4"/>
  <c r="K971" i="4"/>
  <c r="J971" i="4"/>
  <c r="D971" i="4"/>
  <c r="I971" i="4" s="1"/>
  <c r="C971" i="4"/>
  <c r="H971" i="4" s="1"/>
  <c r="I970" i="4"/>
  <c r="M970" i="4" s="1"/>
  <c r="H970" i="4"/>
  <c r="L970" i="4" s="1"/>
  <c r="K969" i="4"/>
  <c r="J969" i="4"/>
  <c r="F969" i="4"/>
  <c r="E969" i="4"/>
  <c r="D969" i="4"/>
  <c r="C969" i="4"/>
  <c r="K968" i="4"/>
  <c r="J968" i="4"/>
  <c r="D968" i="4"/>
  <c r="I968" i="4" s="1"/>
  <c r="C968" i="4"/>
  <c r="H968" i="4" s="1"/>
  <c r="K967" i="4"/>
  <c r="J967" i="4"/>
  <c r="D967" i="4"/>
  <c r="I967" i="4" s="1"/>
  <c r="G967" i="4" s="1"/>
  <c r="C967" i="4"/>
  <c r="H967" i="4" s="1"/>
  <c r="K966" i="4"/>
  <c r="J966" i="4"/>
  <c r="D966" i="4"/>
  <c r="I966" i="4" s="1"/>
  <c r="G966" i="4" s="1"/>
  <c r="C966" i="4"/>
  <c r="H966" i="4" s="1"/>
  <c r="K965" i="4"/>
  <c r="J965" i="4"/>
  <c r="I965" i="4"/>
  <c r="H965" i="4"/>
  <c r="K964" i="4"/>
  <c r="J964" i="4"/>
  <c r="D964" i="4"/>
  <c r="I964" i="4" s="1"/>
  <c r="G964" i="4" s="1"/>
  <c r="C964" i="4"/>
  <c r="H964" i="4" s="1"/>
  <c r="K963" i="4"/>
  <c r="J963" i="4"/>
  <c r="D963" i="4"/>
  <c r="I963" i="4" s="1"/>
  <c r="C963" i="4"/>
  <c r="H963" i="4" s="1"/>
  <c r="K962" i="4"/>
  <c r="J962" i="4"/>
  <c r="F962" i="4"/>
  <c r="E962" i="4"/>
  <c r="D962" i="4"/>
  <c r="C962" i="4"/>
  <c r="I961" i="4"/>
  <c r="M961" i="4" s="1"/>
  <c r="H961" i="4"/>
  <c r="L961" i="4" s="1"/>
  <c r="I960" i="4"/>
  <c r="M960" i="4" s="1"/>
  <c r="H960" i="4"/>
  <c r="L960" i="4" s="1"/>
  <c r="K959" i="4"/>
  <c r="J959" i="4"/>
  <c r="F959" i="4"/>
  <c r="E959" i="4"/>
  <c r="D959" i="4"/>
  <c r="C959" i="4"/>
  <c r="K958" i="4"/>
  <c r="J958" i="4"/>
  <c r="F958" i="4"/>
  <c r="E958" i="4"/>
  <c r="D958" i="4"/>
  <c r="C958" i="4"/>
  <c r="K957" i="4"/>
  <c r="J957" i="4"/>
  <c r="F957" i="4"/>
  <c r="E957" i="4"/>
  <c r="D957" i="4"/>
  <c r="C957" i="4"/>
  <c r="I956" i="4"/>
  <c r="M956" i="4" s="1"/>
  <c r="H956" i="4"/>
  <c r="L956" i="4" s="1"/>
  <c r="D955" i="4"/>
  <c r="I955" i="4" s="1"/>
  <c r="M955" i="4" s="1"/>
  <c r="C955" i="4"/>
  <c r="H955" i="4" s="1"/>
  <c r="L955" i="4" s="1"/>
  <c r="K954" i="4"/>
  <c r="J954" i="4"/>
  <c r="D954" i="4"/>
  <c r="I954" i="4" s="1"/>
  <c r="G954" i="4" s="1"/>
  <c r="C954" i="4"/>
  <c r="H954" i="4" s="1"/>
  <c r="K953" i="4"/>
  <c r="J953" i="4"/>
  <c r="F953" i="4"/>
  <c r="E953" i="4"/>
  <c r="D953" i="4"/>
  <c r="C953" i="4"/>
  <c r="K952" i="4"/>
  <c r="J952" i="4"/>
  <c r="D952" i="4"/>
  <c r="I952" i="4" s="1"/>
  <c r="C952" i="4"/>
  <c r="H952" i="4" s="1"/>
  <c r="F951" i="4"/>
  <c r="I951" i="4" s="1"/>
  <c r="M951" i="4" s="1"/>
  <c r="E951" i="4"/>
  <c r="H951" i="4" s="1"/>
  <c r="L951" i="4" s="1"/>
  <c r="K950" i="4"/>
  <c r="J950" i="4"/>
  <c r="I950" i="4"/>
  <c r="H950" i="4"/>
  <c r="I949" i="4"/>
  <c r="M949" i="4" s="1"/>
  <c r="H949" i="4"/>
  <c r="L949" i="4" s="1"/>
  <c r="D948" i="4"/>
  <c r="I948" i="4" s="1"/>
  <c r="C948" i="4"/>
  <c r="H948" i="4" s="1"/>
  <c r="L948" i="4" s="1"/>
  <c r="D947" i="4"/>
  <c r="I947" i="4" s="1"/>
  <c r="C947" i="4"/>
  <c r="H947" i="4" s="1"/>
  <c r="L947" i="4" s="1"/>
  <c r="D946" i="4"/>
  <c r="I946" i="4" s="1"/>
  <c r="M946" i="4" s="1"/>
  <c r="C946" i="4"/>
  <c r="H946" i="4" s="1"/>
  <c r="L946" i="4" s="1"/>
  <c r="F945" i="4"/>
  <c r="E945" i="4"/>
  <c r="D945" i="4"/>
  <c r="C945" i="4"/>
  <c r="F944" i="4"/>
  <c r="E944" i="4"/>
  <c r="D944" i="4"/>
  <c r="C944" i="4"/>
  <c r="F943" i="4"/>
  <c r="E943" i="4"/>
  <c r="D943" i="4"/>
  <c r="C943" i="4"/>
  <c r="D942" i="4"/>
  <c r="I942" i="4" s="1"/>
  <c r="C942" i="4"/>
  <c r="H942" i="4" s="1"/>
  <c r="L942" i="4" s="1"/>
  <c r="I941" i="4"/>
  <c r="M941" i="4" s="1"/>
  <c r="H941" i="4"/>
  <c r="L941" i="4" s="1"/>
  <c r="D940" i="4"/>
  <c r="I940" i="4" s="1"/>
  <c r="C940" i="4"/>
  <c r="H940" i="4" s="1"/>
  <c r="L940" i="4" s="1"/>
  <c r="D939" i="4"/>
  <c r="I939" i="4" s="1"/>
  <c r="C939" i="4"/>
  <c r="H939" i="4" s="1"/>
  <c r="L939" i="4" s="1"/>
  <c r="H938" i="4"/>
  <c r="L938" i="4" s="1"/>
  <c r="D938" i="4"/>
  <c r="I938" i="4" s="1"/>
  <c r="C938" i="4"/>
  <c r="D937" i="4"/>
  <c r="I937" i="4" s="1"/>
  <c r="C937" i="4"/>
  <c r="H937" i="4" s="1"/>
  <c r="L937" i="4" s="1"/>
  <c r="D936" i="4"/>
  <c r="I936" i="4" s="1"/>
  <c r="M936" i="4" s="1"/>
  <c r="C936" i="4"/>
  <c r="H936" i="4" s="1"/>
  <c r="L936" i="4" s="1"/>
  <c r="D935" i="4"/>
  <c r="I935" i="4" s="1"/>
  <c r="C935" i="4"/>
  <c r="H935" i="4" s="1"/>
  <c r="L935" i="4" s="1"/>
  <c r="I934" i="4"/>
  <c r="M934" i="4" s="1"/>
  <c r="H934" i="4"/>
  <c r="L934" i="4" s="1"/>
  <c r="I933" i="4"/>
  <c r="M933" i="4" s="1"/>
  <c r="H933" i="4"/>
  <c r="L933" i="4" s="1"/>
  <c r="D932" i="4"/>
  <c r="I932" i="4" s="1"/>
  <c r="C932" i="4"/>
  <c r="H932" i="4" s="1"/>
  <c r="L932" i="4" s="1"/>
  <c r="D931" i="4"/>
  <c r="I931" i="4" s="1"/>
  <c r="M931" i="4" s="1"/>
  <c r="C931" i="4"/>
  <c r="H931" i="4" s="1"/>
  <c r="L931" i="4" s="1"/>
  <c r="I930" i="4"/>
  <c r="M930" i="4" s="1"/>
  <c r="H930" i="4"/>
  <c r="L930" i="4" s="1"/>
  <c r="I929" i="4"/>
  <c r="M929" i="4" s="1"/>
  <c r="H929" i="4"/>
  <c r="L929" i="4" s="1"/>
  <c r="D928" i="4"/>
  <c r="I928" i="4" s="1"/>
  <c r="C928" i="4"/>
  <c r="H928" i="4" s="1"/>
  <c r="L928" i="4" s="1"/>
  <c r="I927" i="4"/>
  <c r="M927" i="4" s="1"/>
  <c r="H927" i="4"/>
  <c r="L927" i="4" s="1"/>
  <c r="D926" i="4"/>
  <c r="I926" i="4" s="1"/>
  <c r="M926" i="4" s="1"/>
  <c r="C926" i="4"/>
  <c r="H926" i="4" s="1"/>
  <c r="L926" i="4" s="1"/>
  <c r="D925" i="4"/>
  <c r="I925" i="4" s="1"/>
  <c r="C925" i="4"/>
  <c r="H925" i="4" s="1"/>
  <c r="L925" i="4" s="1"/>
  <c r="D924" i="4"/>
  <c r="I924" i="4" s="1"/>
  <c r="G924" i="4" s="1"/>
  <c r="C924" i="4"/>
  <c r="H924" i="4" s="1"/>
  <c r="L924" i="4" s="1"/>
  <c r="D923" i="4"/>
  <c r="I923" i="4" s="1"/>
  <c r="G923" i="4" s="1"/>
  <c r="C923" i="4"/>
  <c r="H923" i="4" s="1"/>
  <c r="L923" i="4" s="1"/>
  <c r="K922" i="4"/>
  <c r="J922" i="4"/>
  <c r="D922" i="4"/>
  <c r="I922" i="4" s="1"/>
  <c r="C922" i="4"/>
  <c r="H922" i="4" s="1"/>
  <c r="L921" i="4"/>
  <c r="I921" i="4"/>
  <c r="M921" i="4" s="1"/>
  <c r="H921" i="4"/>
  <c r="K920" i="4"/>
  <c r="J920" i="4"/>
  <c r="D920" i="4"/>
  <c r="I920" i="4" s="1"/>
  <c r="G920" i="4" s="1"/>
  <c r="C920" i="4"/>
  <c r="H920" i="4" s="1"/>
  <c r="I919" i="4"/>
  <c r="M919" i="4" s="1"/>
  <c r="H919" i="4"/>
  <c r="L919" i="4" s="1"/>
  <c r="D918" i="4"/>
  <c r="I918" i="4" s="1"/>
  <c r="C918" i="4"/>
  <c r="H918" i="4" s="1"/>
  <c r="L918" i="4" s="1"/>
  <c r="K917" i="4"/>
  <c r="J917" i="4"/>
  <c r="D917" i="4"/>
  <c r="I917" i="4" s="1"/>
  <c r="C917" i="4"/>
  <c r="H917" i="4" s="1"/>
  <c r="K916" i="4"/>
  <c r="J916" i="4"/>
  <c r="D916" i="4"/>
  <c r="I916" i="4" s="1"/>
  <c r="C916" i="4"/>
  <c r="H916" i="4" s="1"/>
  <c r="K915" i="4"/>
  <c r="J915" i="4"/>
  <c r="D915" i="4"/>
  <c r="I915" i="4" s="1"/>
  <c r="G915" i="4" s="1"/>
  <c r="C915" i="4"/>
  <c r="H915" i="4" s="1"/>
  <c r="K914" i="4"/>
  <c r="J914" i="4"/>
  <c r="D914" i="4"/>
  <c r="I914" i="4" s="1"/>
  <c r="C914" i="4"/>
  <c r="H914" i="4" s="1"/>
  <c r="K913" i="4"/>
  <c r="J913" i="4"/>
  <c r="D913" i="4"/>
  <c r="I913" i="4" s="1"/>
  <c r="G913" i="4" s="1"/>
  <c r="C913" i="4"/>
  <c r="H913" i="4" s="1"/>
  <c r="K912" i="4"/>
  <c r="J912" i="4"/>
  <c r="D912" i="4"/>
  <c r="I912" i="4" s="1"/>
  <c r="C912" i="4"/>
  <c r="H912" i="4" s="1"/>
  <c r="K911" i="4"/>
  <c r="J911" i="4"/>
  <c r="I911" i="4"/>
  <c r="H911" i="4"/>
  <c r="K910" i="4"/>
  <c r="J910" i="4"/>
  <c r="D910" i="4"/>
  <c r="I910" i="4" s="1"/>
  <c r="C910" i="4"/>
  <c r="H910" i="4" s="1"/>
  <c r="K909" i="4"/>
  <c r="J909" i="4"/>
  <c r="D909" i="4"/>
  <c r="I909" i="4" s="1"/>
  <c r="C909" i="4"/>
  <c r="H909" i="4" s="1"/>
  <c r="K908" i="4"/>
  <c r="J908" i="4"/>
  <c r="D908" i="4"/>
  <c r="I908" i="4" s="1"/>
  <c r="C908" i="4"/>
  <c r="H908" i="4" s="1"/>
  <c r="K907" i="4"/>
  <c r="J907" i="4"/>
  <c r="D907" i="4"/>
  <c r="I907" i="4" s="1"/>
  <c r="G907" i="4" s="1"/>
  <c r="C907" i="4"/>
  <c r="H907" i="4" s="1"/>
  <c r="K906" i="4"/>
  <c r="J906" i="4"/>
  <c r="I906" i="4"/>
  <c r="H906" i="4"/>
  <c r="K905" i="4"/>
  <c r="J905" i="4"/>
  <c r="F905" i="4"/>
  <c r="E905" i="4"/>
  <c r="D905" i="4"/>
  <c r="C905" i="4"/>
  <c r="K904" i="4"/>
  <c r="J904" i="4"/>
  <c r="D904" i="4"/>
  <c r="I904" i="4" s="1"/>
  <c r="G904" i="4" s="1"/>
  <c r="C904" i="4"/>
  <c r="H904" i="4" s="1"/>
  <c r="K903" i="4"/>
  <c r="J903" i="4"/>
  <c r="D903" i="4"/>
  <c r="I903" i="4" s="1"/>
  <c r="G903" i="4" s="1"/>
  <c r="C903" i="4"/>
  <c r="H903" i="4" s="1"/>
  <c r="K902" i="4"/>
  <c r="J902" i="4"/>
  <c r="F902" i="4"/>
  <c r="E902" i="4"/>
  <c r="D902" i="4"/>
  <c r="C902" i="4"/>
  <c r="K901" i="4"/>
  <c r="J901" i="4"/>
  <c r="D901" i="4"/>
  <c r="I901" i="4" s="1"/>
  <c r="C901" i="4"/>
  <c r="H901" i="4" s="1"/>
  <c r="K900" i="4"/>
  <c r="J900" i="4"/>
  <c r="D900" i="4"/>
  <c r="I900" i="4" s="1"/>
  <c r="C900" i="4"/>
  <c r="H900" i="4" s="1"/>
  <c r="I899" i="4"/>
  <c r="M899" i="4" s="1"/>
  <c r="H899" i="4"/>
  <c r="L899" i="4" s="1"/>
  <c r="K898" i="4"/>
  <c r="J898" i="4"/>
  <c r="D898" i="4"/>
  <c r="I898" i="4" s="1"/>
  <c r="G898" i="4" s="1"/>
  <c r="C898" i="4"/>
  <c r="H898" i="4" s="1"/>
  <c r="K897" i="4"/>
  <c r="J897" i="4"/>
  <c r="F897" i="4"/>
  <c r="E897" i="4"/>
  <c r="D897" i="4"/>
  <c r="C897" i="4"/>
  <c r="K896" i="4"/>
  <c r="J896" i="4"/>
  <c r="D896" i="4"/>
  <c r="I896" i="4" s="1"/>
  <c r="C896" i="4"/>
  <c r="H896" i="4" s="1"/>
  <c r="K895" i="4"/>
  <c r="J895" i="4"/>
  <c r="D895" i="4"/>
  <c r="I895" i="4" s="1"/>
  <c r="G895" i="4" s="1"/>
  <c r="C895" i="4"/>
  <c r="H895" i="4" s="1"/>
  <c r="K894" i="4"/>
  <c r="J894" i="4"/>
  <c r="I894" i="4"/>
  <c r="H894" i="4"/>
  <c r="K893" i="4"/>
  <c r="J893" i="4"/>
  <c r="F893" i="4"/>
  <c r="E893" i="4"/>
  <c r="D893" i="4"/>
  <c r="C893" i="4"/>
  <c r="I892" i="4"/>
  <c r="M892" i="4" s="1"/>
  <c r="H892" i="4"/>
  <c r="L892" i="4" s="1"/>
  <c r="K891" i="4"/>
  <c r="J891" i="4"/>
  <c r="D891" i="4"/>
  <c r="I891" i="4" s="1"/>
  <c r="G891" i="4" s="1"/>
  <c r="C891" i="4"/>
  <c r="H891" i="4" s="1"/>
  <c r="K890" i="4"/>
  <c r="J890" i="4"/>
  <c r="D890" i="4"/>
  <c r="I890" i="4" s="1"/>
  <c r="C890" i="4"/>
  <c r="H890" i="4" s="1"/>
  <c r="I889" i="4"/>
  <c r="M889" i="4" s="1"/>
  <c r="H889" i="4"/>
  <c r="L889" i="4" s="1"/>
  <c r="K888" i="4"/>
  <c r="J888" i="4"/>
  <c r="D888" i="4"/>
  <c r="I888" i="4" s="1"/>
  <c r="G888" i="4" s="1"/>
  <c r="C888" i="4"/>
  <c r="H888" i="4" s="1"/>
  <c r="D887" i="4"/>
  <c r="I887" i="4" s="1"/>
  <c r="M887" i="4" s="1"/>
  <c r="C887" i="4"/>
  <c r="H887" i="4" s="1"/>
  <c r="L887" i="4" s="1"/>
  <c r="K886" i="4"/>
  <c r="J886" i="4"/>
  <c r="D886" i="4"/>
  <c r="I886" i="4" s="1"/>
  <c r="C886" i="4"/>
  <c r="H886" i="4" s="1"/>
  <c r="K885" i="4"/>
  <c r="J885" i="4"/>
  <c r="D885" i="4"/>
  <c r="I885" i="4" s="1"/>
  <c r="G885" i="4" s="1"/>
  <c r="C885" i="4"/>
  <c r="H885" i="4" s="1"/>
  <c r="K884" i="4"/>
  <c r="J884" i="4"/>
  <c r="D884" i="4"/>
  <c r="I884" i="4" s="1"/>
  <c r="C884" i="4"/>
  <c r="H884" i="4" s="1"/>
  <c r="K883" i="4"/>
  <c r="J883" i="4"/>
  <c r="D883" i="4"/>
  <c r="I883" i="4" s="1"/>
  <c r="C883" i="4"/>
  <c r="H883" i="4" s="1"/>
  <c r="K882" i="4"/>
  <c r="J882" i="4"/>
  <c r="D882" i="4"/>
  <c r="I882" i="4" s="1"/>
  <c r="G882" i="4" s="1"/>
  <c r="C882" i="4"/>
  <c r="H882" i="4" s="1"/>
  <c r="K881" i="4"/>
  <c r="J881" i="4"/>
  <c r="D881" i="4"/>
  <c r="I881" i="4" s="1"/>
  <c r="C881" i="4"/>
  <c r="H881" i="4" s="1"/>
  <c r="K880" i="4"/>
  <c r="J880" i="4"/>
  <c r="D880" i="4"/>
  <c r="I880" i="4" s="1"/>
  <c r="C880" i="4"/>
  <c r="H880" i="4" s="1"/>
  <c r="K879" i="4"/>
  <c r="J879" i="4"/>
  <c r="D879" i="4"/>
  <c r="I879" i="4" s="1"/>
  <c r="C879" i="4"/>
  <c r="H879" i="4" s="1"/>
  <c r="K878" i="4"/>
  <c r="J878" i="4"/>
  <c r="D878" i="4"/>
  <c r="I878" i="4" s="1"/>
  <c r="C878" i="4"/>
  <c r="H878" i="4" s="1"/>
  <c r="L878" i="4" s="1"/>
  <c r="K877" i="4"/>
  <c r="J877" i="4"/>
  <c r="D877" i="4"/>
  <c r="I877" i="4" s="1"/>
  <c r="G877" i="4" s="1"/>
  <c r="C877" i="4"/>
  <c r="H877" i="4" s="1"/>
  <c r="K876" i="4"/>
  <c r="J876" i="4"/>
  <c r="I876" i="4"/>
  <c r="H876" i="4"/>
  <c r="K875" i="4"/>
  <c r="J875" i="4"/>
  <c r="D875" i="4"/>
  <c r="I875" i="4" s="1"/>
  <c r="C875" i="4"/>
  <c r="H875" i="4" s="1"/>
  <c r="K874" i="4"/>
  <c r="J874" i="4"/>
  <c r="D874" i="4"/>
  <c r="I874" i="4" s="1"/>
  <c r="C874" i="4"/>
  <c r="H874" i="4" s="1"/>
  <c r="I873" i="4"/>
  <c r="M873" i="4" s="1"/>
  <c r="H873" i="4"/>
  <c r="L873" i="4" s="1"/>
  <c r="K872" i="4"/>
  <c r="J872" i="4"/>
  <c r="D872" i="4"/>
  <c r="I872" i="4" s="1"/>
  <c r="G872" i="4" s="1"/>
  <c r="C872" i="4"/>
  <c r="H872" i="4" s="1"/>
  <c r="M871" i="4"/>
  <c r="I871" i="4"/>
  <c r="H871" i="4"/>
  <c r="L871" i="4" s="1"/>
  <c r="K870" i="4"/>
  <c r="J870" i="4"/>
  <c r="D870" i="4"/>
  <c r="I870" i="4" s="1"/>
  <c r="C870" i="4"/>
  <c r="H870" i="4" s="1"/>
  <c r="K869" i="4"/>
  <c r="J869" i="4"/>
  <c r="D869" i="4"/>
  <c r="I869" i="4" s="1"/>
  <c r="G869" i="4" s="1"/>
  <c r="C869" i="4"/>
  <c r="H869" i="4" s="1"/>
  <c r="K868" i="4"/>
  <c r="J868" i="4"/>
  <c r="F868" i="4"/>
  <c r="E868" i="4"/>
  <c r="D868" i="4"/>
  <c r="C868" i="4"/>
  <c r="K867" i="4"/>
  <c r="J867" i="4"/>
  <c r="D867" i="4"/>
  <c r="I867" i="4" s="1"/>
  <c r="C867" i="4"/>
  <c r="H867" i="4" s="1"/>
  <c r="K866" i="4"/>
  <c r="J866" i="4"/>
  <c r="D866" i="4"/>
  <c r="I866" i="4" s="1"/>
  <c r="C866" i="4"/>
  <c r="H866" i="4" s="1"/>
  <c r="I865" i="4"/>
  <c r="M865" i="4" s="1"/>
  <c r="H865" i="4"/>
  <c r="L865" i="4" s="1"/>
  <c r="K864" i="4"/>
  <c r="J864" i="4"/>
  <c r="D864" i="4"/>
  <c r="I864" i="4" s="1"/>
  <c r="C864" i="4"/>
  <c r="H864" i="4" s="1"/>
  <c r="K863" i="4"/>
  <c r="J863" i="4"/>
  <c r="F863" i="4"/>
  <c r="E863" i="4"/>
  <c r="D863" i="4"/>
  <c r="C863" i="4"/>
  <c r="K862" i="4"/>
  <c r="J862" i="4"/>
  <c r="I862" i="4"/>
  <c r="H862" i="4"/>
  <c r="K861" i="4"/>
  <c r="J861" i="4"/>
  <c r="D861" i="4"/>
  <c r="I861" i="4" s="1"/>
  <c r="C861" i="4"/>
  <c r="H861" i="4" s="1"/>
  <c r="K860" i="4"/>
  <c r="J860" i="4"/>
  <c r="D860" i="4"/>
  <c r="I860" i="4" s="1"/>
  <c r="C860" i="4"/>
  <c r="H860" i="4" s="1"/>
  <c r="K859" i="4"/>
  <c r="J859" i="4"/>
  <c r="D859" i="4"/>
  <c r="I859" i="4" s="1"/>
  <c r="C859" i="4"/>
  <c r="H859" i="4" s="1"/>
  <c r="I858" i="4"/>
  <c r="M858" i="4" s="1"/>
  <c r="H858" i="4"/>
  <c r="L858" i="4" s="1"/>
  <c r="K857" i="4"/>
  <c r="J857" i="4"/>
  <c r="D857" i="4"/>
  <c r="I857" i="4" s="1"/>
  <c r="C857" i="4"/>
  <c r="H857" i="4" s="1"/>
  <c r="K856" i="4"/>
  <c r="J856" i="4"/>
  <c r="D856" i="4"/>
  <c r="I856" i="4" s="1"/>
  <c r="C856" i="4"/>
  <c r="H856" i="4" s="1"/>
  <c r="K855" i="4"/>
  <c r="J855" i="4"/>
  <c r="D855" i="4"/>
  <c r="I855" i="4" s="1"/>
  <c r="G855" i="4" s="1"/>
  <c r="C855" i="4"/>
  <c r="H855" i="4" s="1"/>
  <c r="K854" i="4"/>
  <c r="J854" i="4"/>
  <c r="D854" i="4"/>
  <c r="I854" i="4" s="1"/>
  <c r="C854" i="4"/>
  <c r="H854" i="4" s="1"/>
  <c r="I853" i="4"/>
  <c r="M853" i="4" s="1"/>
  <c r="H853" i="4"/>
  <c r="L853" i="4" s="1"/>
  <c r="D852" i="4"/>
  <c r="I852" i="4" s="1"/>
  <c r="C852" i="4"/>
  <c r="H852" i="4" s="1"/>
  <c r="L852" i="4" s="1"/>
  <c r="D851" i="4"/>
  <c r="I851" i="4" s="1"/>
  <c r="C851" i="4"/>
  <c r="H851" i="4" s="1"/>
  <c r="L851" i="4" s="1"/>
  <c r="K850" i="4"/>
  <c r="J850" i="4"/>
  <c r="D850" i="4"/>
  <c r="I850" i="4" s="1"/>
  <c r="C850" i="4"/>
  <c r="H850" i="4" s="1"/>
  <c r="K849" i="4"/>
  <c r="J849" i="4"/>
  <c r="D849" i="4"/>
  <c r="I849" i="4" s="1"/>
  <c r="C849" i="4"/>
  <c r="H849" i="4" s="1"/>
  <c r="K848" i="4"/>
  <c r="J848" i="4"/>
  <c r="D848" i="4"/>
  <c r="I848" i="4" s="1"/>
  <c r="G848" i="4" s="1"/>
  <c r="C848" i="4"/>
  <c r="H848" i="4" s="1"/>
  <c r="K847" i="4"/>
  <c r="J847" i="4"/>
  <c r="I847" i="4"/>
  <c r="H847" i="4"/>
  <c r="K846" i="4"/>
  <c r="J846" i="4"/>
  <c r="D846" i="4"/>
  <c r="I846" i="4" s="1"/>
  <c r="C846" i="4"/>
  <c r="H846" i="4" s="1"/>
  <c r="D845" i="4"/>
  <c r="I845" i="4" s="1"/>
  <c r="M845" i="4" s="1"/>
  <c r="C845" i="4"/>
  <c r="H845" i="4" s="1"/>
  <c r="L845" i="4" s="1"/>
  <c r="K844" i="4"/>
  <c r="J844" i="4"/>
  <c r="I844" i="4"/>
  <c r="H844" i="4"/>
  <c r="I843" i="4"/>
  <c r="M843" i="4" s="1"/>
  <c r="H843" i="4"/>
  <c r="L843" i="4" s="1"/>
  <c r="K842" i="4"/>
  <c r="J842" i="4"/>
  <c r="D842" i="4"/>
  <c r="I842" i="4" s="1"/>
  <c r="C842" i="4"/>
  <c r="H842" i="4" s="1"/>
  <c r="K841" i="4"/>
  <c r="J841" i="4"/>
  <c r="D841" i="4"/>
  <c r="I841" i="4" s="1"/>
  <c r="C841" i="4"/>
  <c r="H841" i="4" s="1"/>
  <c r="I840" i="4"/>
  <c r="M840" i="4" s="1"/>
  <c r="H840" i="4"/>
  <c r="L840" i="4" s="1"/>
  <c r="K839" i="4"/>
  <c r="J839" i="4"/>
  <c r="D839" i="4"/>
  <c r="I839" i="4" s="1"/>
  <c r="C839" i="4"/>
  <c r="H839" i="4" s="1"/>
  <c r="K838" i="4"/>
  <c r="J838" i="4"/>
  <c r="D838" i="4"/>
  <c r="I838" i="4" s="1"/>
  <c r="C838" i="4"/>
  <c r="H838" i="4" s="1"/>
  <c r="K837" i="4"/>
  <c r="J837" i="4"/>
  <c r="D837" i="4"/>
  <c r="I837" i="4" s="1"/>
  <c r="C837" i="4"/>
  <c r="H837" i="4" s="1"/>
  <c r="K836" i="4"/>
  <c r="J836" i="4"/>
  <c r="D836" i="4"/>
  <c r="I836" i="4" s="1"/>
  <c r="G836" i="4" s="1"/>
  <c r="C836" i="4"/>
  <c r="H836" i="4" s="1"/>
  <c r="I835" i="4"/>
  <c r="M835" i="4" s="1"/>
  <c r="H835" i="4"/>
  <c r="L835" i="4" s="1"/>
  <c r="K834" i="4"/>
  <c r="J834" i="4"/>
  <c r="D834" i="4"/>
  <c r="I834" i="4" s="1"/>
  <c r="C834" i="4"/>
  <c r="H834" i="4" s="1"/>
  <c r="K833" i="4"/>
  <c r="J833" i="4"/>
  <c r="D833" i="4"/>
  <c r="I833" i="4" s="1"/>
  <c r="C833" i="4"/>
  <c r="H833" i="4" s="1"/>
  <c r="F832" i="4"/>
  <c r="I832" i="4" s="1"/>
  <c r="M832" i="4" s="1"/>
  <c r="E832" i="4"/>
  <c r="H832" i="4" s="1"/>
  <c r="L832" i="4" s="1"/>
  <c r="K831" i="4"/>
  <c r="J831" i="4"/>
  <c r="D831" i="4"/>
  <c r="I831" i="4" s="1"/>
  <c r="C831" i="4"/>
  <c r="H831" i="4" s="1"/>
  <c r="K830" i="4"/>
  <c r="J830" i="4"/>
  <c r="D830" i="4"/>
  <c r="I830" i="4" s="1"/>
  <c r="C830" i="4"/>
  <c r="H830" i="4" s="1"/>
  <c r="K829" i="4"/>
  <c r="J829" i="4"/>
  <c r="D829" i="4"/>
  <c r="I829" i="4" s="1"/>
  <c r="C829" i="4"/>
  <c r="H829" i="4" s="1"/>
  <c r="K828" i="4"/>
  <c r="J828" i="4"/>
  <c r="D828" i="4"/>
  <c r="I828" i="4" s="1"/>
  <c r="C828" i="4"/>
  <c r="H828" i="4" s="1"/>
  <c r="F827" i="4"/>
  <c r="I827" i="4" s="1"/>
  <c r="M827" i="4" s="1"/>
  <c r="E827" i="4"/>
  <c r="H827" i="4" s="1"/>
  <c r="L827" i="4" s="1"/>
  <c r="K826" i="4"/>
  <c r="J826" i="4"/>
  <c r="I826" i="4"/>
  <c r="H826" i="4"/>
  <c r="K825" i="4"/>
  <c r="J825" i="4"/>
  <c r="D825" i="4"/>
  <c r="I825" i="4" s="1"/>
  <c r="C825" i="4"/>
  <c r="H825" i="4" s="1"/>
  <c r="K824" i="4"/>
  <c r="J824" i="4"/>
  <c r="F824" i="4"/>
  <c r="E824" i="4"/>
  <c r="D824" i="4"/>
  <c r="C824" i="4"/>
  <c r="K823" i="4"/>
  <c r="J823" i="4"/>
  <c r="I823" i="4"/>
  <c r="D823" i="4"/>
  <c r="C823" i="4"/>
  <c r="H823" i="4" s="1"/>
  <c r="K822" i="4"/>
  <c r="J822" i="4"/>
  <c r="D822" i="4"/>
  <c r="I822" i="4" s="1"/>
  <c r="C822" i="4"/>
  <c r="H822" i="4" s="1"/>
  <c r="K821" i="4"/>
  <c r="J821" i="4"/>
  <c r="F821" i="4"/>
  <c r="E821" i="4"/>
  <c r="D821" i="4"/>
  <c r="C821" i="4"/>
  <c r="K820" i="4"/>
  <c r="J820" i="4"/>
  <c r="D820" i="4"/>
  <c r="I820" i="4" s="1"/>
  <c r="C820" i="4"/>
  <c r="H820" i="4" s="1"/>
  <c r="I819" i="4"/>
  <c r="M819" i="4" s="1"/>
  <c r="H819" i="4"/>
  <c r="L819" i="4" s="1"/>
  <c r="K818" i="4"/>
  <c r="J818" i="4"/>
  <c r="F818" i="4"/>
  <c r="E818" i="4"/>
  <c r="D818" i="4"/>
  <c r="C818" i="4"/>
  <c r="I817" i="4"/>
  <c r="M817" i="4" s="1"/>
  <c r="H817" i="4"/>
  <c r="L817" i="4" s="1"/>
  <c r="K816" i="4"/>
  <c r="J816" i="4"/>
  <c r="D816" i="4"/>
  <c r="I816" i="4" s="1"/>
  <c r="C816" i="4"/>
  <c r="H816" i="4" s="1"/>
  <c r="K815" i="4"/>
  <c r="J815" i="4"/>
  <c r="I815" i="4"/>
  <c r="H815" i="4"/>
  <c r="K814" i="4"/>
  <c r="J814" i="4"/>
  <c r="D814" i="4"/>
  <c r="I814" i="4" s="1"/>
  <c r="C814" i="4"/>
  <c r="H814" i="4" s="1"/>
  <c r="K813" i="4"/>
  <c r="J813" i="4"/>
  <c r="F813" i="4"/>
  <c r="E813" i="4"/>
  <c r="D813" i="4"/>
  <c r="C813" i="4"/>
  <c r="I812" i="4"/>
  <c r="M812" i="4" s="1"/>
  <c r="H812" i="4"/>
  <c r="L812" i="4" s="1"/>
  <c r="K811" i="4"/>
  <c r="J811" i="4"/>
  <c r="L811" i="4" s="1"/>
  <c r="I811" i="4"/>
  <c r="H811" i="4"/>
  <c r="I810" i="4"/>
  <c r="M810" i="4" s="1"/>
  <c r="H810" i="4"/>
  <c r="L810" i="4" s="1"/>
  <c r="K809" i="4"/>
  <c r="J809" i="4"/>
  <c r="D809" i="4"/>
  <c r="I809" i="4" s="1"/>
  <c r="C809" i="4"/>
  <c r="H809" i="4" s="1"/>
  <c r="K808" i="4"/>
  <c r="J808" i="4"/>
  <c r="D808" i="4"/>
  <c r="I808" i="4" s="1"/>
  <c r="C808" i="4"/>
  <c r="H808" i="4" s="1"/>
  <c r="K807" i="4"/>
  <c r="J807" i="4"/>
  <c r="D807" i="4"/>
  <c r="I807" i="4" s="1"/>
  <c r="C807" i="4"/>
  <c r="H807" i="4" s="1"/>
  <c r="K806" i="4"/>
  <c r="J806" i="4"/>
  <c r="D806" i="4"/>
  <c r="I806" i="4" s="1"/>
  <c r="C806" i="4"/>
  <c r="H806" i="4" s="1"/>
  <c r="K805" i="4"/>
  <c r="J805" i="4"/>
  <c r="D805" i="4"/>
  <c r="I805" i="4" s="1"/>
  <c r="C805" i="4"/>
  <c r="H805" i="4" s="1"/>
  <c r="I804" i="4"/>
  <c r="M804" i="4" s="1"/>
  <c r="H804" i="4"/>
  <c r="L804" i="4" s="1"/>
  <c r="K803" i="4"/>
  <c r="J803" i="4"/>
  <c r="D803" i="4"/>
  <c r="I803" i="4" s="1"/>
  <c r="C803" i="4"/>
  <c r="H803" i="4" s="1"/>
  <c r="I802" i="4"/>
  <c r="M802" i="4" s="1"/>
  <c r="H802" i="4"/>
  <c r="L802" i="4" s="1"/>
  <c r="K801" i="4"/>
  <c r="J801" i="4"/>
  <c r="D801" i="4"/>
  <c r="I801" i="4" s="1"/>
  <c r="G801" i="4" s="1"/>
  <c r="C801" i="4"/>
  <c r="H801" i="4" s="1"/>
  <c r="I800" i="4"/>
  <c r="M800" i="4" s="1"/>
  <c r="H800" i="4"/>
  <c r="L800" i="4" s="1"/>
  <c r="I799" i="4"/>
  <c r="M799" i="4" s="1"/>
  <c r="H799" i="4"/>
  <c r="L799" i="4" s="1"/>
  <c r="K798" i="4"/>
  <c r="J798" i="4"/>
  <c r="F798" i="4"/>
  <c r="E798" i="4"/>
  <c r="D798" i="4"/>
  <c r="C798" i="4"/>
  <c r="K797" i="4"/>
  <c r="J797" i="4"/>
  <c r="D797" i="4"/>
  <c r="I797" i="4" s="1"/>
  <c r="C797" i="4"/>
  <c r="H797" i="4" s="1"/>
  <c r="K796" i="4"/>
  <c r="J796" i="4"/>
  <c r="D796" i="4"/>
  <c r="I796" i="4" s="1"/>
  <c r="G796" i="4" s="1"/>
  <c r="C796" i="4"/>
  <c r="H796" i="4" s="1"/>
  <c r="D795" i="4"/>
  <c r="I795" i="4" s="1"/>
  <c r="M795" i="4" s="1"/>
  <c r="C795" i="4"/>
  <c r="H795" i="4" s="1"/>
  <c r="L795" i="4" s="1"/>
  <c r="K794" i="4"/>
  <c r="J794" i="4"/>
  <c r="D794" i="4"/>
  <c r="I794" i="4" s="1"/>
  <c r="C794" i="4"/>
  <c r="H794" i="4" s="1"/>
  <c r="K793" i="4"/>
  <c r="J793" i="4"/>
  <c r="D793" i="4"/>
  <c r="I793" i="4" s="1"/>
  <c r="C793" i="4"/>
  <c r="H793" i="4" s="1"/>
  <c r="I792" i="4"/>
  <c r="M792" i="4" s="1"/>
  <c r="H792" i="4"/>
  <c r="L792" i="4" s="1"/>
  <c r="D791" i="4"/>
  <c r="I791" i="4" s="1"/>
  <c r="C791" i="4"/>
  <c r="H791" i="4" s="1"/>
  <c r="L791" i="4" s="1"/>
  <c r="K790" i="4"/>
  <c r="J790" i="4"/>
  <c r="D790" i="4"/>
  <c r="I790" i="4" s="1"/>
  <c r="G790" i="4" s="1"/>
  <c r="C790" i="4"/>
  <c r="H790" i="4" s="1"/>
  <c r="K789" i="4"/>
  <c r="J789" i="4"/>
  <c r="D789" i="4"/>
  <c r="I789" i="4" s="1"/>
  <c r="C789" i="4"/>
  <c r="H789" i="4" s="1"/>
  <c r="K788" i="4"/>
  <c r="J788" i="4"/>
  <c r="D788" i="4"/>
  <c r="I788" i="4" s="1"/>
  <c r="C788" i="4"/>
  <c r="H788" i="4" s="1"/>
  <c r="K787" i="4"/>
  <c r="J787" i="4"/>
  <c r="D787" i="4"/>
  <c r="I787" i="4" s="1"/>
  <c r="G787" i="4" s="1"/>
  <c r="C787" i="4"/>
  <c r="H787" i="4" s="1"/>
  <c r="K786" i="4"/>
  <c r="J786" i="4"/>
  <c r="D786" i="4"/>
  <c r="I786" i="4" s="1"/>
  <c r="C786" i="4"/>
  <c r="H786" i="4" s="1"/>
  <c r="K785" i="4"/>
  <c r="J785" i="4"/>
  <c r="D785" i="4"/>
  <c r="I785" i="4" s="1"/>
  <c r="G785" i="4" s="1"/>
  <c r="C785" i="4"/>
  <c r="H785" i="4" s="1"/>
  <c r="K784" i="4"/>
  <c r="J784" i="4"/>
  <c r="F784" i="4"/>
  <c r="E784" i="4"/>
  <c r="D784" i="4"/>
  <c r="C784" i="4"/>
  <c r="F783" i="4"/>
  <c r="I783" i="4" s="1"/>
  <c r="M783" i="4" s="1"/>
  <c r="E783" i="4"/>
  <c r="H783" i="4" s="1"/>
  <c r="L783" i="4" s="1"/>
  <c r="K782" i="4"/>
  <c r="J782" i="4"/>
  <c r="F782" i="4"/>
  <c r="E782" i="4"/>
  <c r="D782" i="4"/>
  <c r="C782" i="4"/>
  <c r="K781" i="4"/>
  <c r="J781" i="4"/>
  <c r="D781" i="4"/>
  <c r="I781" i="4" s="1"/>
  <c r="C781" i="4"/>
  <c r="H781" i="4" s="1"/>
  <c r="K780" i="4"/>
  <c r="J780" i="4"/>
  <c r="D780" i="4"/>
  <c r="I780" i="4" s="1"/>
  <c r="G780" i="4" s="1"/>
  <c r="C780" i="4"/>
  <c r="H780" i="4" s="1"/>
  <c r="I779" i="4"/>
  <c r="M779" i="4" s="1"/>
  <c r="H779" i="4"/>
  <c r="L779" i="4" s="1"/>
  <c r="I778" i="4"/>
  <c r="M778" i="4" s="1"/>
  <c r="H778" i="4"/>
  <c r="L778" i="4" s="1"/>
  <c r="I777" i="4"/>
  <c r="M777" i="4" s="1"/>
  <c r="H777" i="4"/>
  <c r="L777" i="4" s="1"/>
  <c r="K776" i="4"/>
  <c r="J776" i="4"/>
  <c r="F776" i="4"/>
  <c r="E776" i="4"/>
  <c r="D776" i="4"/>
  <c r="C776" i="4"/>
  <c r="K775" i="4"/>
  <c r="J775" i="4"/>
  <c r="D775" i="4"/>
  <c r="I775" i="4" s="1"/>
  <c r="C775" i="4"/>
  <c r="H775" i="4" s="1"/>
  <c r="K774" i="4"/>
  <c r="J774" i="4"/>
  <c r="F774" i="4"/>
  <c r="E774" i="4"/>
  <c r="D774" i="4"/>
  <c r="C774" i="4"/>
  <c r="I773" i="4"/>
  <c r="M773" i="4" s="1"/>
  <c r="H773" i="4"/>
  <c r="L773" i="4" s="1"/>
  <c r="K772" i="4"/>
  <c r="J772" i="4"/>
  <c r="D772" i="4"/>
  <c r="I772" i="4" s="1"/>
  <c r="G772" i="4" s="1"/>
  <c r="C772" i="4"/>
  <c r="H772" i="4" s="1"/>
  <c r="I771" i="4"/>
  <c r="M771" i="4" s="1"/>
  <c r="H771" i="4"/>
  <c r="L771" i="4" s="1"/>
  <c r="I770" i="4"/>
  <c r="M770" i="4" s="1"/>
  <c r="H770" i="4"/>
  <c r="L770" i="4" s="1"/>
  <c r="K769" i="4"/>
  <c r="J769" i="4"/>
  <c r="D769" i="4"/>
  <c r="I769" i="4" s="1"/>
  <c r="C769" i="4"/>
  <c r="H769" i="4" s="1"/>
  <c r="K768" i="4"/>
  <c r="J768" i="4"/>
  <c r="D768" i="4"/>
  <c r="I768" i="4" s="1"/>
  <c r="G768" i="4" s="1"/>
  <c r="C768" i="4"/>
  <c r="H768" i="4" s="1"/>
  <c r="I767" i="4"/>
  <c r="M767" i="4" s="1"/>
  <c r="H767" i="4"/>
  <c r="L767" i="4" s="1"/>
  <c r="D766" i="4"/>
  <c r="I766" i="4" s="1"/>
  <c r="G766" i="4" s="1"/>
  <c r="C766" i="4"/>
  <c r="H766" i="4" s="1"/>
  <c r="L766" i="4" s="1"/>
  <c r="I765" i="4"/>
  <c r="M765" i="4" s="1"/>
  <c r="H765" i="4"/>
  <c r="L765" i="4" s="1"/>
  <c r="K764" i="4"/>
  <c r="J764" i="4"/>
  <c r="F764" i="4"/>
  <c r="E764" i="4"/>
  <c r="D764" i="4"/>
  <c r="C764" i="4"/>
  <c r="K763" i="4"/>
  <c r="J763" i="4"/>
  <c r="I763" i="4"/>
  <c r="H763" i="4"/>
  <c r="I762" i="4"/>
  <c r="M762" i="4" s="1"/>
  <c r="H762" i="4"/>
  <c r="L762" i="4" s="1"/>
  <c r="I761" i="4"/>
  <c r="M761" i="4" s="1"/>
  <c r="H761" i="4"/>
  <c r="L761" i="4" s="1"/>
  <c r="I760" i="4"/>
  <c r="M760" i="4" s="1"/>
  <c r="H760" i="4"/>
  <c r="L760" i="4" s="1"/>
  <c r="K759" i="4"/>
  <c r="J759" i="4"/>
  <c r="D759" i="4"/>
  <c r="I759" i="4" s="1"/>
  <c r="C759" i="4"/>
  <c r="H759" i="4" s="1"/>
  <c r="I758" i="4"/>
  <c r="M758" i="4" s="1"/>
  <c r="H758" i="4"/>
  <c r="L758" i="4" s="1"/>
  <c r="I757" i="4"/>
  <c r="M757" i="4" s="1"/>
  <c r="H757" i="4"/>
  <c r="L757" i="4" s="1"/>
  <c r="K756" i="4"/>
  <c r="J756" i="4"/>
  <c r="F756" i="4"/>
  <c r="E756" i="4"/>
  <c r="D756" i="4"/>
  <c r="C756" i="4"/>
  <c r="K755" i="4"/>
  <c r="J755" i="4"/>
  <c r="D755" i="4"/>
  <c r="I755" i="4" s="1"/>
  <c r="C755" i="4"/>
  <c r="H755" i="4" s="1"/>
  <c r="I754" i="4"/>
  <c r="M754" i="4" s="1"/>
  <c r="H754" i="4"/>
  <c r="L754" i="4" s="1"/>
  <c r="K753" i="4"/>
  <c r="J753" i="4"/>
  <c r="D753" i="4"/>
  <c r="I753" i="4" s="1"/>
  <c r="G753" i="4" s="1"/>
  <c r="C753" i="4"/>
  <c r="H753" i="4" s="1"/>
  <c r="K752" i="4"/>
  <c r="J752" i="4"/>
  <c r="D752" i="4"/>
  <c r="I752" i="4" s="1"/>
  <c r="C752" i="4"/>
  <c r="H752" i="4" s="1"/>
  <c r="K751" i="4"/>
  <c r="J751" i="4"/>
  <c r="D751" i="4"/>
  <c r="I751" i="4" s="1"/>
  <c r="G751" i="4" s="1"/>
  <c r="C751" i="4"/>
  <c r="H751" i="4" s="1"/>
  <c r="I750" i="4"/>
  <c r="M750" i="4" s="1"/>
  <c r="H750" i="4"/>
  <c r="L750" i="4" s="1"/>
  <c r="K749" i="4"/>
  <c r="J749" i="4"/>
  <c r="D749" i="4"/>
  <c r="I749" i="4" s="1"/>
  <c r="C749" i="4"/>
  <c r="H749" i="4" s="1"/>
  <c r="K748" i="4"/>
  <c r="J748" i="4"/>
  <c r="D748" i="4"/>
  <c r="I748" i="4" s="1"/>
  <c r="C748" i="4"/>
  <c r="H748" i="4" s="1"/>
  <c r="F747" i="4"/>
  <c r="I747" i="4" s="1"/>
  <c r="M747" i="4" s="1"/>
  <c r="E747" i="4"/>
  <c r="H747" i="4" s="1"/>
  <c r="L747" i="4" s="1"/>
  <c r="I746" i="4"/>
  <c r="M746" i="4" s="1"/>
  <c r="H746" i="4"/>
  <c r="L746" i="4" s="1"/>
  <c r="K745" i="4"/>
  <c r="J745" i="4"/>
  <c r="D745" i="4"/>
  <c r="I745" i="4" s="1"/>
  <c r="C745" i="4"/>
  <c r="H745" i="4" s="1"/>
  <c r="K744" i="4"/>
  <c r="J744" i="4"/>
  <c r="D744" i="4"/>
  <c r="I744" i="4" s="1"/>
  <c r="G744" i="4" s="1"/>
  <c r="C744" i="4"/>
  <c r="H744" i="4" s="1"/>
  <c r="K743" i="4"/>
  <c r="J743" i="4"/>
  <c r="D743" i="4"/>
  <c r="I743" i="4" s="1"/>
  <c r="C743" i="4"/>
  <c r="H743" i="4" s="1"/>
  <c r="K742" i="4"/>
  <c r="J742" i="4"/>
  <c r="D742" i="4"/>
  <c r="I742" i="4" s="1"/>
  <c r="G742" i="4" s="1"/>
  <c r="C742" i="4"/>
  <c r="H742" i="4" s="1"/>
  <c r="F741" i="4"/>
  <c r="I741" i="4" s="1"/>
  <c r="M741" i="4" s="1"/>
  <c r="E741" i="4"/>
  <c r="H741" i="4" s="1"/>
  <c r="L741" i="4" s="1"/>
  <c r="K740" i="4"/>
  <c r="J740" i="4"/>
  <c r="F740" i="4"/>
  <c r="E740" i="4"/>
  <c r="D740" i="4"/>
  <c r="C740" i="4"/>
  <c r="D739" i="4"/>
  <c r="I739" i="4" s="1"/>
  <c r="M739" i="4" s="1"/>
  <c r="C739" i="4"/>
  <c r="H739" i="4" s="1"/>
  <c r="L739" i="4" s="1"/>
  <c r="K738" i="4"/>
  <c r="J738" i="4"/>
  <c r="D738" i="4"/>
  <c r="I738" i="4" s="1"/>
  <c r="G738" i="4" s="1"/>
  <c r="C738" i="4"/>
  <c r="H738" i="4" s="1"/>
  <c r="K737" i="4"/>
  <c r="J737" i="4"/>
  <c r="D737" i="4"/>
  <c r="I737" i="4" s="1"/>
  <c r="G737" i="4" s="1"/>
  <c r="C737" i="4"/>
  <c r="H737" i="4" s="1"/>
  <c r="K736" i="4"/>
  <c r="J736" i="4"/>
  <c r="F736" i="4"/>
  <c r="E736" i="4"/>
  <c r="D736" i="4"/>
  <c r="C736" i="4"/>
  <c r="I735" i="4"/>
  <c r="M735" i="4" s="1"/>
  <c r="H735" i="4"/>
  <c r="L735" i="4" s="1"/>
  <c r="K734" i="4"/>
  <c r="J734" i="4"/>
  <c r="F734" i="4"/>
  <c r="E734" i="4"/>
  <c r="D734" i="4"/>
  <c r="C734" i="4"/>
  <c r="K733" i="4"/>
  <c r="J733" i="4"/>
  <c r="D733" i="4"/>
  <c r="I733" i="4" s="1"/>
  <c r="G733" i="4" s="1"/>
  <c r="C733" i="4"/>
  <c r="H733" i="4" s="1"/>
  <c r="F732" i="4"/>
  <c r="I732" i="4" s="1"/>
  <c r="M732" i="4" s="1"/>
  <c r="E732" i="4"/>
  <c r="H732" i="4" s="1"/>
  <c r="L732" i="4" s="1"/>
  <c r="D731" i="4"/>
  <c r="I731" i="4" s="1"/>
  <c r="M731" i="4" s="1"/>
  <c r="C731" i="4"/>
  <c r="H731" i="4" s="1"/>
  <c r="L731" i="4" s="1"/>
  <c r="D730" i="4"/>
  <c r="I730" i="4" s="1"/>
  <c r="C730" i="4"/>
  <c r="H730" i="4" s="1"/>
  <c r="L730" i="4" s="1"/>
  <c r="K729" i="4"/>
  <c r="J729" i="4"/>
  <c r="F729" i="4"/>
  <c r="E729" i="4"/>
  <c r="D729" i="4"/>
  <c r="C729" i="4"/>
  <c r="K728" i="4"/>
  <c r="J728" i="4"/>
  <c r="D728" i="4"/>
  <c r="I728" i="4" s="1"/>
  <c r="G728" i="4" s="1"/>
  <c r="C728" i="4"/>
  <c r="H728" i="4" s="1"/>
  <c r="K727" i="4"/>
  <c r="J727" i="4"/>
  <c r="D727" i="4"/>
  <c r="I727" i="4" s="1"/>
  <c r="C727" i="4"/>
  <c r="H727" i="4" s="1"/>
  <c r="D726" i="4"/>
  <c r="I726" i="4" s="1"/>
  <c r="C726" i="4"/>
  <c r="H726" i="4" s="1"/>
  <c r="L726" i="4" s="1"/>
  <c r="K725" i="4"/>
  <c r="J725" i="4"/>
  <c r="F725" i="4"/>
  <c r="E725" i="4"/>
  <c r="D725" i="4"/>
  <c r="C725" i="4"/>
  <c r="K724" i="4"/>
  <c r="J724" i="4"/>
  <c r="D724" i="4"/>
  <c r="I724" i="4" s="1"/>
  <c r="G724" i="4" s="1"/>
  <c r="C724" i="4"/>
  <c r="H724" i="4" s="1"/>
  <c r="K723" i="4"/>
  <c r="J723" i="4"/>
  <c r="D723" i="4"/>
  <c r="I723" i="4" s="1"/>
  <c r="C723" i="4"/>
  <c r="H723" i="4" s="1"/>
  <c r="K722" i="4"/>
  <c r="J722" i="4"/>
  <c r="D722" i="4"/>
  <c r="I722" i="4" s="1"/>
  <c r="C722" i="4"/>
  <c r="H722" i="4" s="1"/>
  <c r="K721" i="4"/>
  <c r="J721" i="4"/>
  <c r="I721" i="4"/>
  <c r="H721" i="4"/>
  <c r="D720" i="4"/>
  <c r="I720" i="4" s="1"/>
  <c r="M720" i="4" s="1"/>
  <c r="C720" i="4"/>
  <c r="H720" i="4" s="1"/>
  <c r="L720" i="4" s="1"/>
  <c r="I719" i="4"/>
  <c r="M719" i="4" s="1"/>
  <c r="H719" i="4"/>
  <c r="L719" i="4" s="1"/>
  <c r="K718" i="4"/>
  <c r="J718" i="4"/>
  <c r="D718" i="4"/>
  <c r="I718" i="4" s="1"/>
  <c r="C718" i="4"/>
  <c r="H718" i="4" s="1"/>
  <c r="K716" i="4"/>
  <c r="J716" i="4"/>
  <c r="I716" i="4"/>
  <c r="H716" i="4"/>
  <c r="K715" i="4"/>
  <c r="J715" i="4"/>
  <c r="I715" i="4"/>
  <c r="H715" i="4"/>
  <c r="K714" i="4"/>
  <c r="J714" i="4"/>
  <c r="I714" i="4"/>
  <c r="H714" i="4"/>
  <c r="I713" i="4"/>
  <c r="M713" i="4" s="1"/>
  <c r="H713" i="4"/>
  <c r="L713" i="4" s="1"/>
  <c r="I712" i="4"/>
  <c r="M712" i="4" s="1"/>
  <c r="H712" i="4"/>
  <c r="L712" i="4" s="1"/>
  <c r="K711" i="4"/>
  <c r="J711" i="4"/>
  <c r="L711" i="4" s="1"/>
  <c r="I711" i="4"/>
  <c r="H711" i="4"/>
  <c r="I710" i="4"/>
  <c r="M710" i="4" s="1"/>
  <c r="H710" i="4"/>
  <c r="L710" i="4" s="1"/>
  <c r="K709" i="4"/>
  <c r="M709" i="4" s="1"/>
  <c r="N709" i="4" s="1"/>
  <c r="J709" i="4"/>
  <c r="L709" i="4" s="1"/>
  <c r="I709" i="4"/>
  <c r="H709" i="4"/>
  <c r="I708" i="4"/>
  <c r="M708" i="4" s="1"/>
  <c r="H708" i="4"/>
  <c r="L708" i="4" s="1"/>
  <c r="K707" i="4"/>
  <c r="J707" i="4"/>
  <c r="I707" i="4"/>
  <c r="H707" i="4"/>
  <c r="K706" i="4"/>
  <c r="J706" i="4"/>
  <c r="I706" i="4"/>
  <c r="H706" i="4"/>
  <c r="F705" i="4"/>
  <c r="I705" i="4" s="1"/>
  <c r="M705" i="4" s="1"/>
  <c r="E705" i="4"/>
  <c r="H705" i="4" s="1"/>
  <c r="L705" i="4" s="1"/>
  <c r="I704" i="4"/>
  <c r="M704" i="4" s="1"/>
  <c r="H704" i="4"/>
  <c r="L704" i="4" s="1"/>
  <c r="M703" i="4"/>
  <c r="I703" i="4"/>
  <c r="H703" i="4"/>
  <c r="L703" i="4" s="1"/>
  <c r="I702" i="4"/>
  <c r="M702" i="4" s="1"/>
  <c r="H702" i="4"/>
  <c r="L702" i="4" s="1"/>
  <c r="M701" i="4"/>
  <c r="I701" i="4"/>
  <c r="H701" i="4"/>
  <c r="L701" i="4" s="1"/>
  <c r="I700" i="4"/>
  <c r="M700" i="4" s="1"/>
  <c r="H700" i="4"/>
  <c r="L700" i="4" s="1"/>
  <c r="K699" i="4"/>
  <c r="J699" i="4"/>
  <c r="I699" i="4"/>
  <c r="H699" i="4"/>
  <c r="I698" i="4"/>
  <c r="M698" i="4" s="1"/>
  <c r="H698" i="4"/>
  <c r="L698" i="4" s="1"/>
  <c r="K697" i="4"/>
  <c r="J697" i="4"/>
  <c r="I697" i="4"/>
  <c r="H697" i="4"/>
  <c r="K696" i="4"/>
  <c r="J696" i="4"/>
  <c r="I696" i="4"/>
  <c r="H696" i="4"/>
  <c r="L696" i="4" s="1"/>
  <c r="L695" i="4"/>
  <c r="I695" i="4"/>
  <c r="M695" i="4" s="1"/>
  <c r="H695" i="4"/>
  <c r="I694" i="4"/>
  <c r="M694" i="4" s="1"/>
  <c r="H694" i="4"/>
  <c r="L694" i="4" s="1"/>
  <c r="M693" i="4"/>
  <c r="I693" i="4"/>
  <c r="H693" i="4"/>
  <c r="L693" i="4" s="1"/>
  <c r="K692" i="4"/>
  <c r="J692" i="4"/>
  <c r="I692" i="4"/>
  <c r="H692" i="4"/>
  <c r="I691" i="4"/>
  <c r="M691" i="4" s="1"/>
  <c r="H691" i="4"/>
  <c r="L691" i="4" s="1"/>
  <c r="I690" i="4"/>
  <c r="M690" i="4" s="1"/>
  <c r="H690" i="4"/>
  <c r="L690" i="4" s="1"/>
  <c r="K689" i="4"/>
  <c r="J689" i="4"/>
  <c r="L689" i="4" s="1"/>
  <c r="I689" i="4"/>
  <c r="H689" i="4"/>
  <c r="K688" i="4"/>
  <c r="J688" i="4"/>
  <c r="I688" i="4"/>
  <c r="H688" i="4"/>
  <c r="K687" i="4"/>
  <c r="J687" i="4"/>
  <c r="I687" i="4"/>
  <c r="H687" i="4"/>
  <c r="L686" i="4"/>
  <c r="I686" i="4"/>
  <c r="M686" i="4" s="1"/>
  <c r="H686" i="4"/>
  <c r="K685" i="4"/>
  <c r="J685" i="4"/>
  <c r="I685" i="4"/>
  <c r="H685" i="4"/>
  <c r="I684" i="4"/>
  <c r="M684" i="4" s="1"/>
  <c r="H684" i="4"/>
  <c r="L684" i="4" s="1"/>
  <c r="K683" i="4"/>
  <c r="J683" i="4"/>
  <c r="I683" i="4"/>
  <c r="H683" i="4"/>
  <c r="K682" i="4"/>
  <c r="M682" i="4" s="1"/>
  <c r="J682" i="4"/>
  <c r="I682" i="4"/>
  <c r="H682" i="4"/>
  <c r="I681" i="4"/>
  <c r="M681" i="4" s="1"/>
  <c r="H681" i="4"/>
  <c r="L681" i="4" s="1"/>
  <c r="K680" i="4"/>
  <c r="M680" i="4" s="1"/>
  <c r="J680" i="4"/>
  <c r="I680" i="4"/>
  <c r="H680" i="4"/>
  <c r="I679" i="4"/>
  <c r="M679" i="4" s="1"/>
  <c r="H679" i="4"/>
  <c r="L679" i="4" s="1"/>
  <c r="I678" i="4"/>
  <c r="M678" i="4" s="1"/>
  <c r="H678" i="4"/>
  <c r="L678" i="4" s="1"/>
  <c r="K677" i="4"/>
  <c r="J677" i="4"/>
  <c r="I677" i="4"/>
  <c r="H677" i="4"/>
  <c r="K676" i="4"/>
  <c r="J676" i="4"/>
  <c r="I676" i="4"/>
  <c r="H676" i="4"/>
  <c r="I675" i="4"/>
  <c r="M675" i="4" s="1"/>
  <c r="H675" i="4"/>
  <c r="L675" i="4" s="1"/>
  <c r="I674" i="4"/>
  <c r="M674" i="4" s="1"/>
  <c r="H674" i="4"/>
  <c r="L674" i="4" s="1"/>
  <c r="K673" i="4"/>
  <c r="J673" i="4"/>
  <c r="I673" i="4"/>
  <c r="H673" i="4"/>
  <c r="K672" i="4"/>
  <c r="M672" i="4" s="1"/>
  <c r="J672" i="4"/>
  <c r="I672" i="4"/>
  <c r="H672" i="4"/>
  <c r="K671" i="4"/>
  <c r="J671" i="4"/>
  <c r="I671" i="4"/>
  <c r="H671" i="4"/>
  <c r="K670" i="4"/>
  <c r="J670" i="4"/>
  <c r="I670" i="4"/>
  <c r="H670" i="4"/>
  <c r="K669" i="4"/>
  <c r="J669" i="4"/>
  <c r="I669" i="4"/>
  <c r="H669" i="4"/>
  <c r="K668" i="4"/>
  <c r="J668" i="4"/>
  <c r="I668" i="4"/>
  <c r="H668" i="4"/>
  <c r="K667" i="4"/>
  <c r="J667" i="4"/>
  <c r="I667" i="4"/>
  <c r="H667" i="4"/>
  <c r="I666" i="4"/>
  <c r="M666" i="4" s="1"/>
  <c r="H666" i="4"/>
  <c r="L666" i="4" s="1"/>
  <c r="I665" i="4"/>
  <c r="M665" i="4" s="1"/>
  <c r="H665" i="4"/>
  <c r="L665" i="4" s="1"/>
  <c r="I664" i="4"/>
  <c r="M664" i="4" s="1"/>
  <c r="H664" i="4"/>
  <c r="L664" i="4" s="1"/>
  <c r="K663" i="4"/>
  <c r="J663" i="4"/>
  <c r="I663" i="4"/>
  <c r="H663" i="4"/>
  <c r="K662" i="4"/>
  <c r="J662" i="4"/>
  <c r="I662" i="4"/>
  <c r="H662" i="4"/>
  <c r="M661" i="4"/>
  <c r="I661" i="4"/>
  <c r="H661" i="4"/>
  <c r="L661" i="4" s="1"/>
  <c r="L660" i="4"/>
  <c r="I660" i="4"/>
  <c r="M660" i="4" s="1"/>
  <c r="H660" i="4"/>
  <c r="K659" i="4"/>
  <c r="J659" i="4"/>
  <c r="I659" i="4"/>
  <c r="H659" i="4"/>
  <c r="K658" i="4"/>
  <c r="J658" i="4"/>
  <c r="I658" i="4"/>
  <c r="H658" i="4"/>
  <c r="K657" i="4"/>
  <c r="J657" i="4"/>
  <c r="I657" i="4"/>
  <c r="H657" i="4"/>
  <c r="I656" i="4"/>
  <c r="M656" i="4" s="1"/>
  <c r="H656" i="4"/>
  <c r="L656" i="4" s="1"/>
  <c r="K655" i="4"/>
  <c r="J655" i="4"/>
  <c r="I655" i="4"/>
  <c r="H655" i="4"/>
  <c r="I654" i="4"/>
  <c r="M654" i="4" s="1"/>
  <c r="H654" i="4"/>
  <c r="L654" i="4" s="1"/>
  <c r="I653" i="4"/>
  <c r="M653" i="4" s="1"/>
  <c r="H653" i="4"/>
  <c r="L653" i="4" s="1"/>
  <c r="K652" i="4"/>
  <c r="J652" i="4"/>
  <c r="I652" i="4"/>
  <c r="H652" i="4"/>
  <c r="K651" i="4"/>
  <c r="J651" i="4"/>
  <c r="I651" i="4"/>
  <c r="H651" i="4"/>
  <c r="I650" i="4"/>
  <c r="M650" i="4" s="1"/>
  <c r="H650" i="4"/>
  <c r="L650" i="4" s="1"/>
  <c r="I649" i="4"/>
  <c r="M649" i="4" s="1"/>
  <c r="H649" i="4"/>
  <c r="L649" i="4" s="1"/>
  <c r="L648" i="4"/>
  <c r="I648" i="4"/>
  <c r="M648" i="4" s="1"/>
  <c r="H648" i="4"/>
  <c r="K647" i="4"/>
  <c r="J647" i="4"/>
  <c r="I647" i="4"/>
  <c r="H647" i="4"/>
  <c r="L646" i="4"/>
  <c r="I646" i="4"/>
  <c r="M646" i="4" s="1"/>
  <c r="H646" i="4"/>
  <c r="D645" i="4"/>
  <c r="I645" i="4" s="1"/>
  <c r="G645" i="4" s="1"/>
  <c r="C645" i="4"/>
  <c r="H645" i="4" s="1"/>
  <c r="L645" i="4" s="1"/>
  <c r="D644" i="4"/>
  <c r="I644" i="4" s="1"/>
  <c r="C644" i="4"/>
  <c r="H644" i="4" s="1"/>
  <c r="L644" i="4" s="1"/>
  <c r="F643" i="4"/>
  <c r="E643" i="4"/>
  <c r="D643" i="4"/>
  <c r="C643" i="4"/>
  <c r="F642" i="4"/>
  <c r="E642" i="4"/>
  <c r="D642" i="4"/>
  <c r="C642" i="4"/>
  <c r="F641" i="4"/>
  <c r="E641" i="4"/>
  <c r="D641" i="4"/>
  <c r="C641" i="4"/>
  <c r="D640" i="4"/>
  <c r="I640" i="4" s="1"/>
  <c r="C640" i="4"/>
  <c r="H640" i="4" s="1"/>
  <c r="L640" i="4" s="1"/>
  <c r="D639" i="4"/>
  <c r="I639" i="4" s="1"/>
  <c r="G639" i="4" s="1"/>
  <c r="C639" i="4"/>
  <c r="H639" i="4" s="1"/>
  <c r="L639" i="4" s="1"/>
  <c r="D638" i="4"/>
  <c r="I638" i="4" s="1"/>
  <c r="C638" i="4"/>
  <c r="H638" i="4" s="1"/>
  <c r="L638" i="4" s="1"/>
  <c r="D637" i="4"/>
  <c r="I637" i="4" s="1"/>
  <c r="C637" i="4"/>
  <c r="H637" i="4" s="1"/>
  <c r="L637" i="4" s="1"/>
  <c r="D636" i="4"/>
  <c r="I636" i="4" s="1"/>
  <c r="C636" i="4"/>
  <c r="H636" i="4" s="1"/>
  <c r="L636" i="4" s="1"/>
  <c r="D635" i="4"/>
  <c r="I635" i="4" s="1"/>
  <c r="M635" i="4" s="1"/>
  <c r="C635" i="4"/>
  <c r="H635" i="4" s="1"/>
  <c r="L635" i="4" s="1"/>
  <c r="D634" i="4"/>
  <c r="I634" i="4" s="1"/>
  <c r="C634" i="4"/>
  <c r="H634" i="4" s="1"/>
  <c r="L634" i="4" s="1"/>
  <c r="D633" i="4"/>
  <c r="I633" i="4" s="1"/>
  <c r="C633" i="4"/>
  <c r="H633" i="4" s="1"/>
  <c r="L633" i="4" s="1"/>
  <c r="D632" i="4"/>
  <c r="I632" i="4" s="1"/>
  <c r="C632" i="4"/>
  <c r="H632" i="4" s="1"/>
  <c r="L632" i="4" s="1"/>
  <c r="I631" i="4"/>
  <c r="M631" i="4" s="1"/>
  <c r="H631" i="4"/>
  <c r="L631" i="4" s="1"/>
  <c r="I630" i="4"/>
  <c r="M630" i="4" s="1"/>
  <c r="H630" i="4"/>
  <c r="L630" i="4" s="1"/>
  <c r="I629" i="4"/>
  <c r="M629" i="4" s="1"/>
  <c r="H629" i="4"/>
  <c r="L629" i="4" s="1"/>
  <c r="D628" i="4"/>
  <c r="I628" i="4" s="1"/>
  <c r="M628" i="4" s="1"/>
  <c r="C628" i="4"/>
  <c r="H628" i="4" s="1"/>
  <c r="L628" i="4" s="1"/>
  <c r="I627" i="4"/>
  <c r="M627" i="4" s="1"/>
  <c r="H627" i="4"/>
  <c r="L627" i="4" s="1"/>
  <c r="D626" i="4"/>
  <c r="I626" i="4" s="1"/>
  <c r="C626" i="4"/>
  <c r="H626" i="4" s="1"/>
  <c r="L626" i="4" s="1"/>
  <c r="I625" i="4"/>
  <c r="M625" i="4" s="1"/>
  <c r="H625" i="4"/>
  <c r="L625" i="4" s="1"/>
  <c r="D624" i="4"/>
  <c r="I624" i="4" s="1"/>
  <c r="C624" i="4"/>
  <c r="H624" i="4" s="1"/>
  <c r="L624" i="4" s="1"/>
  <c r="D623" i="4"/>
  <c r="I623" i="4" s="1"/>
  <c r="C623" i="4"/>
  <c r="H623" i="4" s="1"/>
  <c r="L623" i="4" s="1"/>
  <c r="D622" i="4"/>
  <c r="I622" i="4" s="1"/>
  <c r="C622" i="4"/>
  <c r="H622" i="4" s="1"/>
  <c r="L622" i="4" s="1"/>
  <c r="M621" i="4"/>
  <c r="I621" i="4"/>
  <c r="H621" i="4"/>
  <c r="L621" i="4" s="1"/>
  <c r="D620" i="4"/>
  <c r="I620" i="4" s="1"/>
  <c r="C620" i="4"/>
  <c r="H620" i="4" s="1"/>
  <c r="L620" i="4" s="1"/>
  <c r="I619" i="4"/>
  <c r="M619" i="4" s="1"/>
  <c r="H619" i="4"/>
  <c r="L619" i="4" s="1"/>
  <c r="D618" i="4"/>
  <c r="I618" i="4" s="1"/>
  <c r="C618" i="4"/>
  <c r="H618" i="4" s="1"/>
  <c r="L618" i="4" s="1"/>
  <c r="D617" i="4"/>
  <c r="I617" i="4" s="1"/>
  <c r="G617" i="4" s="1"/>
  <c r="C617" i="4"/>
  <c r="H617" i="4" s="1"/>
  <c r="L617" i="4" s="1"/>
  <c r="I616" i="4"/>
  <c r="M616" i="4" s="1"/>
  <c r="H616" i="4"/>
  <c r="L616" i="4" s="1"/>
  <c r="K615" i="4"/>
  <c r="J615" i="4"/>
  <c r="D615" i="4"/>
  <c r="I615" i="4" s="1"/>
  <c r="C615" i="4"/>
  <c r="H615" i="4" s="1"/>
  <c r="I614" i="4"/>
  <c r="M614" i="4" s="1"/>
  <c r="H614" i="4"/>
  <c r="L614" i="4" s="1"/>
  <c r="K613" i="4"/>
  <c r="J613" i="4"/>
  <c r="D613" i="4"/>
  <c r="I613" i="4" s="1"/>
  <c r="C613" i="4"/>
  <c r="H613" i="4" s="1"/>
  <c r="K612" i="4"/>
  <c r="J612" i="4"/>
  <c r="D612" i="4"/>
  <c r="I612" i="4" s="1"/>
  <c r="C612" i="4"/>
  <c r="H612" i="4" s="1"/>
  <c r="L612" i="4" s="1"/>
  <c r="K611" i="4"/>
  <c r="J611" i="4"/>
  <c r="I611" i="4"/>
  <c r="G611" i="4" s="1"/>
  <c r="D611" i="4"/>
  <c r="C611" i="4"/>
  <c r="H611" i="4" s="1"/>
  <c r="K610" i="4"/>
  <c r="J610" i="4"/>
  <c r="D610" i="4"/>
  <c r="I610" i="4" s="1"/>
  <c r="C610" i="4"/>
  <c r="H610" i="4" s="1"/>
  <c r="K609" i="4"/>
  <c r="J609" i="4"/>
  <c r="D609" i="4"/>
  <c r="I609" i="4" s="1"/>
  <c r="C609" i="4"/>
  <c r="H609" i="4" s="1"/>
  <c r="K608" i="4"/>
  <c r="J608" i="4"/>
  <c r="D608" i="4"/>
  <c r="I608" i="4" s="1"/>
  <c r="C608" i="4"/>
  <c r="H608" i="4" s="1"/>
  <c r="I607" i="4"/>
  <c r="M607" i="4" s="1"/>
  <c r="H607" i="4"/>
  <c r="L607" i="4" s="1"/>
  <c r="K606" i="4"/>
  <c r="J606" i="4"/>
  <c r="D606" i="4"/>
  <c r="I606" i="4" s="1"/>
  <c r="C606" i="4"/>
  <c r="H606" i="4" s="1"/>
  <c r="K605" i="4"/>
  <c r="J605" i="4"/>
  <c r="H605" i="4"/>
  <c r="D605" i="4"/>
  <c r="I605" i="4" s="1"/>
  <c r="C605" i="4"/>
  <c r="K604" i="4"/>
  <c r="J604" i="4"/>
  <c r="D604" i="4"/>
  <c r="I604" i="4" s="1"/>
  <c r="G604" i="4" s="1"/>
  <c r="C604" i="4"/>
  <c r="H604" i="4" s="1"/>
  <c r="K603" i="4"/>
  <c r="J603" i="4"/>
  <c r="D603" i="4"/>
  <c r="I603" i="4" s="1"/>
  <c r="C603" i="4"/>
  <c r="H603" i="4" s="1"/>
  <c r="K602" i="4"/>
  <c r="J602" i="4"/>
  <c r="D602" i="4"/>
  <c r="I602" i="4" s="1"/>
  <c r="C602" i="4"/>
  <c r="H602" i="4" s="1"/>
  <c r="D601" i="4"/>
  <c r="I601" i="4" s="1"/>
  <c r="G601" i="4" s="1"/>
  <c r="C601" i="4"/>
  <c r="H601" i="4" s="1"/>
  <c r="L601" i="4" s="1"/>
  <c r="K600" i="4"/>
  <c r="J600" i="4"/>
  <c r="F600" i="4"/>
  <c r="E600" i="4"/>
  <c r="D600" i="4"/>
  <c r="C600" i="4"/>
  <c r="K599" i="4"/>
  <c r="J599" i="4"/>
  <c r="D599" i="4"/>
  <c r="I599" i="4" s="1"/>
  <c r="C599" i="4"/>
  <c r="H599" i="4" s="1"/>
  <c r="K598" i="4"/>
  <c r="J598" i="4"/>
  <c r="D598" i="4"/>
  <c r="I598" i="4" s="1"/>
  <c r="C598" i="4"/>
  <c r="H598" i="4" s="1"/>
  <c r="K597" i="4"/>
  <c r="J597" i="4"/>
  <c r="F597" i="4"/>
  <c r="E597" i="4"/>
  <c r="D597" i="4"/>
  <c r="C597" i="4"/>
  <c r="K596" i="4"/>
  <c r="J596" i="4"/>
  <c r="D596" i="4"/>
  <c r="I596" i="4" s="1"/>
  <c r="C596" i="4"/>
  <c r="H596" i="4" s="1"/>
  <c r="K595" i="4"/>
  <c r="J595" i="4"/>
  <c r="D595" i="4"/>
  <c r="I595" i="4" s="1"/>
  <c r="C595" i="4"/>
  <c r="H595" i="4" s="1"/>
  <c r="I594" i="4"/>
  <c r="M594" i="4" s="1"/>
  <c r="H594" i="4"/>
  <c r="L594" i="4" s="1"/>
  <c r="I593" i="4"/>
  <c r="M593" i="4" s="1"/>
  <c r="H593" i="4"/>
  <c r="L593" i="4" s="1"/>
  <c r="K592" i="4"/>
  <c r="J592" i="4"/>
  <c r="D592" i="4"/>
  <c r="I592" i="4" s="1"/>
  <c r="G592" i="4" s="1"/>
  <c r="C592" i="4"/>
  <c r="H592" i="4" s="1"/>
  <c r="K591" i="4"/>
  <c r="J591" i="4"/>
  <c r="D591" i="4"/>
  <c r="I591" i="4" s="1"/>
  <c r="C591" i="4"/>
  <c r="H591" i="4" s="1"/>
  <c r="K590" i="4"/>
  <c r="J590" i="4"/>
  <c r="D590" i="4"/>
  <c r="I590" i="4" s="1"/>
  <c r="C590" i="4"/>
  <c r="H590" i="4" s="1"/>
  <c r="K589" i="4"/>
  <c r="J589" i="4"/>
  <c r="D589" i="4"/>
  <c r="I589" i="4" s="1"/>
  <c r="C589" i="4"/>
  <c r="H589" i="4" s="1"/>
  <c r="L589" i="4" s="1"/>
  <c r="D588" i="4"/>
  <c r="I588" i="4" s="1"/>
  <c r="C588" i="4"/>
  <c r="H588" i="4" s="1"/>
  <c r="L588" i="4" s="1"/>
  <c r="K587" i="4"/>
  <c r="J587" i="4"/>
  <c r="F587" i="4"/>
  <c r="E587" i="4"/>
  <c r="D587" i="4"/>
  <c r="C587" i="4"/>
  <c r="I586" i="4"/>
  <c r="M586" i="4" s="1"/>
  <c r="H586" i="4"/>
  <c r="L586" i="4" s="1"/>
  <c r="K585" i="4"/>
  <c r="J585" i="4"/>
  <c r="I585" i="4"/>
  <c r="H585" i="4"/>
  <c r="K584" i="4"/>
  <c r="J584" i="4"/>
  <c r="D584" i="4"/>
  <c r="I584" i="4" s="1"/>
  <c r="C584" i="4"/>
  <c r="H584" i="4" s="1"/>
  <c r="I583" i="4"/>
  <c r="M583" i="4" s="1"/>
  <c r="H583" i="4"/>
  <c r="L583" i="4" s="1"/>
  <c r="K582" i="4"/>
  <c r="J582" i="4"/>
  <c r="D582" i="4"/>
  <c r="I582" i="4" s="1"/>
  <c r="C582" i="4"/>
  <c r="H582" i="4" s="1"/>
  <c r="L582" i="4" s="1"/>
  <c r="K581" i="4"/>
  <c r="J581" i="4"/>
  <c r="D581" i="4"/>
  <c r="I581" i="4" s="1"/>
  <c r="G581" i="4" s="1"/>
  <c r="C581" i="4"/>
  <c r="H581" i="4" s="1"/>
  <c r="K580" i="4"/>
  <c r="J580" i="4"/>
  <c r="D580" i="4"/>
  <c r="I580" i="4" s="1"/>
  <c r="C580" i="4"/>
  <c r="H580" i="4" s="1"/>
  <c r="K579" i="4"/>
  <c r="J579" i="4"/>
  <c r="F579" i="4"/>
  <c r="E579" i="4"/>
  <c r="D579" i="4"/>
  <c r="C579" i="4"/>
  <c r="K578" i="4"/>
  <c r="J578" i="4"/>
  <c r="D578" i="4"/>
  <c r="I578" i="4" s="1"/>
  <c r="G578" i="4" s="1"/>
  <c r="C578" i="4"/>
  <c r="H578" i="4" s="1"/>
  <c r="K577" i="4"/>
  <c r="J577" i="4"/>
  <c r="D577" i="4"/>
  <c r="I577" i="4" s="1"/>
  <c r="C577" i="4"/>
  <c r="H577" i="4" s="1"/>
  <c r="K576" i="4"/>
  <c r="J576" i="4"/>
  <c r="D576" i="4"/>
  <c r="I576" i="4" s="1"/>
  <c r="C576" i="4"/>
  <c r="H576" i="4" s="1"/>
  <c r="K575" i="4"/>
  <c r="J575" i="4"/>
  <c r="H575" i="4"/>
  <c r="D575" i="4"/>
  <c r="I575" i="4" s="1"/>
  <c r="C575" i="4"/>
  <c r="K574" i="4"/>
  <c r="J574" i="4"/>
  <c r="F574" i="4"/>
  <c r="E574" i="4"/>
  <c r="D574" i="4"/>
  <c r="C574" i="4"/>
  <c r="K573" i="4"/>
  <c r="J573" i="4"/>
  <c r="D573" i="4"/>
  <c r="I573" i="4" s="1"/>
  <c r="C573" i="4"/>
  <c r="H573" i="4" s="1"/>
  <c r="K572" i="4"/>
  <c r="J572" i="4"/>
  <c r="D572" i="4"/>
  <c r="I572" i="4" s="1"/>
  <c r="C572" i="4"/>
  <c r="H572" i="4" s="1"/>
  <c r="D571" i="4"/>
  <c r="I571" i="4" s="1"/>
  <c r="C571" i="4"/>
  <c r="H571" i="4" s="1"/>
  <c r="L571" i="4" s="1"/>
  <c r="K570" i="4"/>
  <c r="J570" i="4"/>
  <c r="D570" i="4"/>
  <c r="I570" i="4" s="1"/>
  <c r="C570" i="4"/>
  <c r="H570" i="4" s="1"/>
  <c r="K569" i="4"/>
  <c r="J569" i="4"/>
  <c r="D569" i="4"/>
  <c r="I569" i="4" s="1"/>
  <c r="G569" i="4" s="1"/>
  <c r="C569" i="4"/>
  <c r="H569" i="4" s="1"/>
  <c r="I568" i="4"/>
  <c r="M568" i="4" s="1"/>
  <c r="H568" i="4"/>
  <c r="L568" i="4" s="1"/>
  <c r="K567" i="4"/>
  <c r="J567" i="4"/>
  <c r="D567" i="4"/>
  <c r="I567" i="4" s="1"/>
  <c r="C567" i="4"/>
  <c r="H567" i="4" s="1"/>
  <c r="I566" i="4"/>
  <c r="M566" i="4" s="1"/>
  <c r="H566" i="4"/>
  <c r="L566" i="4" s="1"/>
  <c r="K565" i="4"/>
  <c r="J565" i="4"/>
  <c r="D565" i="4"/>
  <c r="I565" i="4" s="1"/>
  <c r="G565" i="4" s="1"/>
  <c r="C565" i="4"/>
  <c r="H565" i="4" s="1"/>
  <c r="K564" i="4"/>
  <c r="J564" i="4"/>
  <c r="F564" i="4"/>
  <c r="E564" i="4"/>
  <c r="D564" i="4"/>
  <c r="C564" i="4"/>
  <c r="D563" i="4"/>
  <c r="I563" i="4" s="1"/>
  <c r="G563" i="4" s="1"/>
  <c r="C563" i="4"/>
  <c r="H563" i="4" s="1"/>
  <c r="L563" i="4" s="1"/>
  <c r="K562" i="4"/>
  <c r="J562" i="4"/>
  <c r="D562" i="4"/>
  <c r="I562" i="4" s="1"/>
  <c r="C562" i="4"/>
  <c r="H562" i="4" s="1"/>
  <c r="I561" i="4"/>
  <c r="M561" i="4" s="1"/>
  <c r="H561" i="4"/>
  <c r="L561" i="4" s="1"/>
  <c r="K560" i="4"/>
  <c r="J560" i="4"/>
  <c r="D560" i="4"/>
  <c r="I560" i="4" s="1"/>
  <c r="M560" i="4" s="1"/>
  <c r="N560" i="4" s="1"/>
  <c r="C560" i="4"/>
  <c r="H560" i="4" s="1"/>
  <c r="K559" i="4"/>
  <c r="J559" i="4"/>
  <c r="F559" i="4"/>
  <c r="E559" i="4"/>
  <c r="D559" i="4"/>
  <c r="C559" i="4"/>
  <c r="K558" i="4"/>
  <c r="J558" i="4"/>
  <c r="D558" i="4"/>
  <c r="I558" i="4" s="1"/>
  <c r="C558" i="4"/>
  <c r="H558" i="4" s="1"/>
  <c r="K557" i="4"/>
  <c r="J557" i="4"/>
  <c r="I557" i="4"/>
  <c r="D557" i="4"/>
  <c r="C557" i="4"/>
  <c r="H557" i="4" s="1"/>
  <c r="K556" i="4"/>
  <c r="J556" i="4"/>
  <c r="D556" i="4"/>
  <c r="I556" i="4" s="1"/>
  <c r="C556" i="4"/>
  <c r="H556" i="4" s="1"/>
  <c r="K555" i="4"/>
  <c r="J555" i="4"/>
  <c r="D555" i="4"/>
  <c r="I555" i="4" s="1"/>
  <c r="G555" i="4" s="1"/>
  <c r="C555" i="4"/>
  <c r="H555" i="4" s="1"/>
  <c r="L554" i="4"/>
  <c r="I554" i="4"/>
  <c r="M554" i="4" s="1"/>
  <c r="H554" i="4"/>
  <c r="K553" i="4"/>
  <c r="J553" i="4"/>
  <c r="D553" i="4"/>
  <c r="I553" i="4" s="1"/>
  <c r="C553" i="4"/>
  <c r="H553" i="4" s="1"/>
  <c r="K552" i="4"/>
  <c r="J552" i="4"/>
  <c r="D552" i="4"/>
  <c r="I552" i="4" s="1"/>
  <c r="G552" i="4" s="1"/>
  <c r="C552" i="4"/>
  <c r="H552" i="4" s="1"/>
  <c r="K551" i="4"/>
  <c r="J551" i="4"/>
  <c r="D551" i="4"/>
  <c r="I551" i="4" s="1"/>
  <c r="G551" i="4" s="1"/>
  <c r="C551" i="4"/>
  <c r="H551" i="4" s="1"/>
  <c r="K550" i="4"/>
  <c r="J550" i="4"/>
  <c r="D550" i="4"/>
  <c r="I550" i="4" s="1"/>
  <c r="C550" i="4"/>
  <c r="H550" i="4" s="1"/>
  <c r="D549" i="4"/>
  <c r="I549" i="4" s="1"/>
  <c r="C549" i="4"/>
  <c r="H549" i="4" s="1"/>
  <c r="L549" i="4" s="1"/>
  <c r="K548" i="4"/>
  <c r="J548" i="4"/>
  <c r="I548" i="4"/>
  <c r="H548" i="4"/>
  <c r="D547" i="4"/>
  <c r="I547" i="4" s="1"/>
  <c r="C547" i="4"/>
  <c r="H547" i="4" s="1"/>
  <c r="L547" i="4" s="1"/>
  <c r="K546" i="4"/>
  <c r="J546" i="4"/>
  <c r="H546" i="4"/>
  <c r="D546" i="4"/>
  <c r="I546" i="4" s="1"/>
  <c r="C546" i="4"/>
  <c r="K545" i="4"/>
  <c r="J545" i="4"/>
  <c r="I545" i="4"/>
  <c r="H545" i="4"/>
  <c r="K544" i="4"/>
  <c r="J544" i="4"/>
  <c r="D544" i="4"/>
  <c r="I544" i="4" s="1"/>
  <c r="C544" i="4"/>
  <c r="H544" i="4" s="1"/>
  <c r="K543" i="4"/>
  <c r="J543" i="4"/>
  <c r="I543" i="4"/>
  <c r="H543" i="4"/>
  <c r="K542" i="4"/>
  <c r="J542" i="4"/>
  <c r="D542" i="4"/>
  <c r="I542" i="4" s="1"/>
  <c r="C542" i="4"/>
  <c r="H542" i="4" s="1"/>
  <c r="I541" i="4"/>
  <c r="M541" i="4" s="1"/>
  <c r="H541" i="4"/>
  <c r="L541" i="4" s="1"/>
  <c r="M540" i="4"/>
  <c r="I540" i="4"/>
  <c r="H540" i="4"/>
  <c r="L540" i="4" s="1"/>
  <c r="K539" i="4"/>
  <c r="J539" i="4"/>
  <c r="I539" i="4"/>
  <c r="H539" i="4"/>
  <c r="I538" i="4"/>
  <c r="M538" i="4" s="1"/>
  <c r="H538" i="4"/>
  <c r="L538" i="4" s="1"/>
  <c r="D537" i="4"/>
  <c r="I537" i="4" s="1"/>
  <c r="M537" i="4" s="1"/>
  <c r="C537" i="4"/>
  <c r="H537" i="4" s="1"/>
  <c r="L537" i="4" s="1"/>
  <c r="K536" i="4"/>
  <c r="J536" i="4"/>
  <c r="L536" i="4" s="1"/>
  <c r="I536" i="4"/>
  <c r="H536" i="4"/>
  <c r="D535" i="4"/>
  <c r="I535" i="4" s="1"/>
  <c r="M535" i="4" s="1"/>
  <c r="C535" i="4"/>
  <c r="H535" i="4" s="1"/>
  <c r="L535" i="4" s="1"/>
  <c r="K534" i="4"/>
  <c r="J534" i="4"/>
  <c r="D534" i="4"/>
  <c r="I534" i="4" s="1"/>
  <c r="C534" i="4"/>
  <c r="H534" i="4" s="1"/>
  <c r="I533" i="4"/>
  <c r="M533" i="4" s="1"/>
  <c r="H533" i="4"/>
  <c r="L533" i="4" s="1"/>
  <c r="K532" i="4"/>
  <c r="J532" i="4"/>
  <c r="D532" i="4"/>
  <c r="I532" i="4" s="1"/>
  <c r="G532" i="4" s="1"/>
  <c r="C532" i="4"/>
  <c r="H532" i="4" s="1"/>
  <c r="K531" i="4"/>
  <c r="J531" i="4"/>
  <c r="D531" i="4"/>
  <c r="I531" i="4" s="1"/>
  <c r="G531" i="4" s="1"/>
  <c r="C531" i="4"/>
  <c r="H531" i="4" s="1"/>
  <c r="F530" i="4"/>
  <c r="E530" i="4"/>
  <c r="H530" i="4" s="1"/>
  <c r="L530" i="4" s="1"/>
  <c r="K529" i="4"/>
  <c r="J529" i="4"/>
  <c r="D529" i="4"/>
  <c r="I529" i="4" s="1"/>
  <c r="C529" i="4"/>
  <c r="H529" i="4" s="1"/>
  <c r="K528" i="4"/>
  <c r="J528" i="4"/>
  <c r="D528" i="4"/>
  <c r="I528" i="4" s="1"/>
  <c r="C528" i="4"/>
  <c r="H528" i="4" s="1"/>
  <c r="K527" i="4"/>
  <c r="J527" i="4"/>
  <c r="D527" i="4"/>
  <c r="I527" i="4" s="1"/>
  <c r="C527" i="4"/>
  <c r="H527" i="4" s="1"/>
  <c r="K526" i="4"/>
  <c r="J526" i="4"/>
  <c r="D526" i="4"/>
  <c r="I526" i="4" s="1"/>
  <c r="C526" i="4"/>
  <c r="H526" i="4" s="1"/>
  <c r="F525" i="4"/>
  <c r="I525" i="4" s="1"/>
  <c r="E525" i="4"/>
  <c r="H525" i="4" s="1"/>
  <c r="L525" i="4" s="1"/>
  <c r="K524" i="4"/>
  <c r="J524" i="4"/>
  <c r="I524" i="4"/>
  <c r="H524" i="4"/>
  <c r="K523" i="4"/>
  <c r="J523" i="4"/>
  <c r="D523" i="4"/>
  <c r="I523" i="4" s="1"/>
  <c r="C523" i="4"/>
  <c r="H523" i="4" s="1"/>
  <c r="K522" i="4"/>
  <c r="J522" i="4"/>
  <c r="F522" i="4"/>
  <c r="E522" i="4"/>
  <c r="H522" i="4" s="1"/>
  <c r="D522" i="4"/>
  <c r="C522" i="4"/>
  <c r="K521" i="4"/>
  <c r="J521" i="4"/>
  <c r="D521" i="4"/>
  <c r="I521" i="4" s="1"/>
  <c r="C521" i="4"/>
  <c r="H521" i="4" s="1"/>
  <c r="K520" i="4"/>
  <c r="J520" i="4"/>
  <c r="D520" i="4"/>
  <c r="I520" i="4" s="1"/>
  <c r="C520" i="4"/>
  <c r="H520" i="4" s="1"/>
  <c r="K519" i="4"/>
  <c r="J519" i="4"/>
  <c r="F519" i="4"/>
  <c r="E519" i="4"/>
  <c r="D519" i="4"/>
  <c r="C519" i="4"/>
  <c r="K518" i="4"/>
  <c r="J518" i="4"/>
  <c r="D518" i="4"/>
  <c r="I518" i="4" s="1"/>
  <c r="C518" i="4"/>
  <c r="H518" i="4" s="1"/>
  <c r="I517" i="4"/>
  <c r="M517" i="4" s="1"/>
  <c r="H517" i="4"/>
  <c r="L517" i="4" s="1"/>
  <c r="K516" i="4"/>
  <c r="J516" i="4"/>
  <c r="F516" i="4"/>
  <c r="E516" i="4"/>
  <c r="D516" i="4"/>
  <c r="C516" i="4"/>
  <c r="K515" i="4"/>
  <c r="J515" i="4"/>
  <c r="D515" i="4"/>
  <c r="I515" i="4" s="1"/>
  <c r="C515" i="4"/>
  <c r="H515" i="4" s="1"/>
  <c r="K514" i="4"/>
  <c r="J514" i="4"/>
  <c r="D514" i="4"/>
  <c r="I514" i="4" s="1"/>
  <c r="C514" i="4"/>
  <c r="H514" i="4" s="1"/>
  <c r="K513" i="4"/>
  <c r="J513" i="4"/>
  <c r="D513" i="4"/>
  <c r="I513" i="4" s="1"/>
  <c r="C513" i="4"/>
  <c r="H513" i="4" s="1"/>
  <c r="K512" i="4"/>
  <c r="J512" i="4"/>
  <c r="F512" i="4"/>
  <c r="E512" i="4"/>
  <c r="D512" i="4"/>
  <c r="C512" i="4"/>
  <c r="K511" i="4"/>
  <c r="J511" i="4"/>
  <c r="I511" i="4"/>
  <c r="H511" i="4"/>
  <c r="I510" i="4"/>
  <c r="M510" i="4" s="1"/>
  <c r="H510" i="4"/>
  <c r="L510" i="4" s="1"/>
  <c r="K509" i="4"/>
  <c r="J509" i="4"/>
  <c r="D509" i="4"/>
  <c r="I509" i="4" s="1"/>
  <c r="C509" i="4"/>
  <c r="H509" i="4" s="1"/>
  <c r="K508" i="4"/>
  <c r="J508" i="4"/>
  <c r="D508" i="4"/>
  <c r="I508" i="4" s="1"/>
  <c r="C508" i="4"/>
  <c r="H508" i="4" s="1"/>
  <c r="K507" i="4"/>
  <c r="J507" i="4"/>
  <c r="D507" i="4"/>
  <c r="I507" i="4" s="1"/>
  <c r="C507" i="4"/>
  <c r="H507" i="4" s="1"/>
  <c r="K506" i="4"/>
  <c r="J506" i="4"/>
  <c r="H506" i="4"/>
  <c r="D506" i="4"/>
  <c r="I506" i="4" s="1"/>
  <c r="C506" i="4"/>
  <c r="K505" i="4"/>
  <c r="J505" i="4"/>
  <c r="D505" i="4"/>
  <c r="I505" i="4" s="1"/>
  <c r="C505" i="4"/>
  <c r="H505" i="4" s="1"/>
  <c r="I504" i="4"/>
  <c r="M504" i="4" s="1"/>
  <c r="H504" i="4"/>
  <c r="L504" i="4" s="1"/>
  <c r="K503" i="4"/>
  <c r="J503" i="4"/>
  <c r="D503" i="4"/>
  <c r="I503" i="4" s="1"/>
  <c r="C503" i="4"/>
  <c r="H503" i="4" s="1"/>
  <c r="D502" i="4"/>
  <c r="I502" i="4" s="1"/>
  <c r="C502" i="4"/>
  <c r="H502" i="4" s="1"/>
  <c r="L502" i="4" s="1"/>
  <c r="I501" i="4"/>
  <c r="M501" i="4" s="1"/>
  <c r="H501" i="4"/>
  <c r="L501" i="4" s="1"/>
  <c r="I500" i="4"/>
  <c r="M500" i="4" s="1"/>
  <c r="H500" i="4"/>
  <c r="L500" i="4" s="1"/>
  <c r="D499" i="4"/>
  <c r="I499" i="4" s="1"/>
  <c r="C499" i="4"/>
  <c r="H499" i="4" s="1"/>
  <c r="L499" i="4" s="1"/>
  <c r="I498" i="4"/>
  <c r="M498" i="4" s="1"/>
  <c r="H498" i="4"/>
  <c r="L498" i="4" s="1"/>
  <c r="K497" i="4"/>
  <c r="J497" i="4"/>
  <c r="D497" i="4"/>
  <c r="I497" i="4" s="1"/>
  <c r="C497" i="4"/>
  <c r="H497" i="4" s="1"/>
  <c r="K496" i="4"/>
  <c r="M496" i="4" s="1"/>
  <c r="N496" i="4" s="1"/>
  <c r="J496" i="4"/>
  <c r="I496" i="4"/>
  <c r="H496" i="4"/>
  <c r="K495" i="4"/>
  <c r="J495" i="4"/>
  <c r="D495" i="4"/>
  <c r="I495" i="4" s="1"/>
  <c r="C495" i="4"/>
  <c r="H495" i="4" s="1"/>
  <c r="D494" i="4"/>
  <c r="I494" i="4" s="1"/>
  <c r="G494" i="4" s="1"/>
  <c r="C494" i="4"/>
  <c r="H494" i="4" s="1"/>
  <c r="L494" i="4" s="1"/>
  <c r="K493" i="4"/>
  <c r="J493" i="4"/>
  <c r="D493" i="4"/>
  <c r="I493" i="4" s="1"/>
  <c r="G493" i="4" s="1"/>
  <c r="C493" i="4"/>
  <c r="H493" i="4" s="1"/>
  <c r="K492" i="4"/>
  <c r="J492" i="4"/>
  <c r="D492" i="4"/>
  <c r="I492" i="4" s="1"/>
  <c r="G492" i="4" s="1"/>
  <c r="C492" i="4"/>
  <c r="H492" i="4" s="1"/>
  <c r="I491" i="4"/>
  <c r="M491" i="4" s="1"/>
  <c r="H491" i="4"/>
  <c r="L491" i="4" s="1"/>
  <c r="D490" i="4"/>
  <c r="I490" i="4" s="1"/>
  <c r="C490" i="4"/>
  <c r="H490" i="4" s="1"/>
  <c r="L490" i="4" s="1"/>
  <c r="K489" i="4"/>
  <c r="J489" i="4"/>
  <c r="D489" i="4"/>
  <c r="I489" i="4" s="1"/>
  <c r="C489" i="4"/>
  <c r="H489" i="4" s="1"/>
  <c r="D488" i="4"/>
  <c r="I488" i="4" s="1"/>
  <c r="C488" i="4"/>
  <c r="H488" i="4" s="1"/>
  <c r="L488" i="4" s="1"/>
  <c r="K487" i="4"/>
  <c r="J487" i="4"/>
  <c r="D487" i="4"/>
  <c r="I487" i="4" s="1"/>
  <c r="G487" i="4" s="1"/>
  <c r="C487" i="4"/>
  <c r="H487" i="4" s="1"/>
  <c r="D486" i="4"/>
  <c r="I486" i="4" s="1"/>
  <c r="M486" i="4" s="1"/>
  <c r="C486" i="4"/>
  <c r="H486" i="4" s="1"/>
  <c r="L486" i="4" s="1"/>
  <c r="K485" i="4"/>
  <c r="J485" i="4"/>
  <c r="D485" i="4"/>
  <c r="I485" i="4" s="1"/>
  <c r="G485" i="4" s="1"/>
  <c r="C485" i="4"/>
  <c r="H485" i="4" s="1"/>
  <c r="K484" i="4"/>
  <c r="J484" i="4"/>
  <c r="D484" i="4"/>
  <c r="I484" i="4" s="1"/>
  <c r="C484" i="4"/>
  <c r="H484" i="4" s="1"/>
  <c r="K483" i="4"/>
  <c r="J483" i="4"/>
  <c r="D483" i="4"/>
  <c r="I483" i="4" s="1"/>
  <c r="C483" i="4"/>
  <c r="H483" i="4" s="1"/>
  <c r="K482" i="4"/>
  <c r="J482" i="4"/>
  <c r="D482" i="4"/>
  <c r="I482" i="4" s="1"/>
  <c r="C482" i="4"/>
  <c r="H482" i="4" s="1"/>
  <c r="K481" i="4"/>
  <c r="J481" i="4"/>
  <c r="D481" i="4"/>
  <c r="I481" i="4" s="1"/>
  <c r="C481" i="4"/>
  <c r="H481" i="4" s="1"/>
  <c r="K480" i="4"/>
  <c r="J480" i="4"/>
  <c r="D480" i="4"/>
  <c r="I480" i="4" s="1"/>
  <c r="C480" i="4"/>
  <c r="H480" i="4" s="1"/>
  <c r="K479" i="4"/>
  <c r="J479" i="4"/>
  <c r="F479" i="4"/>
  <c r="E479" i="4"/>
  <c r="D479" i="4"/>
  <c r="C479" i="4"/>
  <c r="F478" i="4"/>
  <c r="I478" i="4" s="1"/>
  <c r="E478" i="4"/>
  <c r="H478" i="4" s="1"/>
  <c r="L478" i="4" s="1"/>
  <c r="K477" i="4"/>
  <c r="J477" i="4"/>
  <c r="D477" i="4"/>
  <c r="I477" i="4" s="1"/>
  <c r="C477" i="4"/>
  <c r="H477" i="4" s="1"/>
  <c r="K476" i="4"/>
  <c r="J476" i="4"/>
  <c r="D476" i="4"/>
  <c r="I476" i="4" s="1"/>
  <c r="C476" i="4"/>
  <c r="H476" i="4" s="1"/>
  <c r="K475" i="4"/>
  <c r="J475" i="4"/>
  <c r="D475" i="4"/>
  <c r="I475" i="4" s="1"/>
  <c r="C475" i="4"/>
  <c r="H475" i="4" s="1"/>
  <c r="I474" i="4"/>
  <c r="M474" i="4" s="1"/>
  <c r="H474" i="4"/>
  <c r="L474" i="4" s="1"/>
  <c r="K473" i="4"/>
  <c r="J473" i="4"/>
  <c r="D473" i="4"/>
  <c r="I473" i="4" s="1"/>
  <c r="C473" i="4"/>
  <c r="H473" i="4" s="1"/>
  <c r="K472" i="4"/>
  <c r="J472" i="4"/>
  <c r="D472" i="4"/>
  <c r="I472" i="4" s="1"/>
  <c r="C472" i="4"/>
  <c r="H472" i="4" s="1"/>
  <c r="F471" i="4"/>
  <c r="E471" i="4"/>
  <c r="H471" i="4" s="1"/>
  <c r="L471" i="4" s="1"/>
  <c r="F470" i="4"/>
  <c r="I470" i="4" s="1"/>
  <c r="M470" i="4" s="1"/>
  <c r="E470" i="4"/>
  <c r="H470" i="4" s="1"/>
  <c r="L470" i="4" s="1"/>
  <c r="K469" i="4"/>
  <c r="J469" i="4"/>
  <c r="D469" i="4"/>
  <c r="I469" i="4" s="1"/>
  <c r="C469" i="4"/>
  <c r="H469" i="4" s="1"/>
  <c r="I468" i="4"/>
  <c r="M468" i="4" s="1"/>
  <c r="H468" i="4"/>
  <c r="L468" i="4" s="1"/>
  <c r="K467" i="4"/>
  <c r="J467" i="4"/>
  <c r="D467" i="4"/>
  <c r="I467" i="4" s="1"/>
  <c r="C467" i="4"/>
  <c r="H467" i="4" s="1"/>
  <c r="I466" i="4"/>
  <c r="M466" i="4" s="1"/>
  <c r="H466" i="4"/>
  <c r="L466" i="4" s="1"/>
  <c r="K465" i="4"/>
  <c r="J465" i="4"/>
  <c r="F465" i="4"/>
  <c r="E465" i="4"/>
  <c r="D465" i="4"/>
  <c r="I465" i="4" s="1"/>
  <c r="C465" i="4"/>
  <c r="K464" i="4"/>
  <c r="J464" i="4"/>
  <c r="F464" i="4"/>
  <c r="E464" i="4"/>
  <c r="H464" i="4" s="1"/>
  <c r="D464" i="4"/>
  <c r="C464" i="4"/>
  <c r="K463" i="4"/>
  <c r="J463" i="4"/>
  <c r="D463" i="4"/>
  <c r="I463" i="4" s="1"/>
  <c r="C463" i="4"/>
  <c r="H463" i="4" s="1"/>
  <c r="I462" i="4"/>
  <c r="M462" i="4" s="1"/>
  <c r="H462" i="4"/>
  <c r="L462" i="4" s="1"/>
  <c r="F461" i="4"/>
  <c r="I461" i="4" s="1"/>
  <c r="M461" i="4" s="1"/>
  <c r="E461" i="4"/>
  <c r="H461" i="4" s="1"/>
  <c r="L461" i="4" s="1"/>
  <c r="L460" i="4"/>
  <c r="I460" i="4"/>
  <c r="M460" i="4" s="1"/>
  <c r="H460" i="4"/>
  <c r="K459" i="4"/>
  <c r="J459" i="4"/>
  <c r="D459" i="4"/>
  <c r="I459" i="4" s="1"/>
  <c r="C459" i="4"/>
  <c r="H459" i="4" s="1"/>
  <c r="K458" i="4"/>
  <c r="J458" i="4"/>
  <c r="D458" i="4"/>
  <c r="I458" i="4" s="1"/>
  <c r="C458" i="4"/>
  <c r="H458" i="4" s="1"/>
  <c r="K457" i="4"/>
  <c r="J457" i="4"/>
  <c r="F457" i="4"/>
  <c r="E457" i="4"/>
  <c r="D457" i="4"/>
  <c r="C457" i="4"/>
  <c r="K456" i="4"/>
  <c r="J456" i="4"/>
  <c r="I456" i="4"/>
  <c r="H456" i="4"/>
  <c r="K455" i="4"/>
  <c r="J455" i="4"/>
  <c r="D455" i="4"/>
  <c r="I455" i="4" s="1"/>
  <c r="C455" i="4"/>
  <c r="H455" i="4" s="1"/>
  <c r="I454" i="4"/>
  <c r="M454" i="4" s="1"/>
  <c r="H454" i="4"/>
  <c r="L454" i="4" s="1"/>
  <c r="K453" i="4"/>
  <c r="J453" i="4"/>
  <c r="I453" i="4"/>
  <c r="H453" i="4"/>
  <c r="I452" i="4"/>
  <c r="M452" i="4" s="1"/>
  <c r="H452" i="4"/>
  <c r="L452" i="4" s="1"/>
  <c r="I451" i="4"/>
  <c r="M451" i="4" s="1"/>
  <c r="H451" i="4"/>
  <c r="L451" i="4" s="1"/>
  <c r="K450" i="4"/>
  <c r="J450" i="4"/>
  <c r="D450" i="4"/>
  <c r="I450" i="4" s="1"/>
  <c r="G450" i="4" s="1"/>
  <c r="C450" i="4"/>
  <c r="H450" i="4" s="1"/>
  <c r="L450" i="4" s="1"/>
  <c r="K449" i="4"/>
  <c r="J449" i="4"/>
  <c r="D449" i="4"/>
  <c r="I449" i="4" s="1"/>
  <c r="C449" i="4"/>
  <c r="H449" i="4" s="1"/>
  <c r="D448" i="4"/>
  <c r="I448" i="4" s="1"/>
  <c r="C448" i="4"/>
  <c r="H448" i="4" s="1"/>
  <c r="L448" i="4" s="1"/>
  <c r="F447" i="4"/>
  <c r="E447" i="4"/>
  <c r="H447" i="4" s="1"/>
  <c r="L447" i="4" s="1"/>
  <c r="K446" i="4"/>
  <c r="J446" i="4"/>
  <c r="F446" i="4"/>
  <c r="E446" i="4"/>
  <c r="D446" i="4"/>
  <c r="C446" i="4"/>
  <c r="F445" i="4"/>
  <c r="E445" i="4"/>
  <c r="H445" i="4" s="1"/>
  <c r="L445" i="4" s="1"/>
  <c r="K444" i="4"/>
  <c r="J444" i="4"/>
  <c r="D444" i="4"/>
  <c r="I444" i="4" s="1"/>
  <c r="C444" i="4"/>
  <c r="H444" i="4" s="1"/>
  <c r="I443" i="4"/>
  <c r="M443" i="4" s="1"/>
  <c r="H443" i="4"/>
  <c r="L443" i="4" s="1"/>
  <c r="K442" i="4"/>
  <c r="J442" i="4"/>
  <c r="D442" i="4"/>
  <c r="I442" i="4" s="1"/>
  <c r="C442" i="4"/>
  <c r="H442" i="4" s="1"/>
  <c r="K441" i="4"/>
  <c r="J441" i="4"/>
  <c r="F441" i="4"/>
  <c r="E441" i="4"/>
  <c r="H441" i="4" s="1"/>
  <c r="D441" i="4"/>
  <c r="C441" i="4"/>
  <c r="I440" i="4"/>
  <c r="M440" i="4" s="1"/>
  <c r="H440" i="4"/>
  <c r="L440" i="4" s="1"/>
  <c r="K439" i="4"/>
  <c r="J439" i="4"/>
  <c r="D439" i="4"/>
  <c r="I439" i="4" s="1"/>
  <c r="C439" i="4"/>
  <c r="H439" i="4" s="1"/>
  <c r="K438" i="4"/>
  <c r="J438" i="4"/>
  <c r="D438" i="4"/>
  <c r="I438" i="4" s="1"/>
  <c r="C438" i="4"/>
  <c r="H438" i="4" s="1"/>
  <c r="K437" i="4"/>
  <c r="J437" i="4"/>
  <c r="F437" i="4"/>
  <c r="E437" i="4"/>
  <c r="D437" i="4"/>
  <c r="C437" i="4"/>
  <c r="K436" i="4"/>
  <c r="J436" i="4"/>
  <c r="I436" i="4"/>
  <c r="D436" i="4"/>
  <c r="C436" i="4"/>
  <c r="H436" i="4" s="1"/>
  <c r="M435" i="4"/>
  <c r="I435" i="4"/>
  <c r="H435" i="4"/>
  <c r="L435" i="4" s="1"/>
  <c r="I434" i="4"/>
  <c r="M434" i="4" s="1"/>
  <c r="H434" i="4"/>
  <c r="L434" i="4" s="1"/>
  <c r="D433" i="4"/>
  <c r="I433" i="4" s="1"/>
  <c r="C433" i="4"/>
  <c r="H433" i="4" s="1"/>
  <c r="L433" i="4" s="1"/>
  <c r="I432" i="4"/>
  <c r="M432" i="4" s="1"/>
  <c r="H432" i="4"/>
  <c r="L432" i="4" s="1"/>
  <c r="I431" i="4"/>
  <c r="M431" i="4" s="1"/>
  <c r="H431" i="4"/>
  <c r="L431" i="4" s="1"/>
  <c r="K430" i="4"/>
  <c r="J430" i="4"/>
  <c r="D430" i="4"/>
  <c r="I430" i="4" s="1"/>
  <c r="C430" i="4"/>
  <c r="H430" i="4" s="1"/>
  <c r="K429" i="4"/>
  <c r="J429" i="4"/>
  <c r="F429" i="4"/>
  <c r="E429" i="4"/>
  <c r="H429" i="4" s="1"/>
  <c r="K428" i="4"/>
  <c r="J428" i="4"/>
  <c r="D428" i="4"/>
  <c r="I428" i="4" s="1"/>
  <c r="C428" i="4"/>
  <c r="H428" i="4" s="1"/>
  <c r="I427" i="4"/>
  <c r="M427" i="4" s="1"/>
  <c r="H427" i="4"/>
  <c r="L427" i="4" s="1"/>
  <c r="K426" i="4"/>
  <c r="J426" i="4"/>
  <c r="D426" i="4"/>
  <c r="I426" i="4" s="1"/>
  <c r="C426" i="4"/>
  <c r="H426" i="4" s="1"/>
  <c r="K425" i="4"/>
  <c r="J425" i="4"/>
  <c r="D425" i="4"/>
  <c r="I425" i="4" s="1"/>
  <c r="C425" i="4"/>
  <c r="H425" i="4" s="1"/>
  <c r="D424" i="4"/>
  <c r="I424" i="4" s="1"/>
  <c r="C424" i="4"/>
  <c r="H424" i="4" s="1"/>
  <c r="L424" i="4" s="1"/>
  <c r="K423" i="4"/>
  <c r="J423" i="4"/>
  <c r="F423" i="4"/>
  <c r="E423" i="4"/>
  <c r="D423" i="4"/>
  <c r="C423" i="4"/>
  <c r="I422" i="4"/>
  <c r="M422" i="4" s="1"/>
  <c r="H422" i="4"/>
  <c r="L422" i="4" s="1"/>
  <c r="M421" i="4"/>
  <c r="L421" i="4"/>
  <c r="I421" i="4"/>
  <c r="H421" i="4"/>
  <c r="K420" i="4"/>
  <c r="J420" i="4"/>
  <c r="D420" i="4"/>
  <c r="I420" i="4" s="1"/>
  <c r="C420" i="4"/>
  <c r="H420" i="4" s="1"/>
  <c r="L420" i="4" s="1"/>
  <c r="K419" i="4"/>
  <c r="J419" i="4"/>
  <c r="F419" i="4"/>
  <c r="E419" i="4"/>
  <c r="D419" i="4"/>
  <c r="C419" i="4"/>
  <c r="D418" i="4"/>
  <c r="I418" i="4" s="1"/>
  <c r="C418" i="4"/>
  <c r="H418" i="4" s="1"/>
  <c r="L418" i="4" s="1"/>
  <c r="K417" i="4"/>
  <c r="J417" i="4"/>
  <c r="D417" i="4"/>
  <c r="I417" i="4" s="1"/>
  <c r="C417" i="4"/>
  <c r="H417" i="4" s="1"/>
  <c r="G416" i="4"/>
  <c r="F416" i="4"/>
  <c r="I416" i="4" s="1"/>
  <c r="M416" i="4" s="1"/>
  <c r="E416" i="4"/>
  <c r="H416" i="4" s="1"/>
  <c r="L416" i="4" s="1"/>
  <c r="I415" i="4"/>
  <c r="M415" i="4" s="1"/>
  <c r="H415" i="4"/>
  <c r="L415" i="4" s="1"/>
  <c r="K414" i="4"/>
  <c r="J414" i="4"/>
  <c r="D414" i="4"/>
  <c r="I414" i="4" s="1"/>
  <c r="C414" i="4"/>
  <c r="H414" i="4" s="1"/>
  <c r="K413" i="4"/>
  <c r="J413" i="4"/>
  <c r="D413" i="4"/>
  <c r="I413" i="4" s="1"/>
  <c r="M413" i="4" s="1"/>
  <c r="N413" i="4" s="1"/>
  <c r="C413" i="4"/>
  <c r="H413" i="4" s="1"/>
  <c r="F412" i="4"/>
  <c r="E412" i="4"/>
  <c r="H412" i="4" s="1"/>
  <c r="L412" i="4" s="1"/>
  <c r="K411" i="4"/>
  <c r="J411" i="4"/>
  <c r="F411" i="4"/>
  <c r="E411" i="4"/>
  <c r="D411" i="4"/>
  <c r="C411" i="4"/>
  <c r="K410" i="4"/>
  <c r="J410" i="4"/>
  <c r="D410" i="4"/>
  <c r="I410" i="4" s="1"/>
  <c r="C410" i="4"/>
  <c r="H410" i="4" s="1"/>
  <c r="K409" i="4"/>
  <c r="J409" i="4"/>
  <c r="D409" i="4"/>
  <c r="I409" i="4" s="1"/>
  <c r="C409" i="4"/>
  <c r="H409" i="4" s="1"/>
  <c r="I408" i="4"/>
  <c r="M408" i="4" s="1"/>
  <c r="H408" i="4"/>
  <c r="L408" i="4" s="1"/>
  <c r="K407" i="4"/>
  <c r="J407" i="4"/>
  <c r="D407" i="4"/>
  <c r="I407" i="4" s="1"/>
  <c r="C407" i="4"/>
  <c r="H407" i="4" s="1"/>
  <c r="F406" i="4"/>
  <c r="E406" i="4"/>
  <c r="H406" i="4" s="1"/>
  <c r="L406" i="4" s="1"/>
  <c r="K405" i="4"/>
  <c r="J405" i="4"/>
  <c r="D405" i="4"/>
  <c r="I405" i="4" s="1"/>
  <c r="C405" i="4"/>
  <c r="H405" i="4" s="1"/>
  <c r="I404" i="4"/>
  <c r="M404" i="4" s="1"/>
  <c r="H404" i="4"/>
  <c r="L404" i="4" s="1"/>
  <c r="K403" i="4"/>
  <c r="J403" i="4"/>
  <c r="D403" i="4"/>
  <c r="I403" i="4" s="1"/>
  <c r="C403" i="4"/>
  <c r="H403" i="4" s="1"/>
  <c r="K402" i="4"/>
  <c r="J402" i="4"/>
  <c r="D402" i="4"/>
  <c r="I402" i="4" s="1"/>
  <c r="G402" i="4" s="1"/>
  <c r="C402" i="4"/>
  <c r="H402" i="4" s="1"/>
  <c r="K401" i="4"/>
  <c r="J401" i="4"/>
  <c r="I401" i="4"/>
  <c r="H401" i="4"/>
  <c r="M400" i="4"/>
  <c r="I400" i="4"/>
  <c r="H400" i="4"/>
  <c r="L400" i="4" s="1"/>
  <c r="I399" i="4"/>
  <c r="M399" i="4" s="1"/>
  <c r="H399" i="4"/>
  <c r="L399" i="4" s="1"/>
  <c r="M398" i="4"/>
  <c r="I398" i="4"/>
  <c r="H398" i="4"/>
  <c r="L398" i="4" s="1"/>
  <c r="K397" i="4"/>
  <c r="J397" i="4"/>
  <c r="F397" i="4"/>
  <c r="E397" i="4"/>
  <c r="D397" i="4"/>
  <c r="C397" i="4"/>
  <c r="I396" i="4"/>
  <c r="M396" i="4" s="1"/>
  <c r="H396" i="4"/>
  <c r="L396" i="4" s="1"/>
  <c r="K395" i="4"/>
  <c r="J395" i="4"/>
  <c r="D395" i="4"/>
  <c r="I395" i="4" s="1"/>
  <c r="C395" i="4"/>
  <c r="H395" i="4" s="1"/>
  <c r="K394" i="4"/>
  <c r="J394" i="4"/>
  <c r="F394" i="4"/>
  <c r="I394" i="4" s="1"/>
  <c r="E394" i="4"/>
  <c r="D394" i="4"/>
  <c r="C394" i="4"/>
  <c r="I393" i="4"/>
  <c r="M393" i="4" s="1"/>
  <c r="H393" i="4"/>
  <c r="L393" i="4" s="1"/>
  <c r="D392" i="4"/>
  <c r="I392" i="4" s="1"/>
  <c r="C392" i="4"/>
  <c r="H392" i="4" s="1"/>
  <c r="L392" i="4" s="1"/>
  <c r="K391" i="4"/>
  <c r="J391" i="4"/>
  <c r="D391" i="4"/>
  <c r="I391" i="4" s="1"/>
  <c r="C391" i="4"/>
  <c r="H391" i="4" s="1"/>
  <c r="L391" i="4" s="1"/>
  <c r="K390" i="4"/>
  <c r="J390" i="4"/>
  <c r="F390" i="4"/>
  <c r="E390" i="4"/>
  <c r="D390" i="4"/>
  <c r="C390" i="4"/>
  <c r="K389" i="4"/>
  <c r="J389" i="4"/>
  <c r="D389" i="4"/>
  <c r="I389" i="4" s="1"/>
  <c r="C389" i="4"/>
  <c r="H389" i="4" s="1"/>
  <c r="I388" i="4"/>
  <c r="M388" i="4" s="1"/>
  <c r="H388" i="4"/>
  <c r="L388" i="4" s="1"/>
  <c r="K387" i="4"/>
  <c r="J387" i="4"/>
  <c r="D387" i="4"/>
  <c r="I387" i="4" s="1"/>
  <c r="C387" i="4"/>
  <c r="H387" i="4" s="1"/>
  <c r="F386" i="4"/>
  <c r="I386" i="4" s="1"/>
  <c r="E386" i="4"/>
  <c r="H386" i="4" s="1"/>
  <c r="L386" i="4" s="1"/>
  <c r="I385" i="4"/>
  <c r="M385" i="4" s="1"/>
  <c r="H385" i="4"/>
  <c r="L385" i="4" s="1"/>
  <c r="M384" i="4"/>
  <c r="I384" i="4"/>
  <c r="H384" i="4"/>
  <c r="L384" i="4" s="1"/>
  <c r="I383" i="4"/>
  <c r="M383" i="4" s="1"/>
  <c r="H383" i="4"/>
  <c r="L383" i="4" s="1"/>
  <c r="L382" i="4"/>
  <c r="I382" i="4"/>
  <c r="M382" i="4" s="1"/>
  <c r="H382" i="4"/>
  <c r="D381" i="4"/>
  <c r="I381" i="4" s="1"/>
  <c r="C381" i="4"/>
  <c r="H381" i="4" s="1"/>
  <c r="L381" i="4" s="1"/>
  <c r="K380" i="4"/>
  <c r="J380" i="4"/>
  <c r="F380" i="4"/>
  <c r="E380" i="4"/>
  <c r="D380" i="4"/>
  <c r="C380" i="4"/>
  <c r="D379" i="4"/>
  <c r="I379" i="4" s="1"/>
  <c r="G379" i="4" s="1"/>
  <c r="C379" i="4"/>
  <c r="H379" i="4" s="1"/>
  <c r="L379" i="4" s="1"/>
  <c r="I378" i="4"/>
  <c r="M378" i="4" s="1"/>
  <c r="H378" i="4"/>
  <c r="L378" i="4" s="1"/>
  <c r="D377" i="4"/>
  <c r="I377" i="4" s="1"/>
  <c r="C377" i="4"/>
  <c r="H377" i="4" s="1"/>
  <c r="L377" i="4" s="1"/>
  <c r="K376" i="4"/>
  <c r="J376" i="4"/>
  <c r="D376" i="4"/>
  <c r="I376" i="4" s="1"/>
  <c r="C376" i="4"/>
  <c r="H376" i="4" s="1"/>
  <c r="K375" i="4"/>
  <c r="J375" i="4"/>
  <c r="D375" i="4"/>
  <c r="I375" i="4" s="1"/>
  <c r="C375" i="4"/>
  <c r="H375" i="4" s="1"/>
  <c r="K374" i="4"/>
  <c r="J374" i="4"/>
  <c r="D374" i="4"/>
  <c r="I374" i="4" s="1"/>
  <c r="C374" i="4"/>
  <c r="H374" i="4" s="1"/>
  <c r="K373" i="4"/>
  <c r="J373" i="4"/>
  <c r="F373" i="4"/>
  <c r="E373" i="4"/>
  <c r="D373" i="4"/>
  <c r="C373" i="4"/>
  <c r="K372" i="4"/>
  <c r="J372" i="4"/>
  <c r="D372" i="4"/>
  <c r="I372" i="4" s="1"/>
  <c r="C372" i="4"/>
  <c r="H372" i="4" s="1"/>
  <c r="K371" i="4"/>
  <c r="J371" i="4"/>
  <c r="D371" i="4"/>
  <c r="I371" i="4" s="1"/>
  <c r="C371" i="4"/>
  <c r="H371" i="4" s="1"/>
  <c r="K370" i="4"/>
  <c r="J370" i="4"/>
  <c r="D370" i="4"/>
  <c r="I370" i="4" s="1"/>
  <c r="G370" i="4" s="1"/>
  <c r="C370" i="4"/>
  <c r="H370" i="4" s="1"/>
  <c r="I369" i="4"/>
  <c r="M369" i="4" s="1"/>
  <c r="H369" i="4"/>
  <c r="L369" i="4" s="1"/>
  <c r="K368" i="4"/>
  <c r="J368" i="4"/>
  <c r="D368" i="4"/>
  <c r="I368" i="4" s="1"/>
  <c r="C368" i="4"/>
  <c r="H368" i="4" s="1"/>
  <c r="I367" i="4"/>
  <c r="M367" i="4" s="1"/>
  <c r="H367" i="4"/>
  <c r="L367" i="4" s="1"/>
  <c r="K366" i="4"/>
  <c r="J366" i="4"/>
  <c r="F366" i="4"/>
  <c r="I366" i="4" s="1"/>
  <c r="E366" i="4"/>
  <c r="H366" i="4" s="1"/>
  <c r="K365" i="4"/>
  <c r="J365" i="4"/>
  <c r="D365" i="4"/>
  <c r="I365" i="4" s="1"/>
  <c r="G365" i="4" s="1"/>
  <c r="C365" i="4"/>
  <c r="H365" i="4" s="1"/>
  <c r="K364" i="4"/>
  <c r="J364" i="4"/>
  <c r="D364" i="4"/>
  <c r="I364" i="4" s="1"/>
  <c r="C364" i="4"/>
  <c r="H364" i="4" s="1"/>
  <c r="K363" i="4"/>
  <c r="J363" i="4"/>
  <c r="F363" i="4"/>
  <c r="E363" i="4"/>
  <c r="D363" i="4"/>
  <c r="C363" i="4"/>
  <c r="K361" i="4"/>
  <c r="J361" i="4"/>
  <c r="I361" i="4"/>
  <c r="H361" i="4"/>
  <c r="B361" i="4"/>
  <c r="I360" i="4"/>
  <c r="M360" i="4" s="1"/>
  <c r="H360" i="4"/>
  <c r="B360" i="4"/>
  <c r="K359" i="4"/>
  <c r="J359" i="4"/>
  <c r="I359" i="4"/>
  <c r="H359" i="4"/>
  <c r="B359" i="4"/>
  <c r="K358" i="4"/>
  <c r="J358" i="4"/>
  <c r="I358" i="4"/>
  <c r="H358" i="4"/>
  <c r="B358" i="4"/>
  <c r="I357" i="4"/>
  <c r="M357" i="4" s="1"/>
  <c r="H357" i="4"/>
  <c r="L359" i="4" s="1"/>
  <c r="B357" i="4"/>
  <c r="K356" i="4"/>
  <c r="J356" i="4"/>
  <c r="I356" i="4"/>
  <c r="H356" i="4"/>
  <c r="B356" i="4"/>
  <c r="I355" i="4"/>
  <c r="M355" i="4" s="1"/>
  <c r="H355" i="4"/>
  <c r="L357" i="4" s="1"/>
  <c r="B355" i="4"/>
  <c r="K354" i="4"/>
  <c r="J354" i="4"/>
  <c r="I354" i="4"/>
  <c r="H354" i="4"/>
  <c r="B354" i="4"/>
  <c r="K353" i="4"/>
  <c r="J353" i="4"/>
  <c r="I353" i="4"/>
  <c r="H353" i="4"/>
  <c r="B353" i="4"/>
  <c r="F352" i="4"/>
  <c r="I352" i="4" s="1"/>
  <c r="M352" i="4" s="1"/>
  <c r="E352" i="4"/>
  <c r="H352" i="4" s="1"/>
  <c r="L354" i="4" s="1"/>
  <c r="B352" i="4"/>
  <c r="I351" i="4"/>
  <c r="M351" i="4" s="1"/>
  <c r="H351" i="4"/>
  <c r="L353" i="4" s="1"/>
  <c r="B351" i="4"/>
  <c r="I350" i="4"/>
  <c r="M350" i="4" s="1"/>
  <c r="H350" i="4"/>
  <c r="L352" i="4" s="1"/>
  <c r="B350" i="4"/>
  <c r="I349" i="4"/>
  <c r="M349" i="4" s="1"/>
  <c r="H349" i="4"/>
  <c r="L351" i="4" s="1"/>
  <c r="B349" i="4"/>
  <c r="K348" i="4"/>
  <c r="J348" i="4"/>
  <c r="I348" i="4"/>
  <c r="H348" i="4"/>
  <c r="B348" i="4"/>
  <c r="I347" i="4"/>
  <c r="M347" i="4" s="1"/>
  <c r="H347" i="4"/>
  <c r="L349" i="4" s="1"/>
  <c r="B347" i="4"/>
  <c r="I346" i="4"/>
  <c r="M346" i="4" s="1"/>
  <c r="H346" i="4"/>
  <c r="L348" i="4" s="1"/>
  <c r="B346" i="4"/>
  <c r="I345" i="4"/>
  <c r="M345" i="4" s="1"/>
  <c r="H345" i="4"/>
  <c r="L347" i="4" s="1"/>
  <c r="B345" i="4"/>
  <c r="K344" i="4"/>
  <c r="J344" i="4"/>
  <c r="I344" i="4"/>
  <c r="H344" i="4"/>
  <c r="B344" i="4"/>
  <c r="K343" i="4"/>
  <c r="J343" i="4"/>
  <c r="I343" i="4"/>
  <c r="H343" i="4"/>
  <c r="B343" i="4"/>
  <c r="K342" i="4"/>
  <c r="J342" i="4"/>
  <c r="I342" i="4"/>
  <c r="H342" i="4"/>
  <c r="B342" i="4"/>
  <c r="I341" i="4"/>
  <c r="M341" i="4" s="1"/>
  <c r="H341" i="4"/>
  <c r="L343" i="4" s="1"/>
  <c r="B341" i="4"/>
  <c r="K340" i="4"/>
  <c r="J340" i="4"/>
  <c r="I340" i="4"/>
  <c r="H340" i="4"/>
  <c r="B340" i="4"/>
  <c r="I339" i="4"/>
  <c r="M339" i="4" s="1"/>
  <c r="H339" i="4"/>
  <c r="L341" i="4" s="1"/>
  <c r="B339" i="4"/>
  <c r="I338" i="4"/>
  <c r="M338" i="4" s="1"/>
  <c r="H338" i="4"/>
  <c r="L340" i="4" s="1"/>
  <c r="B338" i="4"/>
  <c r="M337" i="4"/>
  <c r="I337" i="4"/>
  <c r="H337" i="4"/>
  <c r="L339" i="4" s="1"/>
  <c r="B337" i="4"/>
  <c r="K336" i="4"/>
  <c r="J336" i="4"/>
  <c r="I336" i="4"/>
  <c r="H336" i="4"/>
  <c r="B336" i="4"/>
  <c r="K335" i="4"/>
  <c r="J335" i="4"/>
  <c r="I335" i="4"/>
  <c r="H335" i="4"/>
  <c r="B335" i="4"/>
  <c r="K334" i="4"/>
  <c r="J334" i="4"/>
  <c r="I334" i="4"/>
  <c r="H334" i="4"/>
  <c r="B334" i="4"/>
  <c r="K333" i="4"/>
  <c r="J333" i="4"/>
  <c r="I333" i="4"/>
  <c r="H333" i="4"/>
  <c r="B333" i="4"/>
  <c r="K332" i="4"/>
  <c r="J332" i="4"/>
  <c r="I332" i="4"/>
  <c r="H332" i="4"/>
  <c r="B332" i="4"/>
  <c r="I331" i="4"/>
  <c r="M331" i="4" s="1"/>
  <c r="H331" i="4"/>
  <c r="L333" i="4" s="1"/>
  <c r="B331" i="4"/>
  <c r="K330" i="4"/>
  <c r="J330" i="4"/>
  <c r="I330" i="4"/>
  <c r="H330" i="4"/>
  <c r="B330" i="4"/>
  <c r="M329" i="4"/>
  <c r="I329" i="4"/>
  <c r="H329" i="4"/>
  <c r="L331" i="4" s="1"/>
  <c r="B329" i="4"/>
  <c r="K328" i="4"/>
  <c r="J328" i="4"/>
  <c r="I328" i="4"/>
  <c r="H328" i="4"/>
  <c r="B328" i="4"/>
  <c r="I327" i="4"/>
  <c r="M327" i="4" s="1"/>
  <c r="H327" i="4"/>
  <c r="L329" i="4" s="1"/>
  <c r="B327" i="4"/>
  <c r="K326" i="4"/>
  <c r="J326" i="4"/>
  <c r="I326" i="4"/>
  <c r="H326" i="4"/>
  <c r="B326" i="4"/>
  <c r="K325" i="4"/>
  <c r="J325" i="4"/>
  <c r="I325" i="4"/>
  <c r="H325" i="4"/>
  <c r="B325" i="4"/>
  <c r="I324" i="4"/>
  <c r="M324" i="4" s="1"/>
  <c r="H324" i="4"/>
  <c r="L326" i="4" s="1"/>
  <c r="B324" i="4"/>
  <c r="K323" i="4"/>
  <c r="J323" i="4"/>
  <c r="I323" i="4"/>
  <c r="H323" i="4"/>
  <c r="B323" i="4"/>
  <c r="K322" i="4"/>
  <c r="J322" i="4"/>
  <c r="I322" i="4"/>
  <c r="H322" i="4"/>
  <c r="B322" i="4"/>
  <c r="K321" i="4"/>
  <c r="J321" i="4"/>
  <c r="I321" i="4"/>
  <c r="H321" i="4"/>
  <c r="B321" i="4"/>
  <c r="I320" i="4"/>
  <c r="M320" i="4" s="1"/>
  <c r="H320" i="4"/>
  <c r="L322" i="4" s="1"/>
  <c r="B320" i="4"/>
  <c r="K319" i="4"/>
  <c r="J319" i="4"/>
  <c r="I319" i="4"/>
  <c r="H319" i="4"/>
  <c r="B319" i="4"/>
  <c r="K318" i="4"/>
  <c r="J318" i="4"/>
  <c r="I318" i="4"/>
  <c r="H318" i="4"/>
  <c r="B318" i="4"/>
  <c r="K317" i="4"/>
  <c r="J317" i="4"/>
  <c r="I317" i="4"/>
  <c r="H317" i="4"/>
  <c r="B317" i="4"/>
  <c r="I316" i="4"/>
  <c r="M316" i="4" s="1"/>
  <c r="H316" i="4"/>
  <c r="L318" i="4" s="1"/>
  <c r="B316" i="4"/>
  <c r="K315" i="4"/>
  <c r="J315" i="4"/>
  <c r="I315" i="4"/>
  <c r="H315" i="4"/>
  <c r="B315" i="4"/>
  <c r="K314" i="4"/>
  <c r="J314" i="4"/>
  <c r="I314" i="4"/>
  <c r="H314" i="4"/>
  <c r="B314" i="4"/>
  <c r="K313" i="4"/>
  <c r="J313" i="4"/>
  <c r="I313" i="4"/>
  <c r="H313" i="4"/>
  <c r="B313" i="4"/>
  <c r="K312" i="4"/>
  <c r="J312" i="4"/>
  <c r="I312" i="4"/>
  <c r="H312" i="4"/>
  <c r="B312" i="4"/>
  <c r="I311" i="4"/>
  <c r="M311" i="4" s="1"/>
  <c r="H311" i="4"/>
  <c r="L313" i="4" s="1"/>
  <c r="B311" i="4"/>
  <c r="K310" i="4"/>
  <c r="J310" i="4"/>
  <c r="I310" i="4"/>
  <c r="H310" i="4"/>
  <c r="B310" i="4"/>
  <c r="K309" i="4"/>
  <c r="J309" i="4"/>
  <c r="I309" i="4"/>
  <c r="H309" i="4"/>
  <c r="B309" i="4"/>
  <c r="I308" i="4"/>
  <c r="M308" i="4" s="1"/>
  <c r="H308" i="4"/>
  <c r="L310" i="4" s="1"/>
  <c r="B308" i="4"/>
  <c r="L307" i="4"/>
  <c r="K307" i="4"/>
  <c r="J307" i="4"/>
  <c r="I307" i="4"/>
  <c r="H307" i="4"/>
  <c r="B307" i="4"/>
  <c r="K306" i="4"/>
  <c r="J306" i="4"/>
  <c r="I306" i="4"/>
  <c r="H306" i="4"/>
  <c r="B306" i="4"/>
  <c r="I305" i="4"/>
  <c r="M305" i="4" s="1"/>
  <c r="H305" i="4"/>
  <c r="B305" i="4"/>
  <c r="I304" i="4"/>
  <c r="M304" i="4" s="1"/>
  <c r="H304" i="4"/>
  <c r="L306" i="4" s="1"/>
  <c r="B304" i="4"/>
  <c r="M303" i="4"/>
  <c r="I303" i="4"/>
  <c r="H303" i="4"/>
  <c r="L305" i="4" s="1"/>
  <c r="B303" i="4"/>
  <c r="I302" i="4"/>
  <c r="M302" i="4" s="1"/>
  <c r="H302" i="4"/>
  <c r="L304" i="4" s="1"/>
  <c r="B302" i="4"/>
  <c r="K301" i="4"/>
  <c r="J301" i="4"/>
  <c r="I301" i="4"/>
  <c r="H301" i="4"/>
  <c r="B301" i="4"/>
  <c r="I300" i="4"/>
  <c r="M300" i="4" s="1"/>
  <c r="H300" i="4"/>
  <c r="L302" i="4" s="1"/>
  <c r="B300" i="4"/>
  <c r="K299" i="4"/>
  <c r="J299" i="4"/>
  <c r="I299" i="4"/>
  <c r="H299" i="4"/>
  <c r="B299" i="4"/>
  <c r="K298" i="4"/>
  <c r="J298" i="4"/>
  <c r="I298" i="4"/>
  <c r="H298" i="4"/>
  <c r="B298" i="4"/>
  <c r="K297" i="4"/>
  <c r="J297" i="4"/>
  <c r="I297" i="4"/>
  <c r="H297" i="4"/>
  <c r="B297" i="4"/>
  <c r="I296" i="4"/>
  <c r="M296" i="4" s="1"/>
  <c r="H296" i="4"/>
  <c r="L298" i="4" s="1"/>
  <c r="B296" i="4"/>
  <c r="I295" i="4"/>
  <c r="M295" i="4" s="1"/>
  <c r="H295" i="4"/>
  <c r="L297" i="4" s="1"/>
  <c r="B295" i="4"/>
  <c r="K294" i="4"/>
  <c r="J294" i="4"/>
  <c r="I294" i="4"/>
  <c r="H294" i="4"/>
  <c r="B294" i="4"/>
  <c r="I293" i="4"/>
  <c r="M293" i="4" s="1"/>
  <c r="H293" i="4"/>
  <c r="L295" i="4" s="1"/>
  <c r="B293" i="4"/>
  <c r="M292" i="4"/>
  <c r="I292" i="4"/>
  <c r="H292" i="4"/>
  <c r="L294" i="4" s="1"/>
  <c r="B292" i="4"/>
  <c r="K291" i="4"/>
  <c r="M291" i="4" s="1"/>
  <c r="N291" i="4" s="1"/>
  <c r="J291" i="4"/>
  <c r="I291" i="4"/>
  <c r="H291" i="4"/>
  <c r="B291" i="4"/>
  <c r="I290" i="4"/>
  <c r="M290" i="4" s="1"/>
  <c r="H290" i="4"/>
  <c r="L292" i="4" s="1"/>
  <c r="B290" i="4"/>
  <c r="I289" i="4"/>
  <c r="M289" i="4" s="1"/>
  <c r="H289" i="4"/>
  <c r="L291" i="4" s="1"/>
  <c r="B289" i="4"/>
  <c r="K288" i="4"/>
  <c r="J288" i="4"/>
  <c r="F288" i="4"/>
  <c r="I288" i="4" s="1"/>
  <c r="E288" i="4"/>
  <c r="H288" i="4" s="1"/>
  <c r="B288" i="4"/>
  <c r="I287" i="4"/>
  <c r="M287" i="4" s="1"/>
  <c r="H287" i="4"/>
  <c r="L289" i="4" s="1"/>
  <c r="B287" i="4"/>
  <c r="K286" i="4"/>
  <c r="J286" i="4"/>
  <c r="I286" i="4"/>
  <c r="H286" i="4"/>
  <c r="B286" i="4"/>
  <c r="I285" i="4"/>
  <c r="M285" i="4" s="1"/>
  <c r="H285" i="4"/>
  <c r="L287" i="4" s="1"/>
  <c r="B285" i="4"/>
  <c r="D284" i="4"/>
  <c r="I284" i="4" s="1"/>
  <c r="C284" i="4"/>
  <c r="H284" i="4" s="1"/>
  <c r="D283" i="4"/>
  <c r="I283" i="4" s="1"/>
  <c r="M283" i="4" s="1"/>
  <c r="C283" i="4"/>
  <c r="H283" i="4" s="1"/>
  <c r="L283" i="4" s="1"/>
  <c r="D282" i="4"/>
  <c r="I282" i="4" s="1"/>
  <c r="M282" i="4" s="1"/>
  <c r="C282" i="4"/>
  <c r="H282" i="4" s="1"/>
  <c r="L282" i="4" s="1"/>
  <c r="D281" i="4"/>
  <c r="I281" i="4" s="1"/>
  <c r="C281" i="4"/>
  <c r="H281" i="4" s="1"/>
  <c r="L281" i="4" s="1"/>
  <c r="D280" i="4"/>
  <c r="I280" i="4" s="1"/>
  <c r="G280" i="4" s="1"/>
  <c r="C280" i="4"/>
  <c r="H280" i="4" s="1"/>
  <c r="L280" i="4" s="1"/>
  <c r="D279" i="4"/>
  <c r="I279" i="4" s="1"/>
  <c r="G279" i="4" s="1"/>
  <c r="C279" i="4"/>
  <c r="H279" i="4" s="1"/>
  <c r="L279" i="4" s="1"/>
  <c r="H278" i="4"/>
  <c r="L278" i="4" s="1"/>
  <c r="D278" i="4"/>
  <c r="I278" i="4" s="1"/>
  <c r="C278" i="4"/>
  <c r="I277" i="4"/>
  <c r="M277" i="4" s="1"/>
  <c r="H277" i="4"/>
  <c r="L277" i="4" s="1"/>
  <c r="D276" i="4"/>
  <c r="I276" i="4" s="1"/>
  <c r="C276" i="4"/>
  <c r="H276" i="4" s="1"/>
  <c r="L276" i="4" s="1"/>
  <c r="D275" i="4"/>
  <c r="I275" i="4" s="1"/>
  <c r="G275" i="4" s="1"/>
  <c r="C275" i="4"/>
  <c r="H275" i="4" s="1"/>
  <c r="L275" i="4" s="1"/>
  <c r="D274" i="4"/>
  <c r="I274" i="4" s="1"/>
  <c r="G274" i="4" s="1"/>
  <c r="C274" i="4"/>
  <c r="H274" i="4" s="1"/>
  <c r="L274" i="4" s="1"/>
  <c r="D273" i="4"/>
  <c r="I273" i="4" s="1"/>
  <c r="C273" i="4"/>
  <c r="H273" i="4" s="1"/>
  <c r="L273" i="4" s="1"/>
  <c r="D272" i="4"/>
  <c r="I272" i="4" s="1"/>
  <c r="C272" i="4"/>
  <c r="H272" i="4" s="1"/>
  <c r="L272" i="4" s="1"/>
  <c r="D271" i="4"/>
  <c r="I271" i="4" s="1"/>
  <c r="M271" i="4" s="1"/>
  <c r="C271" i="4"/>
  <c r="H271" i="4" s="1"/>
  <c r="L271" i="4" s="1"/>
  <c r="I270" i="4"/>
  <c r="M270" i="4" s="1"/>
  <c r="H270" i="4"/>
  <c r="L270" i="4" s="1"/>
  <c r="I269" i="4"/>
  <c r="M269" i="4" s="1"/>
  <c r="H269" i="4"/>
  <c r="L269" i="4" s="1"/>
  <c r="D268" i="4"/>
  <c r="I268" i="4" s="1"/>
  <c r="C268" i="4"/>
  <c r="H268" i="4" s="1"/>
  <c r="L268" i="4" s="1"/>
  <c r="D267" i="4"/>
  <c r="I267" i="4" s="1"/>
  <c r="G267" i="4" s="1"/>
  <c r="C267" i="4"/>
  <c r="H267" i="4" s="1"/>
  <c r="L267" i="4" s="1"/>
  <c r="I266" i="4"/>
  <c r="M266" i="4" s="1"/>
  <c r="H266" i="4"/>
  <c r="L266" i="4" s="1"/>
  <c r="I265" i="4"/>
  <c r="M265" i="4" s="1"/>
  <c r="H265" i="4"/>
  <c r="L265" i="4" s="1"/>
  <c r="D264" i="4"/>
  <c r="I264" i="4" s="1"/>
  <c r="G264" i="4" s="1"/>
  <c r="C264" i="4"/>
  <c r="H264" i="4" s="1"/>
  <c r="L264" i="4" s="1"/>
  <c r="I263" i="4"/>
  <c r="M263" i="4" s="1"/>
  <c r="H263" i="4"/>
  <c r="L263" i="4" s="1"/>
  <c r="D262" i="4"/>
  <c r="I262" i="4" s="1"/>
  <c r="M262" i="4" s="1"/>
  <c r="C262" i="4"/>
  <c r="H262" i="4" s="1"/>
  <c r="L262" i="4" s="1"/>
  <c r="D261" i="4"/>
  <c r="I261" i="4" s="1"/>
  <c r="C261" i="4"/>
  <c r="H261" i="4" s="1"/>
  <c r="L261" i="4" s="1"/>
  <c r="D260" i="4"/>
  <c r="I260" i="4" s="1"/>
  <c r="C260" i="4"/>
  <c r="H260" i="4" s="1"/>
  <c r="L260" i="4" s="1"/>
  <c r="D259" i="4"/>
  <c r="I259" i="4" s="1"/>
  <c r="C259" i="4"/>
  <c r="H259" i="4" s="1"/>
  <c r="L259" i="4" s="1"/>
  <c r="D258" i="4"/>
  <c r="I258" i="4" s="1"/>
  <c r="C258" i="4"/>
  <c r="H258" i="4" s="1"/>
  <c r="L258" i="4" s="1"/>
  <c r="I257" i="4"/>
  <c r="M257" i="4" s="1"/>
  <c r="H257" i="4"/>
  <c r="L257" i="4" s="1"/>
  <c r="D256" i="4"/>
  <c r="I256" i="4" s="1"/>
  <c r="C256" i="4"/>
  <c r="H256" i="4" s="1"/>
  <c r="L256" i="4" s="1"/>
  <c r="I255" i="4"/>
  <c r="M255" i="4" s="1"/>
  <c r="H255" i="4"/>
  <c r="L255" i="4" s="1"/>
  <c r="K254" i="4"/>
  <c r="J254" i="4"/>
  <c r="D254" i="4"/>
  <c r="I254" i="4" s="1"/>
  <c r="G254" i="4" s="1"/>
  <c r="C254" i="4"/>
  <c r="H254" i="4" s="1"/>
  <c r="K253" i="4"/>
  <c r="J253" i="4"/>
  <c r="D253" i="4"/>
  <c r="I253" i="4" s="1"/>
  <c r="C253" i="4"/>
  <c r="H253" i="4" s="1"/>
  <c r="K252" i="4"/>
  <c r="J252" i="4"/>
  <c r="D252" i="4"/>
  <c r="I252" i="4" s="1"/>
  <c r="C252" i="4"/>
  <c r="H252" i="4" s="1"/>
  <c r="D251" i="4"/>
  <c r="I251" i="4" s="1"/>
  <c r="M251" i="4" s="1"/>
  <c r="C251" i="4"/>
  <c r="H251" i="4" s="1"/>
  <c r="L251" i="4" s="1"/>
  <c r="K250" i="4"/>
  <c r="J250" i="4"/>
  <c r="D250" i="4"/>
  <c r="I250" i="4" s="1"/>
  <c r="C250" i="4"/>
  <c r="H250" i="4" s="1"/>
  <c r="K249" i="4"/>
  <c r="J249" i="4"/>
  <c r="D249" i="4"/>
  <c r="I249" i="4" s="1"/>
  <c r="G249" i="4" s="1"/>
  <c r="C249" i="4"/>
  <c r="H249" i="4" s="1"/>
  <c r="K248" i="4"/>
  <c r="J248" i="4"/>
  <c r="D248" i="4"/>
  <c r="I248" i="4" s="1"/>
  <c r="G248" i="4" s="1"/>
  <c r="C248" i="4"/>
  <c r="H248" i="4" s="1"/>
  <c r="K247" i="4"/>
  <c r="J247" i="4"/>
  <c r="I247" i="4"/>
  <c r="H247" i="4"/>
  <c r="K246" i="4"/>
  <c r="J246" i="4"/>
  <c r="D246" i="4"/>
  <c r="I246" i="4" s="1"/>
  <c r="G246" i="4" s="1"/>
  <c r="C246" i="4"/>
  <c r="H246" i="4" s="1"/>
  <c r="K245" i="4"/>
  <c r="J245" i="4"/>
  <c r="D245" i="4"/>
  <c r="I245" i="4" s="1"/>
  <c r="C245" i="4"/>
  <c r="H245" i="4" s="1"/>
  <c r="K244" i="4"/>
  <c r="J244" i="4"/>
  <c r="D244" i="4"/>
  <c r="I244" i="4" s="1"/>
  <c r="C244" i="4"/>
  <c r="H244" i="4" s="1"/>
  <c r="K243" i="4"/>
  <c r="J243" i="4"/>
  <c r="D243" i="4"/>
  <c r="I243" i="4" s="1"/>
  <c r="G243" i="4" s="1"/>
  <c r="C243" i="4"/>
  <c r="H243" i="4" s="1"/>
  <c r="K242" i="4"/>
  <c r="J242" i="4"/>
  <c r="I242" i="4"/>
  <c r="H242" i="4"/>
  <c r="K241" i="4"/>
  <c r="J241" i="4"/>
  <c r="F241" i="4"/>
  <c r="E241" i="4"/>
  <c r="D241" i="4"/>
  <c r="C241" i="4"/>
  <c r="K240" i="4"/>
  <c r="J240" i="4"/>
  <c r="D240" i="4"/>
  <c r="I240" i="4" s="1"/>
  <c r="C240" i="4"/>
  <c r="H240" i="4" s="1"/>
  <c r="K239" i="4"/>
  <c r="J239" i="4"/>
  <c r="D239" i="4"/>
  <c r="I239" i="4" s="1"/>
  <c r="C239" i="4"/>
  <c r="H239" i="4" s="1"/>
  <c r="K238" i="4"/>
  <c r="J238" i="4"/>
  <c r="F238" i="4"/>
  <c r="E238" i="4"/>
  <c r="D238" i="4"/>
  <c r="C238" i="4"/>
  <c r="K237" i="4"/>
  <c r="J237" i="4"/>
  <c r="D237" i="4"/>
  <c r="I237" i="4" s="1"/>
  <c r="C237" i="4"/>
  <c r="H237" i="4" s="1"/>
  <c r="K236" i="4"/>
  <c r="J236" i="4"/>
  <c r="D236" i="4"/>
  <c r="I236" i="4" s="1"/>
  <c r="C236" i="4"/>
  <c r="H236" i="4" s="1"/>
  <c r="I235" i="4"/>
  <c r="M235" i="4" s="1"/>
  <c r="H235" i="4"/>
  <c r="L235" i="4" s="1"/>
  <c r="K234" i="4"/>
  <c r="J234" i="4"/>
  <c r="D234" i="4"/>
  <c r="I234" i="4" s="1"/>
  <c r="C234" i="4"/>
  <c r="H234" i="4" s="1"/>
  <c r="K233" i="4"/>
  <c r="J233" i="4"/>
  <c r="D233" i="4"/>
  <c r="I233" i="4" s="1"/>
  <c r="C233" i="4"/>
  <c r="H233" i="4" s="1"/>
  <c r="K232" i="4"/>
  <c r="J232" i="4"/>
  <c r="D232" i="4"/>
  <c r="I232" i="4" s="1"/>
  <c r="G232" i="4" s="1"/>
  <c r="C232" i="4"/>
  <c r="H232" i="4" s="1"/>
  <c r="K231" i="4"/>
  <c r="J231" i="4"/>
  <c r="D231" i="4"/>
  <c r="I231" i="4" s="1"/>
  <c r="G231" i="4" s="1"/>
  <c r="C231" i="4"/>
  <c r="H231" i="4" s="1"/>
  <c r="I230" i="4"/>
  <c r="M230" i="4" s="1"/>
  <c r="H230" i="4"/>
  <c r="L230" i="4" s="1"/>
  <c r="K229" i="4"/>
  <c r="J229" i="4"/>
  <c r="F229" i="4"/>
  <c r="E229" i="4"/>
  <c r="D229" i="4"/>
  <c r="C229" i="4"/>
  <c r="I228" i="4"/>
  <c r="M228" i="4" s="1"/>
  <c r="H228" i="4"/>
  <c r="L228" i="4" s="1"/>
  <c r="K227" i="4"/>
  <c r="J227" i="4"/>
  <c r="D227" i="4"/>
  <c r="I227" i="4" s="1"/>
  <c r="G227" i="4" s="1"/>
  <c r="C227" i="4"/>
  <c r="H227" i="4" s="1"/>
  <c r="K226" i="4"/>
  <c r="J226" i="4"/>
  <c r="D226" i="4"/>
  <c r="I226" i="4" s="1"/>
  <c r="C226" i="4"/>
  <c r="H226" i="4" s="1"/>
  <c r="K225" i="4"/>
  <c r="J225" i="4"/>
  <c r="I225" i="4"/>
  <c r="M225" i="4" s="1"/>
  <c r="N225" i="4" s="1"/>
  <c r="H225" i="4"/>
  <c r="K224" i="4"/>
  <c r="J224" i="4"/>
  <c r="D224" i="4"/>
  <c r="I224" i="4" s="1"/>
  <c r="C224" i="4"/>
  <c r="H224" i="4" s="1"/>
  <c r="D223" i="4"/>
  <c r="I223" i="4" s="1"/>
  <c r="C223" i="4"/>
  <c r="H223" i="4" s="1"/>
  <c r="L223" i="4" s="1"/>
  <c r="K222" i="4"/>
  <c r="J222" i="4"/>
  <c r="D222" i="4"/>
  <c r="I222" i="4" s="1"/>
  <c r="C222" i="4"/>
  <c r="H222" i="4" s="1"/>
  <c r="D221" i="4"/>
  <c r="I221" i="4" s="1"/>
  <c r="C221" i="4"/>
  <c r="H221" i="4" s="1"/>
  <c r="L221" i="4" s="1"/>
  <c r="K220" i="4"/>
  <c r="J220" i="4"/>
  <c r="D220" i="4"/>
  <c r="I220" i="4" s="1"/>
  <c r="G220" i="4" s="1"/>
  <c r="C220" i="4"/>
  <c r="H220" i="4" s="1"/>
  <c r="K219" i="4"/>
  <c r="J219" i="4"/>
  <c r="D219" i="4"/>
  <c r="I219" i="4" s="1"/>
  <c r="C219" i="4"/>
  <c r="H219" i="4" s="1"/>
  <c r="K218" i="4"/>
  <c r="J218" i="4"/>
  <c r="D218" i="4"/>
  <c r="I218" i="4" s="1"/>
  <c r="C218" i="4"/>
  <c r="H218" i="4" s="1"/>
  <c r="K217" i="4"/>
  <c r="J217" i="4"/>
  <c r="D217" i="4"/>
  <c r="I217" i="4" s="1"/>
  <c r="G217" i="4" s="1"/>
  <c r="C217" i="4"/>
  <c r="H217" i="4" s="1"/>
  <c r="K216" i="4"/>
  <c r="J216" i="4"/>
  <c r="D216" i="4"/>
  <c r="I216" i="4" s="1"/>
  <c r="G216" i="4" s="1"/>
  <c r="C216" i="4"/>
  <c r="H216" i="4" s="1"/>
  <c r="K215" i="4"/>
  <c r="J215" i="4"/>
  <c r="D215" i="4"/>
  <c r="I215" i="4" s="1"/>
  <c r="C215" i="4"/>
  <c r="H215" i="4" s="1"/>
  <c r="K214" i="4"/>
  <c r="J214" i="4"/>
  <c r="D214" i="4"/>
  <c r="I214" i="4" s="1"/>
  <c r="C214" i="4"/>
  <c r="H214" i="4" s="1"/>
  <c r="K213" i="4"/>
  <c r="J213" i="4"/>
  <c r="D213" i="4"/>
  <c r="I213" i="4" s="1"/>
  <c r="C213" i="4"/>
  <c r="H213" i="4" s="1"/>
  <c r="K212" i="4"/>
  <c r="J212" i="4"/>
  <c r="I212" i="4"/>
  <c r="M212" i="4" s="1"/>
  <c r="N212" i="4" s="1"/>
  <c r="H212" i="4"/>
  <c r="K211" i="4"/>
  <c r="J211" i="4"/>
  <c r="D211" i="4"/>
  <c r="I211" i="4" s="1"/>
  <c r="G211" i="4" s="1"/>
  <c r="C211" i="4"/>
  <c r="H211" i="4" s="1"/>
  <c r="K210" i="4"/>
  <c r="J210" i="4"/>
  <c r="D210" i="4"/>
  <c r="I210" i="4" s="1"/>
  <c r="C210" i="4"/>
  <c r="H210" i="4" s="1"/>
  <c r="I209" i="4"/>
  <c r="M209" i="4" s="1"/>
  <c r="H209" i="4"/>
  <c r="L209" i="4" s="1"/>
  <c r="K208" i="4"/>
  <c r="J208" i="4"/>
  <c r="D208" i="4"/>
  <c r="I208" i="4" s="1"/>
  <c r="C208" i="4"/>
  <c r="H208" i="4" s="1"/>
  <c r="I207" i="4"/>
  <c r="M207" i="4" s="1"/>
  <c r="H207" i="4"/>
  <c r="L207" i="4" s="1"/>
  <c r="D206" i="4"/>
  <c r="I206" i="4" s="1"/>
  <c r="C206" i="4"/>
  <c r="H206" i="4" s="1"/>
  <c r="L206" i="4" s="1"/>
  <c r="K205" i="4"/>
  <c r="J205" i="4"/>
  <c r="D205" i="4"/>
  <c r="I205" i="4" s="1"/>
  <c r="C205" i="4"/>
  <c r="H205" i="4" s="1"/>
  <c r="K204" i="4"/>
  <c r="J204" i="4"/>
  <c r="F204" i="4"/>
  <c r="E204" i="4"/>
  <c r="D204" i="4"/>
  <c r="C204" i="4"/>
  <c r="D203" i="4"/>
  <c r="I203" i="4" s="1"/>
  <c r="C203" i="4"/>
  <c r="H203" i="4" s="1"/>
  <c r="L203" i="4" s="1"/>
  <c r="K202" i="4"/>
  <c r="J202" i="4"/>
  <c r="D202" i="4"/>
  <c r="I202" i="4" s="1"/>
  <c r="G202" i="4" s="1"/>
  <c r="C202" i="4"/>
  <c r="H202" i="4" s="1"/>
  <c r="I201" i="4"/>
  <c r="M201" i="4" s="1"/>
  <c r="H201" i="4"/>
  <c r="L201" i="4" s="1"/>
  <c r="K200" i="4"/>
  <c r="J200" i="4"/>
  <c r="D200" i="4"/>
  <c r="I200" i="4" s="1"/>
  <c r="C200" i="4"/>
  <c r="H200" i="4" s="1"/>
  <c r="K199" i="4"/>
  <c r="J199" i="4"/>
  <c r="F199" i="4"/>
  <c r="E199" i="4"/>
  <c r="D199" i="4"/>
  <c r="C199" i="4"/>
  <c r="K198" i="4"/>
  <c r="J198" i="4"/>
  <c r="I198" i="4"/>
  <c r="H198" i="4"/>
  <c r="K197" i="4"/>
  <c r="J197" i="4"/>
  <c r="D197" i="4"/>
  <c r="I197" i="4" s="1"/>
  <c r="C197" i="4"/>
  <c r="H197" i="4" s="1"/>
  <c r="K196" i="4"/>
  <c r="J196" i="4"/>
  <c r="D196" i="4"/>
  <c r="I196" i="4" s="1"/>
  <c r="C196" i="4"/>
  <c r="H196" i="4" s="1"/>
  <c r="K195" i="4"/>
  <c r="J195" i="4"/>
  <c r="D195" i="4"/>
  <c r="I195" i="4" s="1"/>
  <c r="C195" i="4"/>
  <c r="H195" i="4" s="1"/>
  <c r="I194" i="4"/>
  <c r="M194" i="4" s="1"/>
  <c r="H194" i="4"/>
  <c r="L194" i="4" s="1"/>
  <c r="K193" i="4"/>
  <c r="J193" i="4"/>
  <c r="D193" i="4"/>
  <c r="I193" i="4" s="1"/>
  <c r="C193" i="4"/>
  <c r="H193" i="4" s="1"/>
  <c r="K192" i="4"/>
  <c r="J192" i="4"/>
  <c r="D192" i="4"/>
  <c r="I192" i="4" s="1"/>
  <c r="C192" i="4"/>
  <c r="H192" i="4" s="1"/>
  <c r="K191" i="4"/>
  <c r="J191" i="4"/>
  <c r="D191" i="4"/>
  <c r="I191" i="4" s="1"/>
  <c r="C191" i="4"/>
  <c r="H191" i="4" s="1"/>
  <c r="K190" i="4"/>
  <c r="J190" i="4"/>
  <c r="D190" i="4"/>
  <c r="I190" i="4" s="1"/>
  <c r="C190" i="4"/>
  <c r="H190" i="4" s="1"/>
  <c r="I189" i="4"/>
  <c r="M189" i="4" s="1"/>
  <c r="H189" i="4"/>
  <c r="L189" i="4" s="1"/>
  <c r="D188" i="4"/>
  <c r="I188" i="4" s="1"/>
  <c r="C188" i="4"/>
  <c r="H188" i="4" s="1"/>
  <c r="L188" i="4" s="1"/>
  <c r="D187" i="4"/>
  <c r="I187" i="4" s="1"/>
  <c r="C187" i="4"/>
  <c r="H187" i="4" s="1"/>
  <c r="L187" i="4" s="1"/>
  <c r="K186" i="4"/>
  <c r="J186" i="4"/>
  <c r="D186" i="4"/>
  <c r="I186" i="4" s="1"/>
  <c r="C186" i="4"/>
  <c r="H186" i="4" s="1"/>
  <c r="D185" i="4"/>
  <c r="I185" i="4" s="1"/>
  <c r="C185" i="4"/>
  <c r="H185" i="4" s="1"/>
  <c r="L185" i="4" s="1"/>
  <c r="K184" i="4"/>
  <c r="J184" i="4"/>
  <c r="D184" i="4"/>
  <c r="I184" i="4" s="1"/>
  <c r="C184" i="4"/>
  <c r="H184" i="4" s="1"/>
  <c r="I183" i="4"/>
  <c r="M183" i="4" s="1"/>
  <c r="H183" i="4"/>
  <c r="L183" i="4" s="1"/>
  <c r="K182" i="4"/>
  <c r="J182" i="4"/>
  <c r="D182" i="4"/>
  <c r="I182" i="4" s="1"/>
  <c r="C182" i="4"/>
  <c r="H182" i="4" s="1"/>
  <c r="D181" i="4"/>
  <c r="I181" i="4" s="1"/>
  <c r="M181" i="4" s="1"/>
  <c r="C181" i="4"/>
  <c r="H181" i="4" s="1"/>
  <c r="L181" i="4" s="1"/>
  <c r="I180" i="4"/>
  <c r="M180" i="4" s="1"/>
  <c r="H180" i="4"/>
  <c r="L180" i="4" s="1"/>
  <c r="I179" i="4"/>
  <c r="M179" i="4" s="1"/>
  <c r="H179" i="4"/>
  <c r="L179" i="4" s="1"/>
  <c r="D178" i="4"/>
  <c r="I178" i="4" s="1"/>
  <c r="M178" i="4" s="1"/>
  <c r="C178" i="4"/>
  <c r="H178" i="4" s="1"/>
  <c r="L178" i="4" s="1"/>
  <c r="K177" i="4"/>
  <c r="J177" i="4"/>
  <c r="D177" i="4"/>
  <c r="I177" i="4" s="1"/>
  <c r="C177" i="4"/>
  <c r="H177" i="4" s="1"/>
  <c r="I176" i="4"/>
  <c r="M176" i="4" s="1"/>
  <c r="H176" i="4"/>
  <c r="L176" i="4" s="1"/>
  <c r="K175" i="4"/>
  <c r="J175" i="4"/>
  <c r="D175" i="4"/>
  <c r="I175" i="4" s="1"/>
  <c r="C175" i="4"/>
  <c r="H175" i="4" s="1"/>
  <c r="K174" i="4"/>
  <c r="J174" i="4"/>
  <c r="D174" i="4"/>
  <c r="I174" i="4" s="1"/>
  <c r="C174" i="4"/>
  <c r="H174" i="4" s="1"/>
  <c r="D173" i="4"/>
  <c r="I173" i="4" s="1"/>
  <c r="M173" i="4" s="1"/>
  <c r="C173" i="4"/>
  <c r="H173" i="4" s="1"/>
  <c r="L173" i="4" s="1"/>
  <c r="K172" i="4"/>
  <c r="J172" i="4"/>
  <c r="D172" i="4"/>
  <c r="I172" i="4" s="1"/>
  <c r="C172" i="4"/>
  <c r="H172" i="4" s="1"/>
  <c r="I171" i="4"/>
  <c r="M171" i="4" s="1"/>
  <c r="H171" i="4"/>
  <c r="L171" i="4" s="1"/>
  <c r="K170" i="4"/>
  <c r="J170" i="4"/>
  <c r="D170" i="4"/>
  <c r="I170" i="4" s="1"/>
  <c r="G170" i="4" s="1"/>
  <c r="C170" i="4"/>
  <c r="H170" i="4" s="1"/>
  <c r="K169" i="4"/>
  <c r="J169" i="4"/>
  <c r="D169" i="4"/>
  <c r="I169" i="4" s="1"/>
  <c r="C169" i="4"/>
  <c r="H169" i="4" s="1"/>
  <c r="F168" i="4"/>
  <c r="I168" i="4" s="1"/>
  <c r="M168" i="4" s="1"/>
  <c r="E168" i="4"/>
  <c r="H168" i="4" s="1"/>
  <c r="L168" i="4" s="1"/>
  <c r="K167" i="4"/>
  <c r="J167" i="4"/>
  <c r="D167" i="4"/>
  <c r="I167" i="4" s="1"/>
  <c r="C167" i="4"/>
  <c r="H167" i="4" s="1"/>
  <c r="K166" i="4"/>
  <c r="J166" i="4"/>
  <c r="D166" i="4"/>
  <c r="I166" i="4" s="1"/>
  <c r="C166" i="4"/>
  <c r="H166" i="4" s="1"/>
  <c r="K165" i="4"/>
  <c r="J165" i="4"/>
  <c r="F165" i="4"/>
  <c r="E165" i="4"/>
  <c r="D165" i="4"/>
  <c r="C165" i="4"/>
  <c r="K164" i="4"/>
  <c r="J164" i="4"/>
  <c r="D164" i="4"/>
  <c r="I164" i="4" s="1"/>
  <c r="C164" i="4"/>
  <c r="H164" i="4" s="1"/>
  <c r="F163" i="4"/>
  <c r="E163" i="4"/>
  <c r="H163" i="4" s="1"/>
  <c r="L163" i="4" s="1"/>
  <c r="K162" i="4"/>
  <c r="J162" i="4"/>
  <c r="I162" i="4"/>
  <c r="H162" i="4"/>
  <c r="K161" i="4"/>
  <c r="J161" i="4"/>
  <c r="D161" i="4"/>
  <c r="I161" i="4" s="1"/>
  <c r="C161" i="4"/>
  <c r="H161" i="4" s="1"/>
  <c r="K160" i="4"/>
  <c r="J160" i="4"/>
  <c r="F160" i="4"/>
  <c r="E160" i="4"/>
  <c r="D160" i="4"/>
  <c r="C160" i="4"/>
  <c r="K159" i="4"/>
  <c r="J159" i="4"/>
  <c r="D159" i="4"/>
  <c r="I159" i="4" s="1"/>
  <c r="C159" i="4"/>
  <c r="H159" i="4" s="1"/>
  <c r="K158" i="4"/>
  <c r="J158" i="4"/>
  <c r="D158" i="4"/>
  <c r="I158" i="4" s="1"/>
  <c r="G158" i="4" s="1"/>
  <c r="C158" i="4"/>
  <c r="H158" i="4" s="1"/>
  <c r="K157" i="4"/>
  <c r="J157" i="4"/>
  <c r="F157" i="4"/>
  <c r="E157" i="4"/>
  <c r="D157" i="4"/>
  <c r="C157" i="4"/>
  <c r="K156" i="4"/>
  <c r="J156" i="4"/>
  <c r="D156" i="4"/>
  <c r="I156" i="4" s="1"/>
  <c r="C156" i="4"/>
  <c r="H156" i="4" s="1"/>
  <c r="I155" i="4"/>
  <c r="M155" i="4" s="1"/>
  <c r="H155" i="4"/>
  <c r="L155" i="4" s="1"/>
  <c r="K154" i="4"/>
  <c r="J154" i="4"/>
  <c r="D154" i="4"/>
  <c r="I154" i="4" s="1"/>
  <c r="C154" i="4"/>
  <c r="H154" i="4" s="1"/>
  <c r="I153" i="4"/>
  <c r="M153" i="4" s="1"/>
  <c r="H153" i="4"/>
  <c r="L153" i="4" s="1"/>
  <c r="K152" i="4"/>
  <c r="J152" i="4"/>
  <c r="D152" i="4"/>
  <c r="I152" i="4" s="1"/>
  <c r="C152" i="4"/>
  <c r="H152" i="4" s="1"/>
  <c r="K151" i="4"/>
  <c r="J151" i="4"/>
  <c r="I151" i="4"/>
  <c r="H151" i="4"/>
  <c r="K150" i="4"/>
  <c r="J150" i="4"/>
  <c r="D150" i="4"/>
  <c r="I150" i="4" s="1"/>
  <c r="G150" i="4" s="1"/>
  <c r="C150" i="4"/>
  <c r="H150" i="4" s="1"/>
  <c r="K149" i="4"/>
  <c r="J149" i="4"/>
  <c r="F149" i="4"/>
  <c r="E149" i="4"/>
  <c r="D149" i="4"/>
  <c r="C149" i="4"/>
  <c r="I148" i="4"/>
  <c r="M148" i="4" s="1"/>
  <c r="H148" i="4"/>
  <c r="L148" i="4" s="1"/>
  <c r="K147" i="4"/>
  <c r="J147" i="4"/>
  <c r="I147" i="4"/>
  <c r="H147" i="4"/>
  <c r="I146" i="4"/>
  <c r="M146" i="4" s="1"/>
  <c r="H146" i="4"/>
  <c r="L146" i="4" s="1"/>
  <c r="K145" i="4"/>
  <c r="J145" i="4"/>
  <c r="D145" i="4"/>
  <c r="I145" i="4" s="1"/>
  <c r="C145" i="4"/>
  <c r="H145" i="4" s="1"/>
  <c r="K144" i="4"/>
  <c r="J144" i="4"/>
  <c r="D144" i="4"/>
  <c r="I144" i="4" s="1"/>
  <c r="C144" i="4"/>
  <c r="H144" i="4" s="1"/>
  <c r="K143" i="4"/>
  <c r="J143" i="4"/>
  <c r="D143" i="4"/>
  <c r="I143" i="4" s="1"/>
  <c r="C143" i="4"/>
  <c r="H143" i="4" s="1"/>
  <c r="K142" i="4"/>
  <c r="J142" i="4"/>
  <c r="D142" i="4"/>
  <c r="I142" i="4" s="1"/>
  <c r="G142" i="4" s="1"/>
  <c r="C142" i="4"/>
  <c r="H142" i="4" s="1"/>
  <c r="K141" i="4"/>
  <c r="J141" i="4"/>
  <c r="D141" i="4"/>
  <c r="I141" i="4" s="1"/>
  <c r="C141" i="4"/>
  <c r="H141" i="4" s="1"/>
  <c r="I140" i="4"/>
  <c r="M140" i="4" s="1"/>
  <c r="H140" i="4"/>
  <c r="L140" i="4" s="1"/>
  <c r="K139" i="4"/>
  <c r="J139" i="4"/>
  <c r="D139" i="4"/>
  <c r="I139" i="4" s="1"/>
  <c r="C139" i="4"/>
  <c r="H139" i="4" s="1"/>
  <c r="I138" i="4"/>
  <c r="M138" i="4" s="1"/>
  <c r="H138" i="4"/>
  <c r="L138" i="4" s="1"/>
  <c r="D137" i="4"/>
  <c r="I137" i="4" s="1"/>
  <c r="C137" i="4"/>
  <c r="H137" i="4" s="1"/>
  <c r="L137" i="4" s="1"/>
  <c r="I136" i="4"/>
  <c r="M136" i="4" s="1"/>
  <c r="H136" i="4"/>
  <c r="L136" i="4" s="1"/>
  <c r="I135" i="4"/>
  <c r="M135" i="4" s="1"/>
  <c r="H135" i="4"/>
  <c r="L135" i="4" s="1"/>
  <c r="K134" i="4"/>
  <c r="J134" i="4"/>
  <c r="D134" i="4"/>
  <c r="I134" i="4" s="1"/>
  <c r="C134" i="4"/>
  <c r="H134" i="4" s="1"/>
  <c r="K133" i="4"/>
  <c r="J133" i="4"/>
  <c r="D133" i="4"/>
  <c r="I133" i="4" s="1"/>
  <c r="C133" i="4"/>
  <c r="H133" i="4" s="1"/>
  <c r="K132" i="4"/>
  <c r="J132" i="4"/>
  <c r="D132" i="4"/>
  <c r="I132" i="4" s="1"/>
  <c r="G132" i="4" s="1"/>
  <c r="C132" i="4"/>
  <c r="H132" i="4" s="1"/>
  <c r="D131" i="4"/>
  <c r="I131" i="4" s="1"/>
  <c r="C131" i="4"/>
  <c r="H131" i="4" s="1"/>
  <c r="L131" i="4" s="1"/>
  <c r="K130" i="4"/>
  <c r="J130" i="4"/>
  <c r="D130" i="4"/>
  <c r="I130" i="4" s="1"/>
  <c r="C130" i="4"/>
  <c r="H130" i="4" s="1"/>
  <c r="K129" i="4"/>
  <c r="J129" i="4"/>
  <c r="D129" i="4"/>
  <c r="I129" i="4" s="1"/>
  <c r="C129" i="4"/>
  <c r="H129" i="4" s="1"/>
  <c r="I128" i="4"/>
  <c r="M128" i="4" s="1"/>
  <c r="H128" i="4"/>
  <c r="L128" i="4" s="1"/>
  <c r="D127" i="4"/>
  <c r="I127" i="4" s="1"/>
  <c r="G127" i="4" s="1"/>
  <c r="C127" i="4"/>
  <c r="H127" i="4" s="1"/>
  <c r="L127" i="4" s="1"/>
  <c r="K126" i="4"/>
  <c r="J126" i="4"/>
  <c r="F126" i="4"/>
  <c r="E126" i="4"/>
  <c r="D126" i="4"/>
  <c r="C126" i="4"/>
  <c r="D125" i="4"/>
  <c r="I125" i="4" s="1"/>
  <c r="C125" i="4"/>
  <c r="H125" i="4" s="1"/>
  <c r="L125" i="4" s="1"/>
  <c r="K124" i="4"/>
  <c r="J124" i="4"/>
  <c r="D124" i="4"/>
  <c r="I124" i="4" s="1"/>
  <c r="C124" i="4"/>
  <c r="H124" i="4" s="1"/>
  <c r="L124" i="4" s="1"/>
  <c r="D123" i="4"/>
  <c r="I123" i="4" s="1"/>
  <c r="M123" i="4" s="1"/>
  <c r="C123" i="4"/>
  <c r="H123" i="4" s="1"/>
  <c r="L123" i="4" s="1"/>
  <c r="K122" i="4"/>
  <c r="J122" i="4"/>
  <c r="D122" i="4"/>
  <c r="I122" i="4" s="1"/>
  <c r="C122" i="4"/>
  <c r="H122" i="4" s="1"/>
  <c r="K121" i="4"/>
  <c r="J121" i="4"/>
  <c r="D121" i="4"/>
  <c r="I121" i="4" s="1"/>
  <c r="G121" i="4" s="1"/>
  <c r="C121" i="4"/>
  <c r="H121" i="4" s="1"/>
  <c r="K120" i="4"/>
  <c r="J120" i="4"/>
  <c r="D120" i="4"/>
  <c r="I120" i="4" s="1"/>
  <c r="C120" i="4"/>
  <c r="H120" i="4" s="1"/>
  <c r="K119" i="4"/>
  <c r="J119" i="4"/>
  <c r="D119" i="4"/>
  <c r="I119" i="4" s="1"/>
  <c r="C119" i="4"/>
  <c r="H119" i="4" s="1"/>
  <c r="K118" i="4"/>
  <c r="J118" i="4"/>
  <c r="D118" i="4"/>
  <c r="I118" i="4" s="1"/>
  <c r="C118" i="4"/>
  <c r="H118" i="4" s="1"/>
  <c r="K117" i="4"/>
  <c r="J117" i="4"/>
  <c r="D117" i="4"/>
  <c r="I117" i="4" s="1"/>
  <c r="G117" i="4" s="1"/>
  <c r="C117" i="4"/>
  <c r="H117" i="4" s="1"/>
  <c r="K116" i="4"/>
  <c r="J116" i="4"/>
  <c r="F116" i="4"/>
  <c r="E116" i="4"/>
  <c r="D116" i="4"/>
  <c r="C116" i="4"/>
  <c r="F115" i="4"/>
  <c r="I115" i="4" s="1"/>
  <c r="M115" i="4" s="1"/>
  <c r="E115" i="4"/>
  <c r="H115" i="4" s="1"/>
  <c r="L115" i="4" s="1"/>
  <c r="K114" i="4"/>
  <c r="J114" i="4"/>
  <c r="D114" i="4"/>
  <c r="I114" i="4" s="1"/>
  <c r="C114" i="4"/>
  <c r="H114" i="4" s="1"/>
  <c r="K113" i="4"/>
  <c r="J113" i="4"/>
  <c r="D113" i="4"/>
  <c r="I113" i="4" s="1"/>
  <c r="C113" i="4"/>
  <c r="H113" i="4" s="1"/>
  <c r="K112" i="4"/>
  <c r="J112" i="4"/>
  <c r="D112" i="4"/>
  <c r="I112" i="4" s="1"/>
  <c r="G112" i="4" s="1"/>
  <c r="C112" i="4"/>
  <c r="H112" i="4" s="1"/>
  <c r="I111" i="4"/>
  <c r="M111" i="4" s="1"/>
  <c r="H111" i="4"/>
  <c r="L111" i="4" s="1"/>
  <c r="K110" i="4"/>
  <c r="J110" i="4"/>
  <c r="D110" i="4"/>
  <c r="I110" i="4" s="1"/>
  <c r="C110" i="4"/>
  <c r="H110" i="4" s="1"/>
  <c r="K109" i="4"/>
  <c r="J109" i="4"/>
  <c r="D109" i="4"/>
  <c r="I109" i="4" s="1"/>
  <c r="G109" i="4" s="1"/>
  <c r="C109" i="4"/>
  <c r="H109" i="4" s="1"/>
  <c r="F108" i="4"/>
  <c r="I108" i="4" s="1"/>
  <c r="E108" i="4"/>
  <c r="H108" i="4" s="1"/>
  <c r="L108" i="4" s="1"/>
  <c r="F107" i="4"/>
  <c r="E107" i="4"/>
  <c r="H107" i="4" s="1"/>
  <c r="L107" i="4" s="1"/>
  <c r="K106" i="4"/>
  <c r="J106" i="4"/>
  <c r="D106" i="4"/>
  <c r="I106" i="4" s="1"/>
  <c r="C106" i="4"/>
  <c r="H106" i="4" s="1"/>
  <c r="I105" i="4"/>
  <c r="M105" i="4" s="1"/>
  <c r="H105" i="4"/>
  <c r="L105" i="4" s="1"/>
  <c r="K104" i="4"/>
  <c r="J104" i="4"/>
  <c r="D104" i="4"/>
  <c r="I104" i="4" s="1"/>
  <c r="C104" i="4"/>
  <c r="H104" i="4" s="1"/>
  <c r="I103" i="4"/>
  <c r="M103" i="4" s="1"/>
  <c r="H103" i="4"/>
  <c r="L103" i="4" s="1"/>
  <c r="K102" i="4"/>
  <c r="J102" i="4"/>
  <c r="D102" i="4"/>
  <c r="I102" i="4" s="1"/>
  <c r="C102" i="4"/>
  <c r="H102" i="4" s="1"/>
  <c r="K101" i="4"/>
  <c r="J101" i="4"/>
  <c r="F101" i="4"/>
  <c r="E101" i="4"/>
  <c r="D101" i="4"/>
  <c r="C101" i="4"/>
  <c r="K100" i="4"/>
  <c r="J100" i="4"/>
  <c r="I100" i="4"/>
  <c r="H100" i="4"/>
  <c r="F99" i="4"/>
  <c r="I99" i="4" s="1"/>
  <c r="E99" i="4"/>
  <c r="H99" i="4" s="1"/>
  <c r="L99" i="4" s="1"/>
  <c r="I98" i="4"/>
  <c r="M98" i="4" s="1"/>
  <c r="H98" i="4"/>
  <c r="L98" i="4" s="1"/>
  <c r="K97" i="4"/>
  <c r="J97" i="4"/>
  <c r="D97" i="4"/>
  <c r="I97" i="4" s="1"/>
  <c r="C97" i="4"/>
  <c r="H97" i="4" s="1"/>
  <c r="K96" i="4"/>
  <c r="J96" i="4"/>
  <c r="D96" i="4"/>
  <c r="I96" i="4" s="1"/>
  <c r="C96" i="4"/>
  <c r="H96" i="4" s="1"/>
  <c r="K95" i="4"/>
  <c r="J95" i="4"/>
  <c r="D95" i="4"/>
  <c r="I95" i="4" s="1"/>
  <c r="C95" i="4"/>
  <c r="H95" i="4" s="1"/>
  <c r="K94" i="4"/>
  <c r="J94" i="4"/>
  <c r="I94" i="4"/>
  <c r="H94" i="4"/>
  <c r="K93" i="4"/>
  <c r="J93" i="4"/>
  <c r="D93" i="4"/>
  <c r="I93" i="4" s="1"/>
  <c r="C93" i="4"/>
  <c r="H93" i="4" s="1"/>
  <c r="I92" i="4"/>
  <c r="M92" i="4" s="1"/>
  <c r="H92" i="4"/>
  <c r="L92" i="4" s="1"/>
  <c r="K91" i="4"/>
  <c r="J91" i="4"/>
  <c r="D91" i="4"/>
  <c r="I91" i="4" s="1"/>
  <c r="C91" i="4"/>
  <c r="H91" i="4" s="1"/>
  <c r="I90" i="4"/>
  <c r="M90" i="4" s="1"/>
  <c r="H90" i="4"/>
  <c r="L90" i="4" s="1"/>
  <c r="I89" i="4"/>
  <c r="M89" i="4" s="1"/>
  <c r="H89" i="4"/>
  <c r="L89" i="4" s="1"/>
  <c r="I88" i="4"/>
  <c r="M88" i="4" s="1"/>
  <c r="H88" i="4"/>
  <c r="L88" i="4" s="1"/>
  <c r="K87" i="4"/>
  <c r="J87" i="4"/>
  <c r="D87" i="4"/>
  <c r="I87" i="4" s="1"/>
  <c r="C87" i="4"/>
  <c r="H87" i="4" s="1"/>
  <c r="K86" i="4"/>
  <c r="J86" i="4"/>
  <c r="D86" i="4"/>
  <c r="I86" i="4" s="1"/>
  <c r="C86" i="4"/>
  <c r="H86" i="4" s="1"/>
  <c r="I85" i="4"/>
  <c r="M85" i="4" s="1"/>
  <c r="H85" i="4"/>
  <c r="L85" i="4" s="1"/>
  <c r="I84" i="4"/>
  <c r="M84" i="4" s="1"/>
  <c r="H84" i="4"/>
  <c r="L84" i="4" s="1"/>
  <c r="D83" i="4"/>
  <c r="I83" i="4" s="1"/>
  <c r="M83" i="4" s="1"/>
  <c r="C83" i="4"/>
  <c r="H83" i="4" s="1"/>
  <c r="L83" i="4" s="1"/>
  <c r="F82" i="4"/>
  <c r="I82" i="4" s="1"/>
  <c r="G82" i="4" s="1"/>
  <c r="E82" i="4"/>
  <c r="H82" i="4" s="1"/>
  <c r="L82" i="4" s="1"/>
  <c r="K81" i="4"/>
  <c r="J81" i="4"/>
  <c r="F81" i="4"/>
  <c r="E81" i="4"/>
  <c r="D81" i="4"/>
  <c r="C81" i="4"/>
  <c r="F80" i="4"/>
  <c r="I80" i="4" s="1"/>
  <c r="E80" i="4"/>
  <c r="H80" i="4" s="1"/>
  <c r="L80" i="4" s="1"/>
  <c r="K79" i="4"/>
  <c r="J79" i="4"/>
  <c r="D79" i="4"/>
  <c r="I79" i="4" s="1"/>
  <c r="C79" i="4"/>
  <c r="H79" i="4" s="1"/>
  <c r="I78" i="4"/>
  <c r="M78" i="4" s="1"/>
  <c r="H78" i="4"/>
  <c r="L78" i="4" s="1"/>
  <c r="D77" i="4"/>
  <c r="I77" i="4" s="1"/>
  <c r="G77" i="4" s="1"/>
  <c r="C77" i="4"/>
  <c r="H77" i="4" s="1"/>
  <c r="L77" i="4" s="1"/>
  <c r="K76" i="4"/>
  <c r="J76" i="4"/>
  <c r="F76" i="4"/>
  <c r="E76" i="4"/>
  <c r="D76" i="4"/>
  <c r="C76" i="4"/>
  <c r="I75" i="4"/>
  <c r="M75" i="4" s="1"/>
  <c r="H75" i="4"/>
  <c r="L75" i="4" s="1"/>
  <c r="K74" i="4"/>
  <c r="J74" i="4"/>
  <c r="D74" i="4"/>
  <c r="I74" i="4" s="1"/>
  <c r="G74" i="4" s="1"/>
  <c r="C74" i="4"/>
  <c r="H74" i="4" s="1"/>
  <c r="K73" i="4"/>
  <c r="J73" i="4"/>
  <c r="D73" i="4"/>
  <c r="I73" i="4" s="1"/>
  <c r="G73" i="4" s="1"/>
  <c r="C73" i="4"/>
  <c r="H73" i="4" s="1"/>
  <c r="K72" i="4"/>
  <c r="J72" i="4"/>
  <c r="F72" i="4"/>
  <c r="E72" i="4"/>
  <c r="D72" i="4"/>
  <c r="C72" i="4"/>
  <c r="I71" i="4"/>
  <c r="M71" i="4" s="1"/>
  <c r="H71" i="4"/>
  <c r="L71" i="4" s="1"/>
  <c r="I70" i="4"/>
  <c r="M70" i="4" s="1"/>
  <c r="H70" i="4"/>
  <c r="L70" i="4" s="1"/>
  <c r="I69" i="4"/>
  <c r="M69" i="4" s="1"/>
  <c r="H69" i="4"/>
  <c r="L69" i="4" s="1"/>
  <c r="L68" i="4"/>
  <c r="I68" i="4"/>
  <c r="M68" i="4" s="1"/>
  <c r="H68" i="4"/>
  <c r="D67" i="4"/>
  <c r="I67" i="4" s="1"/>
  <c r="G67" i="4" s="1"/>
  <c r="C67" i="4"/>
  <c r="H67" i="4" s="1"/>
  <c r="L67" i="4" s="1"/>
  <c r="I66" i="4"/>
  <c r="M66" i="4" s="1"/>
  <c r="H66" i="4"/>
  <c r="L66" i="4" s="1"/>
  <c r="I65" i="4"/>
  <c r="M65" i="4" s="1"/>
  <c r="H65" i="4"/>
  <c r="L65" i="4" s="1"/>
  <c r="K64" i="4"/>
  <c r="J64" i="4"/>
  <c r="D64" i="4"/>
  <c r="I64" i="4" s="1"/>
  <c r="C64" i="4"/>
  <c r="H64" i="4" s="1"/>
  <c r="K63" i="4"/>
  <c r="J63" i="4"/>
  <c r="F63" i="4"/>
  <c r="E63" i="4"/>
  <c r="D63" i="4"/>
  <c r="C63" i="4"/>
  <c r="K62" i="4"/>
  <c r="J62" i="4"/>
  <c r="D62" i="4"/>
  <c r="I62" i="4" s="1"/>
  <c r="G62" i="4" s="1"/>
  <c r="C62" i="4"/>
  <c r="H62" i="4" s="1"/>
  <c r="I61" i="4"/>
  <c r="M61" i="4" s="1"/>
  <c r="H61" i="4"/>
  <c r="L61" i="4" s="1"/>
  <c r="K60" i="4"/>
  <c r="J60" i="4"/>
  <c r="D60" i="4"/>
  <c r="I60" i="4" s="1"/>
  <c r="C60" i="4"/>
  <c r="H60" i="4" s="1"/>
  <c r="K59" i="4"/>
  <c r="J59" i="4"/>
  <c r="D59" i="4"/>
  <c r="I59" i="4" s="1"/>
  <c r="C59" i="4"/>
  <c r="H59" i="4" s="1"/>
  <c r="K58" i="4"/>
  <c r="J58" i="4"/>
  <c r="D58" i="4"/>
  <c r="I58" i="4" s="1"/>
  <c r="C58" i="4"/>
  <c r="H58" i="4" s="1"/>
  <c r="K57" i="4"/>
  <c r="J57" i="4"/>
  <c r="D57" i="4"/>
  <c r="I57" i="4" s="1"/>
  <c r="G57" i="4" s="1"/>
  <c r="C57" i="4"/>
  <c r="H57" i="4" s="1"/>
  <c r="I56" i="4"/>
  <c r="M56" i="4" s="1"/>
  <c r="H56" i="4"/>
  <c r="L56" i="4" s="1"/>
  <c r="D55" i="4"/>
  <c r="I55" i="4" s="1"/>
  <c r="M55" i="4" s="1"/>
  <c r="C55" i="4"/>
  <c r="H55" i="4" s="1"/>
  <c r="L55" i="4" s="1"/>
  <c r="I54" i="4"/>
  <c r="M54" i="4" s="1"/>
  <c r="H54" i="4"/>
  <c r="L54" i="4" s="1"/>
  <c r="K53" i="4"/>
  <c r="J53" i="4"/>
  <c r="D53" i="4"/>
  <c r="I53" i="4" s="1"/>
  <c r="C53" i="4"/>
  <c r="H53" i="4" s="1"/>
  <c r="K52" i="4"/>
  <c r="J52" i="4"/>
  <c r="F52" i="4"/>
  <c r="E52" i="4"/>
  <c r="D52" i="4"/>
  <c r="C52" i="4"/>
  <c r="K51" i="4"/>
  <c r="J51" i="4"/>
  <c r="D51" i="4"/>
  <c r="I51" i="4" s="1"/>
  <c r="C51" i="4"/>
  <c r="H51" i="4" s="1"/>
  <c r="F50" i="4"/>
  <c r="I50" i="4" s="1"/>
  <c r="E50" i="4"/>
  <c r="H50" i="4" s="1"/>
  <c r="L50" i="4" s="1"/>
  <c r="I49" i="4"/>
  <c r="M49" i="4" s="1"/>
  <c r="H49" i="4"/>
  <c r="L49" i="4" s="1"/>
  <c r="K48" i="4"/>
  <c r="J48" i="4"/>
  <c r="D48" i="4"/>
  <c r="I48" i="4" s="1"/>
  <c r="C48" i="4"/>
  <c r="H48" i="4" s="1"/>
  <c r="K47" i="4"/>
  <c r="J47" i="4"/>
  <c r="D47" i="4"/>
  <c r="I47" i="4" s="1"/>
  <c r="C47" i="4"/>
  <c r="H47" i="4" s="1"/>
  <c r="K46" i="4"/>
  <c r="J46" i="4"/>
  <c r="D46" i="4"/>
  <c r="I46" i="4" s="1"/>
  <c r="C46" i="4"/>
  <c r="H46" i="4" s="1"/>
  <c r="I45" i="4"/>
  <c r="M45" i="4" s="1"/>
  <c r="H45" i="4"/>
  <c r="L45" i="4" s="1"/>
  <c r="K44" i="4"/>
  <c r="J44" i="4"/>
  <c r="F44" i="4"/>
  <c r="E44" i="4"/>
  <c r="D44" i="4"/>
  <c r="C44" i="4"/>
  <c r="K43" i="4"/>
  <c r="J43" i="4"/>
  <c r="D43" i="4"/>
  <c r="I43" i="4" s="1"/>
  <c r="C43" i="4"/>
  <c r="H43" i="4" s="1"/>
  <c r="I42" i="4"/>
  <c r="M42" i="4" s="1"/>
  <c r="H42" i="4"/>
  <c r="L42" i="4" s="1"/>
  <c r="K41" i="4"/>
  <c r="J41" i="4"/>
  <c r="D41" i="4"/>
  <c r="I41" i="4" s="1"/>
  <c r="C41" i="4"/>
  <c r="H41" i="4" s="1"/>
  <c r="F40" i="4"/>
  <c r="I40" i="4" s="1"/>
  <c r="E40" i="4"/>
  <c r="H40" i="4" s="1"/>
  <c r="L40" i="4" s="1"/>
  <c r="K39" i="4"/>
  <c r="J39" i="4"/>
  <c r="D39" i="4"/>
  <c r="I39" i="4" s="1"/>
  <c r="C39" i="4"/>
  <c r="H39" i="4" s="1"/>
  <c r="D38" i="4"/>
  <c r="I38" i="4" s="1"/>
  <c r="M38" i="4" s="1"/>
  <c r="C38" i="4"/>
  <c r="H38" i="4" s="1"/>
  <c r="L38" i="4" s="1"/>
  <c r="D37" i="4"/>
  <c r="I37" i="4" s="1"/>
  <c r="M37" i="4" s="1"/>
  <c r="C37" i="4"/>
  <c r="H37" i="4" s="1"/>
  <c r="L37" i="4" s="1"/>
  <c r="I36" i="4"/>
  <c r="M36" i="4" s="1"/>
  <c r="H36" i="4"/>
  <c r="L36" i="4" s="1"/>
  <c r="K35" i="4"/>
  <c r="J35" i="4"/>
  <c r="D35" i="4"/>
  <c r="I35" i="4" s="1"/>
  <c r="C35" i="4"/>
  <c r="H35" i="4" s="1"/>
  <c r="K34" i="4"/>
  <c r="J34" i="4"/>
  <c r="D34" i="4"/>
  <c r="I34" i="4" s="1"/>
  <c r="G34" i="4" s="1"/>
  <c r="C34" i="4"/>
  <c r="H34" i="4" s="1"/>
  <c r="K33" i="4"/>
  <c r="J33" i="4"/>
  <c r="D33" i="4"/>
  <c r="I33" i="4" s="1"/>
  <c r="C33" i="4"/>
  <c r="H33" i="4" s="1"/>
  <c r="I32" i="4"/>
  <c r="M32" i="4" s="1"/>
  <c r="H32" i="4"/>
  <c r="L32" i="4" s="1"/>
  <c r="K31" i="4"/>
  <c r="J31" i="4"/>
  <c r="F31" i="4"/>
  <c r="E31" i="4"/>
  <c r="D31" i="4"/>
  <c r="C31" i="4"/>
  <c r="K30" i="4"/>
  <c r="J30" i="4"/>
  <c r="D30" i="4"/>
  <c r="I30" i="4" s="1"/>
  <c r="C30" i="4"/>
  <c r="H30" i="4" s="1"/>
  <c r="K29" i="4"/>
  <c r="J29" i="4"/>
  <c r="F29" i="4"/>
  <c r="E29" i="4"/>
  <c r="D29" i="4"/>
  <c r="C29" i="4"/>
  <c r="K28" i="4"/>
  <c r="J28" i="4"/>
  <c r="I28" i="4"/>
  <c r="H28" i="4"/>
  <c r="K27" i="4"/>
  <c r="J27" i="4"/>
  <c r="D27" i="4"/>
  <c r="I27" i="4" s="1"/>
  <c r="C27" i="4"/>
  <c r="H27" i="4" s="1"/>
  <c r="K26" i="4"/>
  <c r="J26" i="4"/>
  <c r="F26" i="4"/>
  <c r="E26" i="4"/>
  <c r="D26" i="4"/>
  <c r="C26" i="4"/>
  <c r="K25" i="4"/>
  <c r="J25" i="4"/>
  <c r="D25" i="4"/>
  <c r="I25" i="4" s="1"/>
  <c r="C25" i="4"/>
  <c r="H25" i="4" s="1"/>
  <c r="K24" i="4"/>
  <c r="J24" i="4"/>
  <c r="D24" i="4"/>
  <c r="I24" i="4" s="1"/>
  <c r="C24" i="4"/>
  <c r="H24" i="4" s="1"/>
  <c r="F23" i="4"/>
  <c r="I23" i="4" s="1"/>
  <c r="G23" i="4" s="1"/>
  <c r="E23" i="4"/>
  <c r="H23" i="4" s="1"/>
  <c r="L23" i="4" s="1"/>
  <c r="I22" i="4"/>
  <c r="M22" i="4" s="1"/>
  <c r="H22" i="4"/>
  <c r="L22" i="4" s="1"/>
  <c r="D21" i="4"/>
  <c r="I21" i="4" s="1"/>
  <c r="M21" i="4" s="1"/>
  <c r="C21" i="4"/>
  <c r="H21" i="4" s="1"/>
  <c r="L21" i="4" s="1"/>
  <c r="I20" i="4"/>
  <c r="M20" i="4" s="1"/>
  <c r="H20" i="4"/>
  <c r="L20" i="4" s="1"/>
  <c r="D19" i="4"/>
  <c r="I19" i="4" s="1"/>
  <c r="C19" i="4"/>
  <c r="H19" i="4" s="1"/>
  <c r="L19" i="4" s="1"/>
  <c r="K18" i="4"/>
  <c r="J18" i="4"/>
  <c r="D18" i="4"/>
  <c r="I18" i="4" s="1"/>
  <c r="C18" i="4"/>
  <c r="H18" i="4" s="1"/>
  <c r="K17" i="4"/>
  <c r="J17" i="4"/>
  <c r="D17" i="4"/>
  <c r="I17" i="4" s="1"/>
  <c r="C17" i="4"/>
  <c r="H17" i="4" s="1"/>
  <c r="D16" i="4"/>
  <c r="I16" i="4" s="1"/>
  <c r="G16" i="4" s="1"/>
  <c r="C16" i="4"/>
  <c r="H16" i="4" s="1"/>
  <c r="L16" i="4" s="1"/>
  <c r="D15" i="4"/>
  <c r="I15" i="4" s="1"/>
  <c r="C15" i="4"/>
  <c r="H15" i="4" s="1"/>
  <c r="L15" i="4" s="1"/>
  <c r="K14" i="4"/>
  <c r="J14" i="4"/>
  <c r="D14" i="4"/>
  <c r="I14" i="4" s="1"/>
  <c r="C14" i="4"/>
  <c r="H14" i="4" s="1"/>
  <c r="K13" i="4"/>
  <c r="J13" i="4"/>
  <c r="F13" i="4"/>
  <c r="E13" i="4"/>
  <c r="D13" i="4"/>
  <c r="C13" i="4"/>
  <c r="K12" i="4"/>
  <c r="J12" i="4"/>
  <c r="D12" i="4"/>
  <c r="I12" i="4" s="1"/>
  <c r="C12" i="4"/>
  <c r="H12" i="4" s="1"/>
  <c r="L12" i="4" s="1"/>
  <c r="K11" i="4"/>
  <c r="J11" i="4"/>
  <c r="D11" i="4"/>
  <c r="I11" i="4" s="1"/>
  <c r="C11" i="4"/>
  <c r="H11" i="4" s="1"/>
  <c r="I10" i="4"/>
  <c r="M10" i="4" s="1"/>
  <c r="H10" i="4"/>
  <c r="L10" i="4" s="1"/>
  <c r="K9" i="4"/>
  <c r="J9" i="4"/>
  <c r="D9" i="4"/>
  <c r="I9" i="4" s="1"/>
  <c r="C9" i="4"/>
  <c r="H9" i="4" s="1"/>
  <c r="K8" i="4"/>
  <c r="J8" i="4"/>
  <c r="D8" i="4"/>
  <c r="I8" i="4" s="1"/>
  <c r="G8" i="4" s="1"/>
  <c r="C8" i="4"/>
  <c r="H8" i="4" s="1"/>
  <c r="K7" i="4"/>
  <c r="J7" i="4"/>
  <c r="I7" i="4"/>
  <c r="H7" i="4"/>
  <c r="K6" i="4"/>
  <c r="J6" i="4"/>
  <c r="D6" i="4"/>
  <c r="I6" i="4" s="1"/>
  <c r="C6" i="4"/>
  <c r="H6" i="4" s="1"/>
  <c r="I5" i="4"/>
  <c r="M5" i="4" s="1"/>
  <c r="H5" i="4"/>
  <c r="L5" i="4" s="1"/>
  <c r="K4" i="4"/>
  <c r="J4" i="4"/>
  <c r="F4" i="4"/>
  <c r="E4" i="4"/>
  <c r="D4" i="4"/>
  <c r="C4" i="4"/>
  <c r="L2" i="3"/>
  <c r="M2" i="3"/>
  <c r="N2" i="3" s="1"/>
  <c r="M86" i="3"/>
  <c r="N86" i="3" s="1"/>
  <c r="M264" i="3"/>
  <c r="N264" i="3" s="1"/>
  <c r="M247" i="3"/>
  <c r="N247" i="3" s="1"/>
  <c r="M208" i="3"/>
  <c r="N208" i="3" s="1"/>
  <c r="M227" i="3"/>
  <c r="N227" i="3" s="1"/>
  <c r="M108" i="3"/>
  <c r="N108" i="3" s="1"/>
  <c r="M297" i="3"/>
  <c r="M217" i="3"/>
  <c r="N217" i="3" s="1"/>
  <c r="M51" i="3"/>
  <c r="N51" i="3" s="1"/>
  <c r="M269" i="3"/>
  <c r="N269" i="3" s="1"/>
  <c r="M207" i="3"/>
  <c r="N207" i="3" s="1"/>
  <c r="M298" i="3"/>
  <c r="M243" i="3"/>
  <c r="N243" i="3" s="1"/>
  <c r="M167" i="3"/>
  <c r="N167" i="3" s="1"/>
  <c r="M44" i="3"/>
  <c r="N44" i="3" s="1"/>
  <c r="M21" i="3"/>
  <c r="N21" i="3" s="1"/>
  <c r="M142" i="3"/>
  <c r="N142" i="3" s="1"/>
  <c r="M223" i="3"/>
  <c r="N223" i="3" s="1"/>
  <c r="M280" i="3"/>
  <c r="N280" i="3" s="1"/>
  <c r="M383" i="3"/>
  <c r="N383" i="3" s="1"/>
  <c r="M239" i="3"/>
  <c r="N239" i="3" s="1"/>
  <c r="M200" i="3"/>
  <c r="N200" i="3" s="1"/>
  <c r="M324" i="3"/>
  <c r="M379" i="3"/>
  <c r="N379" i="3" s="1"/>
  <c r="M287" i="3"/>
  <c r="N287" i="3" s="1"/>
  <c r="M69" i="3"/>
  <c r="N69" i="3" s="1"/>
  <c r="M321" i="3"/>
  <c r="M266" i="3"/>
  <c r="N266" i="3" s="1"/>
  <c r="M320" i="3"/>
  <c r="M201" i="3"/>
  <c r="N201" i="3" s="1"/>
  <c r="M286" i="3"/>
  <c r="N286" i="3" s="1"/>
  <c r="M15" i="3"/>
  <c r="N15" i="3" s="1"/>
  <c r="M270" i="3"/>
  <c r="N270" i="3" s="1"/>
  <c r="M331" i="3"/>
  <c r="M281" i="3"/>
  <c r="N281" i="3" s="1"/>
  <c r="M325" i="3"/>
  <c r="M323" i="3"/>
  <c r="M329" i="3"/>
  <c r="M332" i="3"/>
  <c r="M90" i="3"/>
  <c r="N90" i="3" s="1"/>
  <c r="M151" i="3"/>
  <c r="N151" i="3" s="1"/>
  <c r="M102" i="3"/>
  <c r="N102" i="3" s="1"/>
  <c r="M322" i="3"/>
  <c r="M380" i="3"/>
  <c r="N380" i="3" s="1"/>
  <c r="M222" i="3"/>
  <c r="N222" i="3" s="1"/>
  <c r="M293" i="3"/>
  <c r="N293" i="3" s="1"/>
  <c r="M5" i="3"/>
  <c r="N5" i="3" s="1"/>
  <c r="M235" i="3"/>
  <c r="N235" i="3" s="1"/>
  <c r="M163" i="3"/>
  <c r="N163" i="3" s="1"/>
  <c r="M232" i="3"/>
  <c r="N232" i="3" s="1"/>
  <c r="M255" i="3"/>
  <c r="N255" i="3" s="1"/>
  <c r="M278" i="3"/>
  <c r="N278" i="3" s="1"/>
  <c r="M8" i="3"/>
  <c r="N8" i="3" s="1"/>
  <c r="M85" i="3"/>
  <c r="N85" i="3" s="1"/>
  <c r="M299" i="3"/>
  <c r="M152" i="3"/>
  <c r="N152" i="3" s="1"/>
  <c r="M378" i="3"/>
  <c r="N378" i="3" s="1"/>
  <c r="M37" i="3"/>
  <c r="N37" i="3" s="1"/>
  <c r="M279" i="3"/>
  <c r="N279" i="3" s="1"/>
  <c r="M337" i="3"/>
  <c r="M216" i="3"/>
  <c r="N216" i="3" s="1"/>
  <c r="M159" i="3"/>
  <c r="N159" i="3" s="1"/>
  <c r="M130" i="3"/>
  <c r="N130" i="3" s="1"/>
  <c r="M284" i="3"/>
  <c r="N284" i="3" s="1"/>
  <c r="M300" i="3"/>
  <c r="M330" i="3"/>
  <c r="M191" i="3"/>
  <c r="N191" i="3" s="1"/>
  <c r="M182" i="3"/>
  <c r="N182" i="3" s="1"/>
  <c r="M155" i="3"/>
  <c r="N155" i="3" s="1"/>
  <c r="M301" i="3"/>
  <c r="M302" i="3"/>
  <c r="M375" i="3"/>
  <c r="N375" i="3" s="1"/>
  <c r="M303" i="3"/>
  <c r="M29" i="3"/>
  <c r="N29" i="3" s="1"/>
  <c r="M66" i="3"/>
  <c r="N66" i="3" s="1"/>
  <c r="M49" i="3"/>
  <c r="N49" i="3" s="1"/>
  <c r="M218" i="3"/>
  <c r="N218" i="3" s="1"/>
  <c r="M374" i="3"/>
  <c r="N374" i="3" s="1"/>
  <c r="M274" i="3"/>
  <c r="N274" i="3" s="1"/>
  <c r="M304" i="3"/>
  <c r="M273" i="3"/>
  <c r="N273" i="3" s="1"/>
  <c r="M132" i="3"/>
  <c r="N132" i="3" s="1"/>
  <c r="M35" i="3"/>
  <c r="N35" i="3" s="1"/>
  <c r="M9" i="3"/>
  <c r="N9" i="3" s="1"/>
  <c r="M141" i="3"/>
  <c r="N141" i="3" s="1"/>
  <c r="M387" i="3"/>
  <c r="N387" i="3" s="1"/>
  <c r="M125" i="3"/>
  <c r="N125" i="3" s="1"/>
  <c r="M237" i="3"/>
  <c r="N237" i="3" s="1"/>
  <c r="M148" i="3"/>
  <c r="N148" i="3" s="1"/>
  <c r="M276" i="3"/>
  <c r="N276" i="3" s="1"/>
  <c r="M115" i="3"/>
  <c r="N115" i="3" s="1"/>
  <c r="M173" i="3"/>
  <c r="N173" i="3" s="1"/>
  <c r="M326" i="3"/>
  <c r="M20" i="3"/>
  <c r="N20" i="3" s="1"/>
  <c r="M87" i="3"/>
  <c r="N87" i="3" s="1"/>
  <c r="M250" i="3"/>
  <c r="N250" i="3" s="1"/>
  <c r="M283" i="3"/>
  <c r="N283" i="3" s="1"/>
  <c r="M158" i="3"/>
  <c r="N158" i="3" s="1"/>
  <c r="M305" i="3"/>
  <c r="M373" i="3"/>
  <c r="N373" i="3" s="1"/>
  <c r="M30" i="3"/>
  <c r="N30" i="3" s="1"/>
  <c r="M134" i="3"/>
  <c r="N134" i="3" s="1"/>
  <c r="M211" i="3"/>
  <c r="N211" i="3" s="1"/>
  <c r="M59" i="3"/>
  <c r="N59" i="3" s="1"/>
  <c r="M17" i="3"/>
  <c r="N17" i="3" s="1"/>
  <c r="M244" i="3"/>
  <c r="N244" i="3" s="1"/>
  <c r="M344" i="3"/>
  <c r="M76" i="3"/>
  <c r="N76" i="3" s="1"/>
  <c r="M68" i="3"/>
  <c r="N68" i="3" s="1"/>
  <c r="M138" i="3"/>
  <c r="N138" i="3" s="1"/>
  <c r="M333" i="3"/>
  <c r="M381" i="3"/>
  <c r="N381" i="3" s="1"/>
  <c r="M212" i="3"/>
  <c r="N212" i="3" s="1"/>
  <c r="M262" i="3"/>
  <c r="N262" i="3" s="1"/>
  <c r="M282" i="3"/>
  <c r="N282" i="3" s="1"/>
  <c r="M263" i="3"/>
  <c r="N263" i="3" s="1"/>
  <c r="M261" i="3"/>
  <c r="N261" i="3" s="1"/>
  <c r="M123" i="3"/>
  <c r="N123" i="3" s="1"/>
  <c r="M213" i="3"/>
  <c r="N213" i="3" s="1"/>
  <c r="M251" i="3"/>
  <c r="N251" i="3" s="1"/>
  <c r="M71" i="3"/>
  <c r="N71" i="3" s="1"/>
  <c r="M277" i="3"/>
  <c r="N277" i="3" s="1"/>
  <c r="M306" i="3"/>
  <c r="M98" i="3"/>
  <c r="N98" i="3" s="1"/>
  <c r="M307" i="3"/>
  <c r="M193" i="3"/>
  <c r="N193" i="3" s="1"/>
  <c r="M72" i="3"/>
  <c r="N72" i="3" s="1"/>
  <c r="M356" i="3"/>
  <c r="M56" i="3"/>
  <c r="N56" i="3" s="1"/>
  <c r="M265" i="3"/>
  <c r="N265" i="3" s="1"/>
  <c r="M230" i="3"/>
  <c r="N230" i="3" s="1"/>
  <c r="M187" i="3"/>
  <c r="N187" i="3" s="1"/>
  <c r="M60" i="3"/>
  <c r="N60" i="3" s="1"/>
  <c r="M19" i="3"/>
  <c r="N19" i="3" s="1"/>
  <c r="M308" i="3"/>
  <c r="M176" i="3"/>
  <c r="N176" i="3" s="1"/>
  <c r="M267" i="3"/>
  <c r="N267" i="3" s="1"/>
  <c r="M28" i="3"/>
  <c r="N28" i="3" s="1"/>
  <c r="M58" i="3"/>
  <c r="N58" i="3" s="1"/>
  <c r="M254" i="3"/>
  <c r="N254" i="3" s="1"/>
  <c r="M246" i="3"/>
  <c r="N246" i="3" s="1"/>
  <c r="M242" i="3"/>
  <c r="N242" i="3" s="1"/>
  <c r="M220" i="3"/>
  <c r="N220" i="3" s="1"/>
  <c r="M25" i="3"/>
  <c r="N25" i="3" s="1"/>
  <c r="M309" i="3"/>
  <c r="M197" i="3"/>
  <c r="N197" i="3" s="1"/>
  <c r="M190" i="3"/>
  <c r="N190" i="3" s="1"/>
  <c r="M328" i="3"/>
  <c r="M121" i="3"/>
  <c r="N121" i="3" s="1"/>
  <c r="M294" i="3"/>
  <c r="N294" i="3" s="1"/>
  <c r="M198" i="3"/>
  <c r="N198" i="3" s="1"/>
  <c r="M258" i="3"/>
  <c r="N258" i="3" s="1"/>
  <c r="M127" i="3"/>
  <c r="N127" i="3" s="1"/>
  <c r="M112" i="3"/>
  <c r="N112" i="3" s="1"/>
  <c r="M310" i="3"/>
  <c r="M384" i="3"/>
  <c r="N384" i="3" s="1"/>
  <c r="M228" i="3"/>
  <c r="N228" i="3" s="1"/>
  <c r="M80" i="3"/>
  <c r="N80" i="3" s="1"/>
  <c r="M161" i="3"/>
  <c r="N161" i="3" s="1"/>
  <c r="M73" i="3"/>
  <c r="N73" i="3" s="1"/>
  <c r="M23" i="3"/>
  <c r="N23" i="3" s="1"/>
  <c r="M109" i="3"/>
  <c r="N109" i="3" s="1"/>
  <c r="M168" i="3"/>
  <c r="N168" i="3" s="1"/>
  <c r="M240" i="3"/>
  <c r="N240" i="3" s="1"/>
  <c r="M225" i="3"/>
  <c r="N225" i="3" s="1"/>
  <c r="M296" i="3"/>
  <c r="M178" i="3"/>
  <c r="N178" i="3" s="1"/>
  <c r="M24" i="3"/>
  <c r="N24" i="3" s="1"/>
  <c r="M382" i="3"/>
  <c r="N382" i="3" s="1"/>
  <c r="M111" i="3"/>
  <c r="N111" i="3" s="1"/>
  <c r="M175" i="3"/>
  <c r="N175" i="3" s="1"/>
  <c r="M350" i="3"/>
  <c r="M252" i="3"/>
  <c r="N252" i="3" s="1"/>
  <c r="M135" i="3"/>
  <c r="N135" i="3" s="1"/>
  <c r="M236" i="3"/>
  <c r="N236" i="3" s="1"/>
  <c r="M311" i="3"/>
  <c r="M271" i="3"/>
  <c r="N271" i="3" s="1"/>
  <c r="M104" i="3"/>
  <c r="N104" i="3" s="1"/>
  <c r="M63" i="3"/>
  <c r="N63" i="3" s="1"/>
  <c r="M105" i="3"/>
  <c r="N105" i="3" s="1"/>
  <c r="M32" i="3"/>
  <c r="N32" i="3" s="1"/>
  <c r="M238" i="3"/>
  <c r="N238" i="3" s="1"/>
  <c r="M70" i="3"/>
  <c r="N70" i="3" s="1"/>
  <c r="M4" i="3"/>
  <c r="N4" i="3" s="1"/>
  <c r="M376" i="3"/>
  <c r="N376" i="3" s="1"/>
  <c r="M164" i="3"/>
  <c r="N164" i="3" s="1"/>
  <c r="M136" i="3"/>
  <c r="N136" i="3" s="1"/>
  <c r="M48" i="3"/>
  <c r="N48" i="3" s="1"/>
  <c r="M11" i="3"/>
  <c r="N11" i="3" s="1"/>
  <c r="M43" i="3"/>
  <c r="N43" i="3" s="1"/>
  <c r="M377" i="3"/>
  <c r="N377" i="3" s="1"/>
  <c r="M196" i="3"/>
  <c r="N196" i="3" s="1"/>
  <c r="M114" i="3"/>
  <c r="N114" i="3" s="1"/>
  <c r="M133" i="3"/>
  <c r="N133" i="3" s="1"/>
  <c r="M91" i="3"/>
  <c r="N91" i="3" s="1"/>
  <c r="M96" i="3"/>
  <c r="N96" i="3" s="1"/>
  <c r="M288" i="3"/>
  <c r="N288" i="3" s="1"/>
  <c r="M120" i="3"/>
  <c r="N120" i="3" s="1"/>
  <c r="M290" i="3"/>
  <c r="N290" i="3" s="1"/>
  <c r="M106" i="3"/>
  <c r="N106" i="3" s="1"/>
  <c r="M57" i="3"/>
  <c r="N57" i="3" s="1"/>
  <c r="M349" i="3"/>
  <c r="M312" i="3"/>
  <c r="M93" i="3"/>
  <c r="N93" i="3" s="1"/>
  <c r="M12" i="3"/>
  <c r="N12" i="3" s="1"/>
  <c r="M355" i="3"/>
  <c r="M107" i="3"/>
  <c r="N107" i="3" s="1"/>
  <c r="M84" i="3"/>
  <c r="N84" i="3" s="1"/>
  <c r="M186" i="3"/>
  <c r="N186" i="3" s="1"/>
  <c r="M31" i="3"/>
  <c r="N31" i="3" s="1"/>
  <c r="M229" i="3"/>
  <c r="N229" i="3" s="1"/>
  <c r="M295" i="3"/>
  <c r="M343" i="3"/>
  <c r="M257" i="3"/>
  <c r="N257" i="3" s="1"/>
  <c r="M248" i="3"/>
  <c r="N248" i="3" s="1"/>
  <c r="M260" i="3"/>
  <c r="N260" i="3" s="1"/>
  <c r="M272" i="3"/>
  <c r="N272" i="3" s="1"/>
  <c r="M75" i="3"/>
  <c r="N75" i="3" s="1"/>
  <c r="M118" i="3"/>
  <c r="N118" i="3" s="1"/>
  <c r="M143" i="3"/>
  <c r="N143" i="3" s="1"/>
  <c r="M268" i="3"/>
  <c r="N268" i="3" s="1"/>
  <c r="M26" i="3"/>
  <c r="N26" i="3" s="1"/>
  <c r="M124" i="3"/>
  <c r="N124" i="3" s="1"/>
  <c r="M313" i="3"/>
  <c r="M103" i="3"/>
  <c r="N103" i="3" s="1"/>
  <c r="M147" i="3"/>
  <c r="N147" i="3" s="1"/>
  <c r="M233" i="3"/>
  <c r="N233" i="3" s="1"/>
  <c r="M165" i="3"/>
  <c r="N165" i="3" s="1"/>
  <c r="M194" i="3"/>
  <c r="N194" i="3" s="1"/>
  <c r="M210" i="3"/>
  <c r="N210" i="3" s="1"/>
  <c r="M50" i="3"/>
  <c r="N50" i="3" s="1"/>
  <c r="M145" i="3"/>
  <c r="N145" i="3" s="1"/>
  <c r="M156" i="3"/>
  <c r="N156" i="3" s="1"/>
  <c r="M52" i="3"/>
  <c r="N52" i="3" s="1"/>
  <c r="M386" i="3"/>
  <c r="N386" i="3" s="1"/>
  <c r="M39" i="3"/>
  <c r="N39" i="3" s="1"/>
  <c r="M203" i="3"/>
  <c r="N203" i="3" s="1"/>
  <c r="M131" i="3"/>
  <c r="N131" i="3" s="1"/>
  <c r="M10" i="3"/>
  <c r="N10" i="3" s="1"/>
  <c r="M83" i="3"/>
  <c r="N83" i="3" s="1"/>
  <c r="M139" i="3"/>
  <c r="N139" i="3" s="1"/>
  <c r="M154" i="3"/>
  <c r="N154" i="3" s="1"/>
  <c r="M78" i="3"/>
  <c r="N78" i="3" s="1"/>
  <c r="M40" i="3"/>
  <c r="N40" i="3" s="1"/>
  <c r="M34" i="3"/>
  <c r="N34" i="3" s="1"/>
  <c r="M89" i="3"/>
  <c r="N89" i="3" s="1"/>
  <c r="M81" i="3"/>
  <c r="N81" i="3" s="1"/>
  <c r="M27" i="3"/>
  <c r="N27" i="3" s="1"/>
  <c r="M38" i="3"/>
  <c r="N38" i="3" s="1"/>
  <c r="M215" i="3"/>
  <c r="N215" i="3" s="1"/>
  <c r="M206" i="3"/>
  <c r="N206" i="3" s="1"/>
  <c r="M18" i="3"/>
  <c r="N18" i="3" s="1"/>
  <c r="M140" i="3"/>
  <c r="N140" i="3" s="1"/>
  <c r="M82" i="3"/>
  <c r="N82" i="3" s="1"/>
  <c r="M113" i="3"/>
  <c r="N113" i="3" s="1"/>
  <c r="M150" i="3"/>
  <c r="N150" i="3" s="1"/>
  <c r="M166" i="3"/>
  <c r="N166" i="3" s="1"/>
  <c r="M170" i="3"/>
  <c r="N170" i="3" s="1"/>
  <c r="M189" i="3"/>
  <c r="N189" i="3" s="1"/>
  <c r="M185" i="3"/>
  <c r="N185" i="3" s="1"/>
  <c r="M205" i="3"/>
  <c r="N205" i="3" s="1"/>
  <c r="M314" i="3"/>
  <c r="M358" i="3"/>
  <c r="M253" i="3"/>
  <c r="N253" i="3" s="1"/>
  <c r="M315" i="3"/>
  <c r="M7" i="3"/>
  <c r="N7" i="3" s="1"/>
  <c r="M149" i="3"/>
  <c r="N149" i="3" s="1"/>
  <c r="M46" i="3"/>
  <c r="N46" i="3" s="1"/>
  <c r="M224" i="3"/>
  <c r="N224" i="3" s="1"/>
  <c r="M177" i="3"/>
  <c r="N177" i="3" s="1"/>
  <c r="M348" i="3"/>
  <c r="M245" i="3"/>
  <c r="N245" i="3" s="1"/>
  <c r="M241" i="3"/>
  <c r="N241" i="3" s="1"/>
  <c r="M146" i="3"/>
  <c r="N146" i="3" s="1"/>
  <c r="M289" i="3"/>
  <c r="N289" i="3" s="1"/>
  <c r="M94" i="3"/>
  <c r="N94" i="3" s="1"/>
  <c r="M316" i="3"/>
  <c r="M41" i="3"/>
  <c r="N41" i="3" s="1"/>
  <c r="M79" i="3"/>
  <c r="N79" i="3" s="1"/>
  <c r="M169" i="3"/>
  <c r="N169" i="3" s="1"/>
  <c r="M6" i="3"/>
  <c r="N6" i="3" s="1"/>
  <c r="M317" i="3"/>
  <c r="M88" i="3"/>
  <c r="N88" i="3" s="1"/>
  <c r="M16" i="3"/>
  <c r="N16" i="3" s="1"/>
  <c r="M128" i="3"/>
  <c r="N128" i="3" s="1"/>
  <c r="M3" i="3"/>
  <c r="N3" i="3" s="1"/>
  <c r="M172" i="3"/>
  <c r="N172" i="3" s="1"/>
  <c r="M275" i="3"/>
  <c r="N275" i="3" s="1"/>
  <c r="M117" i="3"/>
  <c r="N117" i="3" s="1"/>
  <c r="M204" i="3"/>
  <c r="N204" i="3" s="1"/>
  <c r="M33" i="3"/>
  <c r="N33" i="3" s="1"/>
  <c r="M179" i="3"/>
  <c r="N179" i="3" s="1"/>
  <c r="M291" i="3"/>
  <c r="N291" i="3" s="1"/>
  <c r="M97" i="3"/>
  <c r="N97" i="3" s="1"/>
  <c r="M292" i="3"/>
  <c r="N292" i="3" s="1"/>
  <c r="M157" i="3"/>
  <c r="N157" i="3" s="1"/>
  <c r="M202" i="3"/>
  <c r="N202" i="3" s="1"/>
  <c r="M116" i="3"/>
  <c r="N116" i="3" s="1"/>
  <c r="M47" i="3"/>
  <c r="N47" i="3" s="1"/>
  <c r="M219" i="3"/>
  <c r="N219" i="3" s="1"/>
  <c r="M65" i="3"/>
  <c r="N65" i="3" s="1"/>
  <c r="M174" i="3"/>
  <c r="N174" i="3" s="1"/>
  <c r="M126" i="3"/>
  <c r="N126" i="3" s="1"/>
  <c r="M64" i="3"/>
  <c r="N64" i="3" s="1"/>
  <c r="M110" i="3"/>
  <c r="N110" i="3" s="1"/>
  <c r="M160" i="3"/>
  <c r="N160" i="3" s="1"/>
  <c r="M385" i="3"/>
  <c r="N385" i="3" s="1"/>
  <c r="M45" i="3"/>
  <c r="N45" i="3" s="1"/>
  <c r="M100" i="3"/>
  <c r="N100" i="3" s="1"/>
  <c r="M256" i="3"/>
  <c r="N256" i="3" s="1"/>
  <c r="M53" i="3"/>
  <c r="N53" i="3" s="1"/>
  <c r="M119" i="3"/>
  <c r="N119" i="3" s="1"/>
  <c r="M372" i="3"/>
  <c r="N372" i="3" s="1"/>
  <c r="M181" i="3"/>
  <c r="N181" i="3" s="1"/>
  <c r="M99" i="3"/>
  <c r="N99" i="3" s="1"/>
  <c r="M285" i="3"/>
  <c r="N285" i="3" s="1"/>
  <c r="M188" i="3"/>
  <c r="N188" i="3" s="1"/>
  <c r="M214" i="3"/>
  <c r="N214" i="3" s="1"/>
  <c r="M231" i="3"/>
  <c r="N231" i="3" s="1"/>
  <c r="M92" i="3"/>
  <c r="N92" i="3" s="1"/>
  <c r="M259" i="3"/>
  <c r="N259" i="3" s="1"/>
  <c r="M42" i="3"/>
  <c r="N42" i="3" s="1"/>
  <c r="M226" i="3"/>
  <c r="N226" i="3" s="1"/>
  <c r="M61" i="3"/>
  <c r="N61" i="3" s="1"/>
  <c r="M129" i="3"/>
  <c r="N129" i="3" s="1"/>
  <c r="M13" i="3"/>
  <c r="N13" i="3" s="1"/>
  <c r="M77" i="3"/>
  <c r="N77" i="3" s="1"/>
  <c r="M183" i="3"/>
  <c r="N183" i="3" s="1"/>
  <c r="M249" i="3"/>
  <c r="N249" i="3" s="1"/>
  <c r="M95" i="3"/>
  <c r="N95" i="3" s="1"/>
  <c r="M101" i="3"/>
  <c r="N101" i="3" s="1"/>
  <c r="M67" i="3"/>
  <c r="N67" i="3" s="1"/>
  <c r="M122" i="3"/>
  <c r="N122" i="3" s="1"/>
  <c r="M195" i="3"/>
  <c r="N195" i="3" s="1"/>
  <c r="M14" i="3"/>
  <c r="N14" i="3" s="1"/>
  <c r="M192" i="3"/>
  <c r="N192" i="3" s="1"/>
  <c r="M144" i="3"/>
  <c r="N144" i="3" s="1"/>
  <c r="M74" i="3"/>
  <c r="N74" i="3" s="1"/>
  <c r="M62" i="3"/>
  <c r="N62" i="3" s="1"/>
  <c r="M36" i="3"/>
  <c r="N36" i="3" s="1"/>
  <c r="M221" i="3"/>
  <c r="N221" i="3" s="1"/>
  <c r="M137" i="3"/>
  <c r="N137" i="3" s="1"/>
  <c r="M318" i="3"/>
  <c r="M22" i="3"/>
  <c r="N22" i="3" s="1"/>
  <c r="M171" i="3"/>
  <c r="N171" i="3" s="1"/>
  <c r="M180" i="3"/>
  <c r="N180" i="3" s="1"/>
  <c r="M55" i="3"/>
  <c r="N55" i="3" s="1"/>
  <c r="M54" i="3"/>
  <c r="N54" i="3" s="1"/>
  <c r="M209" i="3"/>
  <c r="N209" i="3" s="1"/>
  <c r="M234" i="3"/>
  <c r="N234" i="3" s="1"/>
  <c r="M153" i="3"/>
  <c r="N153" i="3" s="1"/>
  <c r="M162" i="3"/>
  <c r="N162" i="3" s="1"/>
  <c r="M199" i="3"/>
  <c r="N199" i="3" s="1"/>
  <c r="M184" i="3"/>
  <c r="N184" i="3" s="1"/>
  <c r="M359" i="3"/>
  <c r="M327" i="3"/>
  <c r="M362" i="3"/>
  <c r="M319" i="3"/>
  <c r="M339" i="3"/>
  <c r="M353" i="3"/>
  <c r="M334" i="3"/>
  <c r="M351" i="3"/>
  <c r="M340" i="3"/>
  <c r="M338" i="3"/>
  <c r="M354" i="3"/>
  <c r="M342" i="3"/>
  <c r="M335" i="3"/>
  <c r="M347" i="3"/>
  <c r="M336" i="3"/>
  <c r="M357" i="3"/>
  <c r="M363" i="3"/>
  <c r="M346" i="3"/>
  <c r="M367" i="3"/>
  <c r="M365" i="3"/>
  <c r="M368" i="3"/>
  <c r="M369" i="3"/>
  <c r="M352" i="3"/>
  <c r="M360" i="3"/>
  <c r="M341" i="3"/>
  <c r="M361" i="3"/>
  <c r="M371" i="3"/>
  <c r="M366" i="3"/>
  <c r="M364" i="3"/>
  <c r="M370" i="3"/>
  <c r="M345" i="3"/>
  <c r="L264" i="3"/>
  <c r="L247" i="3"/>
  <c r="L208" i="3"/>
  <c r="L227" i="3"/>
  <c r="L108" i="3"/>
  <c r="L297" i="3"/>
  <c r="L217" i="3"/>
  <c r="L51" i="3"/>
  <c r="L269" i="3"/>
  <c r="L207" i="3"/>
  <c r="L298" i="3"/>
  <c r="L243" i="3"/>
  <c r="L167" i="3"/>
  <c r="L44" i="3"/>
  <c r="L21" i="3"/>
  <c r="L142" i="3"/>
  <c r="L223" i="3"/>
  <c r="L280" i="3"/>
  <c r="L383" i="3"/>
  <c r="L239" i="3"/>
  <c r="L200" i="3"/>
  <c r="L324" i="3"/>
  <c r="L379" i="3"/>
  <c r="L287" i="3"/>
  <c r="L69" i="3"/>
  <c r="L321" i="3"/>
  <c r="L266" i="3"/>
  <c r="L320" i="3"/>
  <c r="L201" i="3"/>
  <c r="L286" i="3"/>
  <c r="L15" i="3"/>
  <c r="L270" i="3"/>
  <c r="L331" i="3"/>
  <c r="L281" i="3"/>
  <c r="L325" i="3"/>
  <c r="L323" i="3"/>
  <c r="L329" i="3"/>
  <c r="L332" i="3"/>
  <c r="L90" i="3"/>
  <c r="L151" i="3"/>
  <c r="L102" i="3"/>
  <c r="L322" i="3"/>
  <c r="L380" i="3"/>
  <c r="L222" i="3"/>
  <c r="L293" i="3"/>
  <c r="L5" i="3"/>
  <c r="L235" i="3"/>
  <c r="L163" i="3"/>
  <c r="L232" i="3"/>
  <c r="L255" i="3"/>
  <c r="L278" i="3"/>
  <c r="L8" i="3"/>
  <c r="L85" i="3"/>
  <c r="L299" i="3"/>
  <c r="L152" i="3"/>
  <c r="L378" i="3"/>
  <c r="L37" i="3"/>
  <c r="L279" i="3"/>
  <c r="L337" i="3"/>
  <c r="L216" i="3"/>
  <c r="L159" i="3"/>
  <c r="L130" i="3"/>
  <c r="L284" i="3"/>
  <c r="L300" i="3"/>
  <c r="L330" i="3"/>
  <c r="L191" i="3"/>
  <c r="L182" i="3"/>
  <c r="L155" i="3"/>
  <c r="L301" i="3"/>
  <c r="L302" i="3"/>
  <c r="L375" i="3"/>
  <c r="L303" i="3"/>
  <c r="L29" i="3"/>
  <c r="L66" i="3"/>
  <c r="L49" i="3"/>
  <c r="L218" i="3"/>
  <c r="L374" i="3"/>
  <c r="L274" i="3"/>
  <c r="L304" i="3"/>
  <c r="L273" i="3"/>
  <c r="L132" i="3"/>
  <c r="L35" i="3"/>
  <c r="L9" i="3"/>
  <c r="L141" i="3"/>
  <c r="L387" i="3"/>
  <c r="L125" i="3"/>
  <c r="L237" i="3"/>
  <c r="L148" i="3"/>
  <c r="L276" i="3"/>
  <c r="L115" i="3"/>
  <c r="L173" i="3"/>
  <c r="L326" i="3"/>
  <c r="L20" i="3"/>
  <c r="L87" i="3"/>
  <c r="L250" i="3"/>
  <c r="L283" i="3"/>
  <c r="L158" i="3"/>
  <c r="L305" i="3"/>
  <c r="L373" i="3"/>
  <c r="L30" i="3"/>
  <c r="L134" i="3"/>
  <c r="L211" i="3"/>
  <c r="L59" i="3"/>
  <c r="L17" i="3"/>
  <c r="L244" i="3"/>
  <c r="L344" i="3"/>
  <c r="L76" i="3"/>
  <c r="L68" i="3"/>
  <c r="L138" i="3"/>
  <c r="L333" i="3"/>
  <c r="L381" i="3"/>
  <c r="L212" i="3"/>
  <c r="L262" i="3"/>
  <c r="L282" i="3"/>
  <c r="L263" i="3"/>
  <c r="L261" i="3"/>
  <c r="L123" i="3"/>
  <c r="L213" i="3"/>
  <c r="L251" i="3"/>
  <c r="L71" i="3"/>
  <c r="L277" i="3"/>
  <c r="L306" i="3"/>
  <c r="L98" i="3"/>
  <c r="L307" i="3"/>
  <c r="L193" i="3"/>
  <c r="L72" i="3"/>
  <c r="L356" i="3"/>
  <c r="L56" i="3"/>
  <c r="L265" i="3"/>
  <c r="L230" i="3"/>
  <c r="L187" i="3"/>
  <c r="L60" i="3"/>
  <c r="L19" i="3"/>
  <c r="L308" i="3"/>
  <c r="L176" i="3"/>
  <c r="L267" i="3"/>
  <c r="L28" i="3"/>
  <c r="L58" i="3"/>
  <c r="L254" i="3"/>
  <c r="L246" i="3"/>
  <c r="L242" i="3"/>
  <c r="L220" i="3"/>
  <c r="L25" i="3"/>
  <c r="L309" i="3"/>
  <c r="L197" i="3"/>
  <c r="L190" i="3"/>
  <c r="L328" i="3"/>
  <c r="L121" i="3"/>
  <c r="L294" i="3"/>
  <c r="L198" i="3"/>
  <c r="L258" i="3"/>
  <c r="L127" i="3"/>
  <c r="L112" i="3"/>
  <c r="L310" i="3"/>
  <c r="L384" i="3"/>
  <c r="L228" i="3"/>
  <c r="L80" i="3"/>
  <c r="L161" i="3"/>
  <c r="L73" i="3"/>
  <c r="L23" i="3"/>
  <c r="L109" i="3"/>
  <c r="L168" i="3"/>
  <c r="L240" i="3"/>
  <c r="L225" i="3"/>
  <c r="L296" i="3"/>
  <c r="L178" i="3"/>
  <c r="L24" i="3"/>
  <c r="L382" i="3"/>
  <c r="L111" i="3"/>
  <c r="L175" i="3"/>
  <c r="L350" i="3"/>
  <c r="L252" i="3"/>
  <c r="L135" i="3"/>
  <c r="L236" i="3"/>
  <c r="L311" i="3"/>
  <c r="L271" i="3"/>
  <c r="L104" i="3"/>
  <c r="L63" i="3"/>
  <c r="L105" i="3"/>
  <c r="L32" i="3"/>
  <c r="L238" i="3"/>
  <c r="L70" i="3"/>
  <c r="L4" i="3"/>
  <c r="L376" i="3"/>
  <c r="L164" i="3"/>
  <c r="L136" i="3"/>
  <c r="L48" i="3"/>
  <c r="L11" i="3"/>
  <c r="L43" i="3"/>
  <c r="L377" i="3"/>
  <c r="L196" i="3"/>
  <c r="L114" i="3"/>
  <c r="L133" i="3"/>
  <c r="L91" i="3"/>
  <c r="L96" i="3"/>
  <c r="L288" i="3"/>
  <c r="L120" i="3"/>
  <c r="L290" i="3"/>
  <c r="L106" i="3"/>
  <c r="L57" i="3"/>
  <c r="L349" i="3"/>
  <c r="L312" i="3"/>
  <c r="L93" i="3"/>
  <c r="L12" i="3"/>
  <c r="L355" i="3"/>
  <c r="L107" i="3"/>
  <c r="L84" i="3"/>
  <c r="L186" i="3"/>
  <c r="L31" i="3"/>
  <c r="L229" i="3"/>
  <c r="L295" i="3"/>
  <c r="L343" i="3"/>
  <c r="L257" i="3"/>
  <c r="L248" i="3"/>
  <c r="L260" i="3"/>
  <c r="L272" i="3"/>
  <c r="L75" i="3"/>
  <c r="L118" i="3"/>
  <c r="L143" i="3"/>
  <c r="L268" i="3"/>
  <c r="L26" i="3"/>
  <c r="L124" i="3"/>
  <c r="L313" i="3"/>
  <c r="L103" i="3"/>
  <c r="L147" i="3"/>
  <c r="L233" i="3"/>
  <c r="L165" i="3"/>
  <c r="L194" i="3"/>
  <c r="L210" i="3"/>
  <c r="L50" i="3"/>
  <c r="L145" i="3"/>
  <c r="L156" i="3"/>
  <c r="L52" i="3"/>
  <c r="L386" i="3"/>
  <c r="L39" i="3"/>
  <c r="L203" i="3"/>
  <c r="L131" i="3"/>
  <c r="L10" i="3"/>
  <c r="L83" i="3"/>
  <c r="L139" i="3"/>
  <c r="L154" i="3"/>
  <c r="L78" i="3"/>
  <c r="L40" i="3"/>
  <c r="L34" i="3"/>
  <c r="L89" i="3"/>
  <c r="L81" i="3"/>
  <c r="L27" i="3"/>
  <c r="L38" i="3"/>
  <c r="L215" i="3"/>
  <c r="L206" i="3"/>
  <c r="L18" i="3"/>
  <c r="L140" i="3"/>
  <c r="L82" i="3"/>
  <c r="L113" i="3"/>
  <c r="L150" i="3"/>
  <c r="L166" i="3"/>
  <c r="L170" i="3"/>
  <c r="L189" i="3"/>
  <c r="L185" i="3"/>
  <c r="L205" i="3"/>
  <c r="L314" i="3"/>
  <c r="L358" i="3"/>
  <c r="L253" i="3"/>
  <c r="L315" i="3"/>
  <c r="L7" i="3"/>
  <c r="L149" i="3"/>
  <c r="L46" i="3"/>
  <c r="L224" i="3"/>
  <c r="L177" i="3"/>
  <c r="L348" i="3"/>
  <c r="L245" i="3"/>
  <c r="L241" i="3"/>
  <c r="L146" i="3"/>
  <c r="L289" i="3"/>
  <c r="L94" i="3"/>
  <c r="L316" i="3"/>
  <c r="L41" i="3"/>
  <c r="L79" i="3"/>
  <c r="L169" i="3"/>
  <c r="L6" i="3"/>
  <c r="L317" i="3"/>
  <c r="L88" i="3"/>
  <c r="L16" i="3"/>
  <c r="L128" i="3"/>
  <c r="L3" i="3"/>
  <c r="L172" i="3"/>
  <c r="L275" i="3"/>
  <c r="L117" i="3"/>
  <c r="L204" i="3"/>
  <c r="L33" i="3"/>
  <c r="L179" i="3"/>
  <c r="L291" i="3"/>
  <c r="L97" i="3"/>
  <c r="L292" i="3"/>
  <c r="L157" i="3"/>
  <c r="L202" i="3"/>
  <c r="L116" i="3"/>
  <c r="L47" i="3"/>
  <c r="L219" i="3"/>
  <c r="L65" i="3"/>
  <c r="L174" i="3"/>
  <c r="L126" i="3"/>
  <c r="L64" i="3"/>
  <c r="L110" i="3"/>
  <c r="L160" i="3"/>
  <c r="L385" i="3"/>
  <c r="L45" i="3"/>
  <c r="L100" i="3"/>
  <c r="L256" i="3"/>
  <c r="L53" i="3"/>
  <c r="L119" i="3"/>
  <c r="L372" i="3"/>
  <c r="L181" i="3"/>
  <c r="L99" i="3"/>
  <c r="L285" i="3"/>
  <c r="L188" i="3"/>
  <c r="L214" i="3"/>
  <c r="L231" i="3"/>
  <c r="L92" i="3"/>
  <c r="L259" i="3"/>
  <c r="L42" i="3"/>
  <c r="L226" i="3"/>
  <c r="L61" i="3"/>
  <c r="L129" i="3"/>
  <c r="L13" i="3"/>
  <c r="L77" i="3"/>
  <c r="L183" i="3"/>
  <c r="L249" i="3"/>
  <c r="L95" i="3"/>
  <c r="L101" i="3"/>
  <c r="L67" i="3"/>
  <c r="L122" i="3"/>
  <c r="L195" i="3"/>
  <c r="L14" i="3"/>
  <c r="L192" i="3"/>
  <c r="L144" i="3"/>
  <c r="L74" i="3"/>
  <c r="L62" i="3"/>
  <c r="L36" i="3"/>
  <c r="L221" i="3"/>
  <c r="L137" i="3"/>
  <c r="L318" i="3"/>
  <c r="L22" i="3"/>
  <c r="L171" i="3"/>
  <c r="L180" i="3"/>
  <c r="L55" i="3"/>
  <c r="L54" i="3"/>
  <c r="L209" i="3"/>
  <c r="L234" i="3"/>
  <c r="L153" i="3"/>
  <c r="L162" i="3"/>
  <c r="L199" i="3"/>
  <c r="L184" i="3"/>
  <c r="L359" i="3"/>
  <c r="L327" i="3"/>
  <c r="L362" i="3"/>
  <c r="L319" i="3"/>
  <c r="L339" i="3"/>
  <c r="L353" i="3"/>
  <c r="L334" i="3"/>
  <c r="L351" i="3"/>
  <c r="L340" i="3"/>
  <c r="L338" i="3"/>
  <c r="L354" i="3"/>
  <c r="L342" i="3"/>
  <c r="L335" i="3"/>
  <c r="L347" i="3"/>
  <c r="L336" i="3"/>
  <c r="L357" i="3"/>
  <c r="L363" i="3"/>
  <c r="L346" i="3"/>
  <c r="L367" i="3"/>
  <c r="L365" i="3"/>
  <c r="L368" i="3"/>
  <c r="L369" i="3"/>
  <c r="L352" i="3"/>
  <c r="L360" i="3"/>
  <c r="L341" i="3"/>
  <c r="L361" i="3"/>
  <c r="L371" i="3"/>
  <c r="L366" i="3"/>
  <c r="L364" i="3"/>
  <c r="L370" i="3"/>
  <c r="L345" i="3"/>
  <c r="L86" i="3"/>
  <c r="G264" i="3"/>
  <c r="G247" i="3"/>
  <c r="G227" i="3"/>
  <c r="G108" i="3"/>
  <c r="G51" i="3"/>
  <c r="G269" i="3"/>
  <c r="G243" i="3"/>
  <c r="G167" i="3"/>
  <c r="G44" i="3"/>
  <c r="G21" i="3"/>
  <c r="G142" i="3"/>
  <c r="G223" i="3"/>
  <c r="G324" i="3"/>
  <c r="G287" i="3"/>
  <c r="G69" i="3"/>
  <c r="G321" i="3"/>
  <c r="G320" i="3"/>
  <c r="G286" i="3"/>
  <c r="G15" i="3"/>
  <c r="G331" i="3"/>
  <c r="G325" i="3"/>
  <c r="G323" i="3"/>
  <c r="G329" i="3"/>
  <c r="G332" i="3"/>
  <c r="G90" i="3"/>
  <c r="G151" i="3"/>
  <c r="G102" i="3"/>
  <c r="G322" i="3"/>
  <c r="G222" i="3"/>
  <c r="G5" i="3"/>
  <c r="G235" i="3"/>
  <c r="G232" i="3"/>
  <c r="G8" i="3"/>
  <c r="G85" i="3"/>
  <c r="G37" i="3"/>
  <c r="G337" i="3"/>
  <c r="G216" i="3"/>
  <c r="G330" i="3"/>
  <c r="G191" i="3"/>
  <c r="G182" i="3"/>
  <c r="G155" i="3"/>
  <c r="G29" i="3"/>
  <c r="G66" i="3"/>
  <c r="G49" i="3"/>
  <c r="G218" i="3"/>
  <c r="G35" i="3"/>
  <c r="G9" i="3"/>
  <c r="G141" i="3"/>
  <c r="G387" i="3"/>
  <c r="G125" i="3"/>
  <c r="G148" i="3"/>
  <c r="G115" i="3"/>
  <c r="G173" i="3"/>
  <c r="G326" i="3"/>
  <c r="G20" i="3"/>
  <c r="G87" i="3"/>
  <c r="G250" i="3"/>
  <c r="G283" i="3"/>
  <c r="G158" i="3"/>
  <c r="G30" i="3"/>
  <c r="G134" i="3"/>
  <c r="G59" i="3"/>
  <c r="G17" i="3"/>
  <c r="G344" i="3"/>
  <c r="G76" i="3"/>
  <c r="G68" i="3"/>
  <c r="G138" i="3"/>
  <c r="G333" i="3"/>
  <c r="G262" i="3"/>
  <c r="G282" i="3"/>
  <c r="G263" i="3"/>
  <c r="G261" i="3"/>
  <c r="G123" i="3"/>
  <c r="G71" i="3"/>
  <c r="G98" i="3"/>
  <c r="G72" i="3"/>
  <c r="G356" i="3"/>
  <c r="G56" i="3"/>
  <c r="G230" i="3"/>
  <c r="G187" i="3"/>
  <c r="G60" i="3"/>
  <c r="G19" i="3"/>
  <c r="G28" i="3"/>
  <c r="G58" i="3"/>
  <c r="G246" i="3"/>
  <c r="G242" i="3"/>
  <c r="G220" i="3"/>
  <c r="G25" i="3"/>
  <c r="G197" i="3"/>
  <c r="G328" i="3"/>
  <c r="G121" i="3"/>
  <c r="G198" i="3"/>
  <c r="G127" i="3"/>
  <c r="G112" i="3"/>
  <c r="G80" i="3"/>
  <c r="G161" i="3"/>
  <c r="G73" i="3"/>
  <c r="G109" i="3"/>
  <c r="G168" i="3"/>
  <c r="G240" i="3"/>
  <c r="G296" i="3"/>
  <c r="G178" i="3"/>
  <c r="G24" i="3"/>
  <c r="G111" i="3"/>
  <c r="G350" i="3"/>
  <c r="G135" i="3"/>
  <c r="G236" i="3"/>
  <c r="G104" i="3"/>
  <c r="G63" i="3"/>
  <c r="G105" i="3"/>
  <c r="G32" i="3"/>
  <c r="G238" i="3"/>
  <c r="G70" i="3"/>
  <c r="G4" i="3"/>
  <c r="G164" i="3"/>
  <c r="G48" i="3"/>
  <c r="G11" i="3"/>
  <c r="G43" i="3"/>
  <c r="G196" i="3"/>
  <c r="G114" i="3"/>
  <c r="G133" i="3"/>
  <c r="G91" i="3"/>
  <c r="G96" i="3"/>
  <c r="G120" i="3"/>
  <c r="G290" i="3"/>
  <c r="G57" i="3"/>
  <c r="G349" i="3"/>
  <c r="G93" i="3"/>
  <c r="G12" i="3"/>
  <c r="G355" i="3"/>
  <c r="G107" i="3"/>
  <c r="G186" i="3"/>
  <c r="G31" i="3"/>
  <c r="G229" i="3"/>
  <c r="G295" i="3"/>
  <c r="G343" i="3"/>
  <c r="G257" i="3"/>
  <c r="G248" i="3"/>
  <c r="G260" i="3"/>
  <c r="G75" i="3"/>
  <c r="G124" i="3"/>
  <c r="G103" i="3"/>
  <c r="G147" i="3"/>
  <c r="G233" i="3"/>
  <c r="G165" i="3"/>
  <c r="G194" i="3"/>
  <c r="G210" i="3"/>
  <c r="G50" i="3"/>
  <c r="G145" i="3"/>
  <c r="G156" i="3"/>
  <c r="G52" i="3"/>
  <c r="G39" i="3"/>
  <c r="G131" i="3"/>
  <c r="G10" i="3"/>
  <c r="G83" i="3"/>
  <c r="G139" i="3"/>
  <c r="G78" i="3"/>
  <c r="G40" i="3"/>
  <c r="G34" i="3"/>
  <c r="G81" i="3"/>
  <c r="G27" i="3"/>
  <c r="G38" i="3"/>
  <c r="G215" i="3"/>
  <c r="G206" i="3"/>
  <c r="G18" i="3"/>
  <c r="G140" i="3"/>
  <c r="G82" i="3"/>
  <c r="G113" i="3"/>
  <c r="G150" i="3"/>
  <c r="G170" i="3"/>
  <c r="G185" i="3"/>
  <c r="G205" i="3"/>
  <c r="G358" i="3"/>
  <c r="G253" i="3"/>
  <c r="G7" i="3"/>
  <c r="G149" i="3"/>
  <c r="G46" i="3"/>
  <c r="G224" i="3"/>
  <c r="G177" i="3"/>
  <c r="G348" i="3"/>
  <c r="G245" i="3"/>
  <c r="G241" i="3"/>
  <c r="G146" i="3"/>
  <c r="G94" i="3"/>
  <c r="G41" i="3"/>
  <c r="G79" i="3"/>
  <c r="G169" i="3"/>
  <c r="G6" i="3"/>
  <c r="G88" i="3"/>
  <c r="G16" i="3"/>
  <c r="G128" i="3"/>
  <c r="G3" i="3"/>
  <c r="G172" i="3"/>
  <c r="G275" i="3"/>
  <c r="G117" i="3"/>
  <c r="G204" i="3"/>
  <c r="G33" i="3"/>
  <c r="G179" i="3"/>
  <c r="G291" i="3"/>
  <c r="G97" i="3"/>
  <c r="G157" i="3"/>
  <c r="G202" i="3"/>
  <c r="G116" i="3"/>
  <c r="G47" i="3"/>
  <c r="G219" i="3"/>
  <c r="G65" i="3"/>
  <c r="G174" i="3"/>
  <c r="G64" i="3"/>
  <c r="G110" i="3"/>
  <c r="G160" i="3"/>
  <c r="G45" i="3"/>
  <c r="G100" i="3"/>
  <c r="G53" i="3"/>
  <c r="G119" i="3"/>
  <c r="G181" i="3"/>
  <c r="G99" i="3"/>
  <c r="G285" i="3"/>
  <c r="G188" i="3"/>
  <c r="G92" i="3"/>
  <c r="G259" i="3"/>
  <c r="G42" i="3"/>
  <c r="G226" i="3"/>
  <c r="G61" i="3"/>
  <c r="G129" i="3"/>
  <c r="G13" i="3"/>
  <c r="G77" i="3"/>
  <c r="G183" i="3"/>
  <c r="G249" i="3"/>
  <c r="G95" i="3"/>
  <c r="G101" i="3"/>
  <c r="G67" i="3"/>
  <c r="G122" i="3"/>
  <c r="G195" i="3"/>
  <c r="G14" i="3"/>
  <c r="G192" i="3"/>
  <c r="G144" i="3"/>
  <c r="G74" i="3"/>
  <c r="G62" i="3"/>
  <c r="G36" i="3"/>
  <c r="G221" i="3"/>
  <c r="G137" i="3"/>
  <c r="G22" i="3"/>
  <c r="G171" i="3"/>
  <c r="G180" i="3"/>
  <c r="G55" i="3"/>
  <c r="G54" i="3"/>
  <c r="G209" i="3"/>
  <c r="G234" i="3"/>
  <c r="G153" i="3"/>
  <c r="G162" i="3"/>
  <c r="G184" i="3"/>
  <c r="G359" i="3"/>
  <c r="G327" i="3"/>
  <c r="G362" i="3"/>
  <c r="G339" i="3"/>
  <c r="G353" i="3"/>
  <c r="G334" i="3"/>
  <c r="G351" i="3"/>
  <c r="G340" i="3"/>
  <c r="G338" i="3"/>
  <c r="G354" i="3"/>
  <c r="G342" i="3"/>
  <c r="G335" i="3"/>
  <c r="G347" i="3"/>
  <c r="G336" i="3"/>
  <c r="G357" i="3"/>
  <c r="G363" i="3"/>
  <c r="G346" i="3"/>
  <c r="G367" i="3"/>
  <c r="G365" i="3"/>
  <c r="G368" i="3"/>
  <c r="G369" i="3"/>
  <c r="G352" i="3"/>
  <c r="G360" i="3"/>
  <c r="G341" i="3"/>
  <c r="G361" i="3"/>
  <c r="G371" i="3"/>
  <c r="G366" i="3"/>
  <c r="G364" i="3"/>
  <c r="G370" i="3"/>
  <c r="G345" i="3"/>
  <c r="G2" i="3"/>
  <c r="G86" i="3"/>
  <c r="I798" i="4" l="1"/>
  <c r="L912" i="4"/>
  <c r="L722" i="4"/>
  <c r="M814" i="4"/>
  <c r="N814" i="4" s="1"/>
  <c r="L718" i="4"/>
  <c r="I774" i="4"/>
  <c r="G774" i="4" s="1"/>
  <c r="L836" i="4"/>
  <c r="M909" i="4"/>
  <c r="N909" i="4" s="1"/>
  <c r="L952" i="4"/>
  <c r="L1005" i="4"/>
  <c r="L28" i="4"/>
  <c r="L252" i="4"/>
  <c r="M222" i="4"/>
  <c r="N222" i="4" s="1"/>
  <c r="H756" i="4"/>
  <c r="L756" i="4" s="1"/>
  <c r="M763" i="4"/>
  <c r="N763" i="4" s="1"/>
  <c r="I756" i="4"/>
  <c r="M756" i="4" s="1"/>
  <c r="N756" i="4" s="1"/>
  <c r="L728" i="4"/>
  <c r="L769" i="4"/>
  <c r="L854" i="4"/>
  <c r="H962" i="4"/>
  <c r="L962" i="4" s="1"/>
  <c r="G283" i="4"/>
  <c r="L881" i="4"/>
  <c r="L883" i="4"/>
  <c r="L890" i="4"/>
  <c r="M950" i="4"/>
  <c r="N950" i="4" s="1"/>
  <c r="L152" i="4"/>
  <c r="L242" i="4"/>
  <c r="L244" i="4"/>
  <c r="L246" i="4"/>
  <c r="L248" i="4"/>
  <c r="L250" i="4"/>
  <c r="M375" i="4"/>
  <c r="N375" i="4" s="1"/>
  <c r="L493" i="4"/>
  <c r="M751" i="4"/>
  <c r="N751" i="4" s="1"/>
  <c r="H982" i="4"/>
  <c r="L982" i="4" s="1"/>
  <c r="M994" i="4"/>
  <c r="N994" i="4" s="1"/>
  <c r="M1011" i="4"/>
  <c r="L1022" i="4"/>
  <c r="M1044" i="4"/>
  <c r="N1044" i="4" s="1"/>
  <c r="G39" i="7"/>
  <c r="L117" i="4"/>
  <c r="L150" i="4"/>
  <c r="L14" i="4"/>
  <c r="L17" i="4"/>
  <c r="L60" i="4"/>
  <c r="M336" i="4"/>
  <c r="N336" i="4" s="1"/>
  <c r="M353" i="4"/>
  <c r="L387" i="4"/>
  <c r="M536" i="4"/>
  <c r="N536" i="4" s="1"/>
  <c r="L562" i="4"/>
  <c r="L680" i="4"/>
  <c r="L763" i="4"/>
  <c r="L855" i="4"/>
  <c r="M733" i="4"/>
  <c r="N733" i="4" s="1"/>
  <c r="M745" i="4"/>
  <c r="L826" i="4"/>
  <c r="M906" i="4"/>
  <c r="N906" i="4" s="1"/>
  <c r="H959" i="4"/>
  <c r="L959" i="4" s="1"/>
  <c r="G311" i="7"/>
  <c r="L456" i="4"/>
  <c r="M505" i="4"/>
  <c r="N505" i="4" s="1"/>
  <c r="M555" i="4"/>
  <c r="N555" i="4" s="1"/>
  <c r="L565" i="4"/>
  <c r="I574" i="4"/>
  <c r="G574" i="4" s="1"/>
  <c r="L667" i="4"/>
  <c r="L683" i="4"/>
  <c r="L706" i="4"/>
  <c r="H729" i="4"/>
  <c r="H740" i="4"/>
  <c r="L740" i="4" s="1"/>
  <c r="L796" i="4"/>
  <c r="M1014" i="4"/>
  <c r="N1014" i="4" s="1"/>
  <c r="L1043" i="4"/>
  <c r="G375" i="7"/>
  <c r="M971" i="4"/>
  <c r="N971" i="4" s="1"/>
  <c r="G974" i="4"/>
  <c r="M1010" i="4"/>
  <c r="N1010" i="4" s="1"/>
  <c r="L1023" i="4"/>
  <c r="L1038" i="4"/>
  <c r="M1043" i="4"/>
  <c r="N1043" i="4" s="1"/>
  <c r="G87" i="7"/>
  <c r="G273" i="7"/>
  <c r="I165" i="4"/>
  <c r="L177" i="4"/>
  <c r="M205" i="4"/>
  <c r="N205" i="4" s="1"/>
  <c r="L220" i="4"/>
  <c r="L225" i="4"/>
  <c r="M405" i="4"/>
  <c r="N405" i="4" s="1"/>
  <c r="M410" i="4"/>
  <c r="N410" i="4" s="1"/>
  <c r="L417" i="4"/>
  <c r="L428" i="4"/>
  <c r="L469" i="4"/>
  <c r="L472" i="4"/>
  <c r="L550" i="4"/>
  <c r="M651" i="4"/>
  <c r="N651" i="4" s="1"/>
  <c r="L668" i="4"/>
  <c r="L670" i="4"/>
  <c r="L677" i="4"/>
  <c r="L18" i="4"/>
  <c r="M9" i="4"/>
  <c r="N9" i="4" s="1"/>
  <c r="I13" i="4"/>
  <c r="L147" i="4"/>
  <c r="M210" i="4"/>
  <c r="N210" i="4" s="1"/>
  <c r="M326" i="4"/>
  <c r="N326" i="4" s="1"/>
  <c r="M328" i="4"/>
  <c r="N328" i="4" s="1"/>
  <c r="H390" i="4"/>
  <c r="M469" i="4"/>
  <c r="L487" i="4"/>
  <c r="M585" i="4"/>
  <c r="N585" i="4" s="1"/>
  <c r="L608" i="4"/>
  <c r="M706" i="4"/>
  <c r="M766" i="4"/>
  <c r="L786" i="4"/>
  <c r="L788" i="4"/>
  <c r="L1013" i="4"/>
  <c r="L1026" i="4"/>
  <c r="G247" i="7"/>
  <c r="G130" i="7"/>
  <c r="M742" i="4"/>
  <c r="N742" i="4" s="1"/>
  <c r="M876" i="4"/>
  <c r="N876" i="4" s="1"/>
  <c r="H897" i="4"/>
  <c r="H943" i="4"/>
  <c r="L943" i="4" s="1"/>
  <c r="L1011" i="4"/>
  <c r="M1026" i="4"/>
  <c r="G351" i="7"/>
  <c r="G71" i="7"/>
  <c r="G65" i="7"/>
  <c r="G831" i="4"/>
  <c r="M831" i="4"/>
  <c r="N831" i="4" s="1"/>
  <c r="L57" i="4"/>
  <c r="L143" i="4"/>
  <c r="L186" i="4"/>
  <c r="L233" i="4"/>
  <c r="M237" i="4"/>
  <c r="N237" i="4" s="1"/>
  <c r="M250" i="4"/>
  <c r="N250" i="4" s="1"/>
  <c r="L514" i="4"/>
  <c r="L521" i="4"/>
  <c r="L604" i="4"/>
  <c r="L808" i="4"/>
  <c r="L816" i="4"/>
  <c r="L850" i="4"/>
  <c r="M875" i="4"/>
  <c r="N875" i="4" s="1"/>
  <c r="L910" i="4"/>
  <c r="M914" i="4"/>
  <c r="N914" i="4" s="1"/>
  <c r="L916" i="4"/>
  <c r="I959" i="4"/>
  <c r="G959" i="4" s="1"/>
  <c r="L963" i="4"/>
  <c r="I63" i="4"/>
  <c r="G63" i="4" s="1"/>
  <c r="L91" i="4"/>
  <c r="L104" i="4"/>
  <c r="L106" i="4"/>
  <c r="L119" i="4"/>
  <c r="I380" i="4"/>
  <c r="M380" i="4" s="1"/>
  <c r="N380" i="4" s="1"/>
  <c r="H437" i="4"/>
  <c r="L437" i="4" s="1"/>
  <c r="I512" i="4"/>
  <c r="H863" i="4"/>
  <c r="L863" i="4" s="1"/>
  <c r="H4" i="4"/>
  <c r="L4" i="4" s="1"/>
  <c r="L290" i="4"/>
  <c r="I363" i="4"/>
  <c r="G363" i="4" s="1"/>
  <c r="H397" i="4"/>
  <c r="L397" i="4" s="1"/>
  <c r="I516" i="4"/>
  <c r="M516" i="4" s="1"/>
  <c r="N516" i="4" s="1"/>
  <c r="L527" i="4"/>
  <c r="L581" i="4"/>
  <c r="L729" i="4"/>
  <c r="L8" i="4"/>
  <c r="M102" i="4"/>
  <c r="N102" i="4" s="1"/>
  <c r="L169" i="4"/>
  <c r="L174" i="4"/>
  <c r="L215" i="4"/>
  <c r="I241" i="4"/>
  <c r="G241" i="4" s="1"/>
  <c r="M247" i="4"/>
  <c r="L368" i="4"/>
  <c r="L374" i="4"/>
  <c r="L376" i="4"/>
  <c r="M387" i="4"/>
  <c r="N387" i="4" s="1"/>
  <c r="M436" i="4"/>
  <c r="N436" i="4" s="1"/>
  <c r="H479" i="4"/>
  <c r="L479" i="4" s="1"/>
  <c r="L483" i="4"/>
  <c r="L513" i="4"/>
  <c r="L515" i="4"/>
  <c r="L520" i="4"/>
  <c r="L534" i="4"/>
  <c r="M539" i="4"/>
  <c r="L570" i="4"/>
  <c r="I725" i="4"/>
  <c r="M725" i="4" s="1"/>
  <c r="N725" i="4" s="1"/>
  <c r="I734" i="4"/>
  <c r="M734" i="4" s="1"/>
  <c r="N734" i="4" s="1"/>
  <c r="I736" i="4"/>
  <c r="M736" i="4" s="1"/>
  <c r="N736" i="4" s="1"/>
  <c r="L759" i="4"/>
  <c r="L801" i="4"/>
  <c r="H813" i="4"/>
  <c r="H821" i="4"/>
  <c r="L821" i="4" s="1"/>
  <c r="L823" i="4"/>
  <c r="M847" i="4"/>
  <c r="N847" i="4" s="1"/>
  <c r="L849" i="4"/>
  <c r="L866" i="4"/>
  <c r="M878" i="4"/>
  <c r="N878" i="4" s="1"/>
  <c r="M886" i="4"/>
  <c r="N886" i="4" s="1"/>
  <c r="L922" i="4"/>
  <c r="I957" i="4"/>
  <c r="G957" i="4" s="1"/>
  <c r="I962" i="4"/>
  <c r="M962" i="4" s="1"/>
  <c r="N962" i="4" s="1"/>
  <c r="L964" i="4"/>
  <c r="L966" i="4"/>
  <c r="L973" i="4"/>
  <c r="M1003" i="4"/>
  <c r="N1003" i="4" s="1"/>
  <c r="M833" i="4"/>
  <c r="N833" i="4" s="1"/>
  <c r="H44" i="4"/>
  <c r="L44" i="4" s="1"/>
  <c r="L114" i="4"/>
  <c r="L142" i="4"/>
  <c r="M58" i="4"/>
  <c r="N58" i="4" s="1"/>
  <c r="M64" i="4"/>
  <c r="N64" i="4" s="1"/>
  <c r="I81" i="4"/>
  <c r="M81" i="4" s="1"/>
  <c r="N81" i="4" s="1"/>
  <c r="I157" i="4"/>
  <c r="M157" i="4" s="1"/>
  <c r="N157" i="4" s="1"/>
  <c r="L309" i="4"/>
  <c r="M312" i="4"/>
  <c r="L323" i="4"/>
  <c r="L438" i="4"/>
  <c r="L497" i="4"/>
  <c r="L526" i="4"/>
  <c r="L542" i="4"/>
  <c r="L555" i="4"/>
  <c r="L560" i="4"/>
  <c r="I597" i="4"/>
  <c r="G597" i="4" s="1"/>
  <c r="H642" i="4"/>
  <c r="L642" i="4" s="1"/>
  <c r="M655" i="4"/>
  <c r="L669" i="4"/>
  <c r="M685" i="4"/>
  <c r="N685" i="4" s="1"/>
  <c r="M692" i="4"/>
  <c r="H725" i="4"/>
  <c r="L748" i="4"/>
  <c r="M775" i="4"/>
  <c r="N775" i="4" s="1"/>
  <c r="L859" i="4"/>
  <c r="I897" i="4"/>
  <c r="M897" i="4" s="1"/>
  <c r="N897" i="4" s="1"/>
  <c r="L901" i="4"/>
  <c r="L968" i="4"/>
  <c r="L984" i="4"/>
  <c r="L156" i="4"/>
  <c r="L303" i="4"/>
  <c r="L316" i="4"/>
  <c r="L364" i="4"/>
  <c r="L366" i="4"/>
  <c r="M394" i="4"/>
  <c r="N394" i="4" s="1"/>
  <c r="L522" i="4"/>
  <c r="L605" i="4"/>
  <c r="L615" i="4"/>
  <c r="L753" i="4"/>
  <c r="L780" i="4"/>
  <c r="L831" i="4"/>
  <c r="L833" i="4"/>
  <c r="L897" i="4"/>
  <c r="L994" i="4"/>
  <c r="L789" i="4"/>
  <c r="M476" i="4"/>
  <c r="N476" i="4" s="1"/>
  <c r="G476" i="4"/>
  <c r="M571" i="4"/>
  <c r="G571" i="4"/>
  <c r="M547" i="4"/>
  <c r="G547" i="4"/>
  <c r="G928" i="4"/>
  <c r="M928" i="4"/>
  <c r="G636" i="4"/>
  <c r="M636" i="4"/>
  <c r="H31" i="4"/>
  <c r="M91" i="4"/>
  <c r="N91" i="4" s="1"/>
  <c r="L429" i="4"/>
  <c r="L543" i="4"/>
  <c r="L545" i="4"/>
  <c r="M673" i="4"/>
  <c r="N673" i="4" s="1"/>
  <c r="M759" i="4"/>
  <c r="N759" i="4" s="1"/>
  <c r="M815" i="4"/>
  <c r="N815" i="4" s="1"/>
  <c r="M830" i="4"/>
  <c r="N830" i="4" s="1"/>
  <c r="L834" i="4"/>
  <c r="M842" i="4"/>
  <c r="M859" i="4"/>
  <c r="N859" i="4" s="1"/>
  <c r="L861" i="4"/>
  <c r="I905" i="4"/>
  <c r="M905" i="4" s="1"/>
  <c r="N905" i="4" s="1"/>
  <c r="M912" i="4"/>
  <c r="N912" i="4" s="1"/>
  <c r="H944" i="4"/>
  <c r="L944" i="4" s="1"/>
  <c r="M972" i="4"/>
  <c r="N972" i="4" s="1"/>
  <c r="L988" i="4"/>
  <c r="M141" i="4"/>
  <c r="N141" i="4" s="1"/>
  <c r="L317" i="4"/>
  <c r="L319" i="4"/>
  <c r="L372" i="4"/>
  <c r="L441" i="4"/>
  <c r="L481" i="4"/>
  <c r="M514" i="4"/>
  <c r="N514" i="4" s="1"/>
  <c r="L551" i="4"/>
  <c r="I564" i="4"/>
  <c r="I31" i="4"/>
  <c r="G31" i="4" s="1"/>
  <c r="L64" i="4"/>
  <c r="L102" i="4"/>
  <c r="L133" i="4"/>
  <c r="L139" i="4"/>
  <c r="H160" i="4"/>
  <c r="L160" i="4" s="1"/>
  <c r="L172" i="4"/>
  <c r="L198" i="4"/>
  <c r="I238" i="4"/>
  <c r="G238" i="4" s="1"/>
  <c r="M372" i="4"/>
  <c r="N372" i="4" s="1"/>
  <c r="M401" i="4"/>
  <c r="N401" i="4" s="1"/>
  <c r="G405" i="4"/>
  <c r="L410" i="4"/>
  <c r="L425" i="4"/>
  <c r="L439" i="4"/>
  <c r="L476" i="4"/>
  <c r="L495" i="4"/>
  <c r="L507" i="4"/>
  <c r="M511" i="4"/>
  <c r="N511" i="4" s="1"/>
  <c r="L524" i="4"/>
  <c r="L539" i="4"/>
  <c r="H579" i="4"/>
  <c r="L579" i="4" s="1"/>
  <c r="L580" i="4"/>
  <c r="L658" i="4"/>
  <c r="L688" i="4"/>
  <c r="H818" i="4"/>
  <c r="L818" i="4" s="1"/>
  <c r="L820" i="4"/>
  <c r="M861" i="4"/>
  <c r="N861" i="4" s="1"/>
  <c r="I863" i="4"/>
  <c r="L874" i="4"/>
  <c r="L885" i="4"/>
  <c r="L895" i="4"/>
  <c r="M924" i="4"/>
  <c r="I944" i="4"/>
  <c r="M944" i="4" s="1"/>
  <c r="G971" i="4"/>
  <c r="L1003" i="4"/>
  <c r="M1023" i="4"/>
  <c r="N1023" i="4" s="1"/>
  <c r="L1040" i="4"/>
  <c r="M1050" i="4"/>
  <c r="N1050" i="4" s="1"/>
  <c r="L1055" i="4"/>
  <c r="M67" i="4"/>
  <c r="L436" i="4"/>
  <c r="L518" i="4"/>
  <c r="L531" i="4"/>
  <c r="M836" i="4"/>
  <c r="N836" i="4" s="1"/>
  <c r="M964" i="4"/>
  <c r="N964" i="4" s="1"/>
  <c r="L11" i="4"/>
  <c r="I101" i="4"/>
  <c r="M101" i="4" s="1"/>
  <c r="N101" i="4" s="1"/>
  <c r="I160" i="4"/>
  <c r="M160" i="4" s="1"/>
  <c r="N160" i="4" s="1"/>
  <c r="L162" i="4"/>
  <c r="L219" i="4"/>
  <c r="M299" i="4"/>
  <c r="M301" i="4"/>
  <c r="N301" i="4" s="1"/>
  <c r="L336" i="4"/>
  <c r="L371" i="4"/>
  <c r="H380" i="4"/>
  <c r="L402" i="4"/>
  <c r="L409" i="4"/>
  <c r="H457" i="4"/>
  <c r="L457" i="4" s="1"/>
  <c r="L480" i="4"/>
  <c r="L569" i="4"/>
  <c r="L585" i="4"/>
  <c r="H587" i="4"/>
  <c r="L587" i="4" s="1"/>
  <c r="H600" i="4"/>
  <c r="L610" i="4"/>
  <c r="I641" i="4"/>
  <c r="M641" i="4" s="1"/>
  <c r="I643" i="4"/>
  <c r="M668" i="4"/>
  <c r="M677" i="4"/>
  <c r="M711" i="4"/>
  <c r="N711" i="4" s="1"/>
  <c r="L733" i="4"/>
  <c r="I782" i="4"/>
  <c r="G782" i="4" s="1"/>
  <c r="M816" i="4"/>
  <c r="N816" i="4" s="1"/>
  <c r="L837" i="4"/>
  <c r="M890" i="4"/>
  <c r="N890" i="4" s="1"/>
  <c r="L913" i="4"/>
  <c r="I943" i="4"/>
  <c r="M943" i="4" s="1"/>
  <c r="H958" i="4"/>
  <c r="L958" i="4" s="1"/>
  <c r="L965" i="4"/>
  <c r="L987" i="4"/>
  <c r="L989" i="4"/>
  <c r="M1020" i="4"/>
  <c r="N1020" i="4" s="1"/>
  <c r="M1031" i="4"/>
  <c r="L48" i="4"/>
  <c r="L166" i="4"/>
  <c r="L224" i="4"/>
  <c r="I229" i="4"/>
  <c r="G229" i="4" s="1"/>
  <c r="M231" i="4"/>
  <c r="N231" i="4" s="1"/>
  <c r="M323" i="4"/>
  <c r="L350" i="4"/>
  <c r="L426" i="4"/>
  <c r="H446" i="4"/>
  <c r="L446" i="4" s="1"/>
  <c r="L475" i="4"/>
  <c r="L489" i="4"/>
  <c r="L496" i="4"/>
  <c r="L508" i="4"/>
  <c r="H519" i="4"/>
  <c r="L519" i="4" s="1"/>
  <c r="M532" i="4"/>
  <c r="N532" i="4" s="1"/>
  <c r="M546" i="4"/>
  <c r="N546" i="4" s="1"/>
  <c r="L548" i="4"/>
  <c r="L591" i="4"/>
  <c r="L606" i="4"/>
  <c r="L613" i="4"/>
  <c r="L663" i="4"/>
  <c r="L716" i="4"/>
  <c r="M721" i="4"/>
  <c r="N721" i="4" s="1"/>
  <c r="L723" i="4"/>
  <c r="M748" i="4"/>
  <c r="N748" i="4" s="1"/>
  <c r="L787" i="4"/>
  <c r="L803" i="4"/>
  <c r="L805" i="4"/>
  <c r="L807" i="4"/>
  <c r="I813" i="4"/>
  <c r="M813" i="4" s="1"/>
  <c r="N813" i="4" s="1"/>
  <c r="M839" i="4"/>
  <c r="N839" i="4" s="1"/>
  <c r="M846" i="4"/>
  <c r="N846" i="4" s="1"/>
  <c r="L848" i="4"/>
  <c r="M862" i="4"/>
  <c r="N862" i="4" s="1"/>
  <c r="L884" i="4"/>
  <c r="L894" i="4"/>
  <c r="L896" i="4"/>
  <c r="I958" i="4"/>
  <c r="M958" i="4" s="1"/>
  <c r="N958" i="4" s="1"/>
  <c r="M965" i="4"/>
  <c r="N965" i="4" s="1"/>
  <c r="H977" i="4"/>
  <c r="L977" i="4" s="1"/>
  <c r="M980" i="4"/>
  <c r="N980" i="4" s="1"/>
  <c r="M987" i="4"/>
  <c r="N987" i="4" s="1"/>
  <c r="L997" i="4"/>
  <c r="M1002" i="4"/>
  <c r="N1002" i="4" s="1"/>
  <c r="M1018" i="4"/>
  <c r="N1018" i="4" s="1"/>
  <c r="M1029" i="4"/>
  <c r="N1029" i="4" s="1"/>
  <c r="L1044" i="4"/>
  <c r="L46" i="4"/>
  <c r="L51" i="4"/>
  <c r="H101" i="4"/>
  <c r="L101" i="4" s="1"/>
  <c r="L134" i="4"/>
  <c r="L9" i="4"/>
  <c r="M48" i="4"/>
  <c r="N48" i="4" s="1"/>
  <c r="M51" i="4"/>
  <c r="N51" i="4" s="1"/>
  <c r="L197" i="4"/>
  <c r="I199" i="4"/>
  <c r="G199" i="4" s="1"/>
  <c r="L212" i="4"/>
  <c r="L226" i="4"/>
  <c r="L247" i="4"/>
  <c r="L300" i="4"/>
  <c r="M340" i="4"/>
  <c r="N340" i="4" s="1"/>
  <c r="M342" i="4"/>
  <c r="N342" i="4" s="1"/>
  <c r="M348" i="4"/>
  <c r="N348" i="4" s="1"/>
  <c r="L375" i="4"/>
  <c r="L390" i="4"/>
  <c r="L407" i="4"/>
  <c r="L413" i="4"/>
  <c r="L444" i="4"/>
  <c r="M456" i="4"/>
  <c r="N456" i="4" s="1"/>
  <c r="L506" i="4"/>
  <c r="L523" i="4"/>
  <c r="L529" i="4"/>
  <c r="M531" i="4"/>
  <c r="N531" i="4" s="1"/>
  <c r="L546" i="4"/>
  <c r="M548" i="4"/>
  <c r="N548" i="4" s="1"/>
  <c r="L567" i="4"/>
  <c r="L573" i="4"/>
  <c r="L599" i="4"/>
  <c r="M639" i="4"/>
  <c r="M647" i="4"/>
  <c r="N647" i="4" s="1"/>
  <c r="L652" i="4"/>
  <c r="M659" i="4"/>
  <c r="N659" i="4" s="1"/>
  <c r="M687" i="4"/>
  <c r="N687" i="4" s="1"/>
  <c r="M689" i="4"/>
  <c r="N689" i="4" s="1"/>
  <c r="L692" i="4"/>
  <c r="M714" i="4"/>
  <c r="N714" i="4" s="1"/>
  <c r="M716" i="4"/>
  <c r="N716" i="4" s="1"/>
  <c r="H764" i="4"/>
  <c r="L764" i="4" s="1"/>
  <c r="M805" i="4"/>
  <c r="N805" i="4" s="1"/>
  <c r="I821" i="4"/>
  <c r="I824" i="4"/>
  <c r="G824" i="4" s="1"/>
  <c r="L828" i="4"/>
  <c r="L844" i="4"/>
  <c r="M872" i="4"/>
  <c r="L886" i="4"/>
  <c r="M904" i="4"/>
  <c r="N904" i="4" s="1"/>
  <c r="L908" i="4"/>
  <c r="H957" i="4"/>
  <c r="L957" i="4" s="1"/>
  <c r="M975" i="4"/>
  <c r="N975" i="4" s="1"/>
  <c r="L985" i="4"/>
  <c r="M1007" i="4"/>
  <c r="N1007" i="4" s="1"/>
  <c r="M1034" i="4"/>
  <c r="N1034" i="4" s="1"/>
  <c r="L405" i="4"/>
  <c r="L505" i="4"/>
  <c r="L596" i="4"/>
  <c r="L744" i="4"/>
  <c r="G759" i="4"/>
  <c r="M801" i="4"/>
  <c r="N801" i="4" s="1"/>
  <c r="L891" i="4"/>
  <c r="L900" i="4"/>
  <c r="L971" i="4"/>
  <c r="G4" i="8"/>
  <c r="G286" i="7"/>
  <c r="G118" i="7"/>
  <c r="M145" i="7"/>
  <c r="N145" i="7" s="1"/>
  <c r="G86" i="7"/>
  <c r="G355" i="7"/>
  <c r="G315" i="7"/>
  <c r="G171" i="7"/>
  <c r="G99" i="7"/>
  <c r="G19" i="7"/>
  <c r="M289" i="7"/>
  <c r="N289" i="7" s="1"/>
  <c r="M137" i="7"/>
  <c r="N137" i="7" s="1"/>
  <c r="G3" i="7"/>
  <c r="G275" i="7"/>
  <c r="G91" i="7"/>
  <c r="G67" i="7"/>
  <c r="M281" i="7"/>
  <c r="M105" i="7"/>
  <c r="N105" i="7" s="1"/>
  <c r="G379" i="7"/>
  <c r="G307" i="7"/>
  <c r="G259" i="7"/>
  <c r="G163" i="7"/>
  <c r="G59" i="7"/>
  <c r="M249" i="7"/>
  <c r="N249" i="7" s="1"/>
  <c r="M73" i="7"/>
  <c r="N73" i="7" s="1"/>
  <c r="G347" i="7"/>
  <c r="G299" i="7"/>
  <c r="G251" i="7"/>
  <c r="G139" i="7"/>
  <c r="G51" i="7"/>
  <c r="G339" i="7"/>
  <c r="G131" i="7"/>
  <c r="G83" i="7"/>
  <c r="G43" i="7"/>
  <c r="G371" i="7"/>
  <c r="G331" i="7"/>
  <c r="G291" i="7"/>
  <c r="G219" i="7"/>
  <c r="M185" i="7"/>
  <c r="N185" i="7" s="1"/>
  <c r="M296" i="7"/>
  <c r="N296" i="7" s="1"/>
  <c r="G384" i="7"/>
  <c r="M384" i="7"/>
  <c r="N384" i="7" s="1"/>
  <c r="M368" i="7"/>
  <c r="N368" i="7" s="1"/>
  <c r="G368" i="7"/>
  <c r="G360" i="7"/>
  <c r="M360" i="7"/>
  <c r="N360" i="7" s="1"/>
  <c r="M344" i="7"/>
  <c r="N344" i="7" s="1"/>
  <c r="G344" i="7"/>
  <c r="M336" i="7"/>
  <c r="G336" i="7"/>
  <c r="G320" i="7"/>
  <c r="M320" i="7"/>
  <c r="M312" i="7"/>
  <c r="N312" i="7" s="1"/>
  <c r="G312" i="7"/>
  <c r="M304" i="7"/>
  <c r="N304" i="7" s="1"/>
  <c r="G304" i="7"/>
  <c r="M264" i="7"/>
  <c r="N264" i="7" s="1"/>
  <c r="G264" i="7"/>
  <c r="G152" i="7"/>
  <c r="M152" i="7"/>
  <c r="G104" i="7"/>
  <c r="M104" i="7"/>
  <c r="N104" i="7" s="1"/>
  <c r="G88" i="7"/>
  <c r="M88" i="7"/>
  <c r="N88" i="7" s="1"/>
  <c r="M80" i="7"/>
  <c r="N80" i="7" s="1"/>
  <c r="G80" i="7"/>
  <c r="G64" i="7"/>
  <c r="M64" i="7"/>
  <c r="N64" i="7" s="1"/>
  <c r="M56" i="7"/>
  <c r="N56" i="7" s="1"/>
  <c r="G56" i="7"/>
  <c r="G24" i="7"/>
  <c r="M24" i="7"/>
  <c r="N24" i="7" s="1"/>
  <c r="M40" i="7"/>
  <c r="N40" i="7" s="1"/>
  <c r="G383" i="7"/>
  <c r="M383" i="7"/>
  <c r="M359" i="7"/>
  <c r="G359" i="7"/>
  <c r="G343" i="7"/>
  <c r="M343" i="7"/>
  <c r="N343" i="7" s="1"/>
  <c r="M335" i="7"/>
  <c r="G335" i="7"/>
  <c r="G319" i="7"/>
  <c r="M319" i="7"/>
  <c r="G303" i="7"/>
  <c r="M303" i="7"/>
  <c r="N303" i="7" s="1"/>
  <c r="M295" i="7"/>
  <c r="N295" i="7" s="1"/>
  <c r="G295" i="7"/>
  <c r="M271" i="7"/>
  <c r="N271" i="7" s="1"/>
  <c r="G271" i="7"/>
  <c r="M215" i="7"/>
  <c r="N215" i="7" s="1"/>
  <c r="G215" i="7"/>
  <c r="M167" i="7"/>
  <c r="N167" i="7" s="1"/>
  <c r="G167" i="7"/>
  <c r="M159" i="7"/>
  <c r="N159" i="7" s="1"/>
  <c r="G159" i="7"/>
  <c r="M127" i="7"/>
  <c r="N127" i="7" s="1"/>
  <c r="G127" i="7"/>
  <c r="M119" i="7"/>
  <c r="N119" i="7" s="1"/>
  <c r="G119" i="7"/>
  <c r="M103" i="7"/>
  <c r="N103" i="7" s="1"/>
  <c r="G103" i="7"/>
  <c r="M95" i="7"/>
  <c r="N95" i="7" s="1"/>
  <c r="G95" i="7"/>
  <c r="G63" i="7"/>
  <c r="M63" i="7"/>
  <c r="N63" i="7" s="1"/>
  <c r="M55" i="7"/>
  <c r="N55" i="7" s="1"/>
  <c r="G55" i="7"/>
  <c r="G47" i="7"/>
  <c r="M47" i="7"/>
  <c r="N47" i="7" s="1"/>
  <c r="M31" i="7"/>
  <c r="N31" i="7" s="1"/>
  <c r="G31" i="7"/>
  <c r="G23" i="7"/>
  <c r="M23" i="7"/>
  <c r="N23" i="7" s="1"/>
  <c r="M7" i="7"/>
  <c r="N7" i="7" s="1"/>
  <c r="G7" i="7"/>
  <c r="G327" i="7"/>
  <c r="M367" i="7"/>
  <c r="N367" i="7" s="1"/>
  <c r="G111" i="7"/>
  <c r="M353" i="7"/>
  <c r="N353" i="7" s="1"/>
  <c r="M209" i="7"/>
  <c r="N209" i="7" s="1"/>
  <c r="M97" i="7"/>
  <c r="N97" i="7" s="1"/>
  <c r="G6" i="7"/>
  <c r="G78" i="7"/>
  <c r="M89" i="7"/>
  <c r="N89" i="7" s="1"/>
  <c r="M57" i="7"/>
  <c r="N57" i="7" s="1"/>
  <c r="G270" i="7"/>
  <c r="G54" i="7"/>
  <c r="M387" i="7"/>
  <c r="N387" i="7" s="1"/>
  <c r="G94" i="7"/>
  <c r="M9" i="7"/>
  <c r="N9" i="7" s="1"/>
  <c r="G46" i="7"/>
  <c r="M81" i="7"/>
  <c r="N81" i="7" s="1"/>
  <c r="M41" i="7"/>
  <c r="N41" i="7" s="1"/>
  <c r="M16" i="7"/>
  <c r="N16" i="7" s="1"/>
  <c r="M184" i="7"/>
  <c r="N184" i="7" s="1"/>
  <c r="M79" i="7"/>
  <c r="N79" i="7" s="1"/>
  <c r="M15" i="7"/>
  <c r="N15" i="7" s="1"/>
  <c r="M288" i="7"/>
  <c r="M160" i="7"/>
  <c r="N160" i="7" s="1"/>
  <c r="M32" i="7"/>
  <c r="N32" i="7" s="1"/>
  <c r="M328" i="7"/>
  <c r="N328" i="7" s="1"/>
  <c r="M287" i="7"/>
  <c r="M200" i="7"/>
  <c r="N200" i="7" s="1"/>
  <c r="G382" i="7"/>
  <c r="M382" i="7"/>
  <c r="G374" i="7"/>
  <c r="M374" i="7"/>
  <c r="G366" i="7"/>
  <c r="M366" i="7"/>
  <c r="G358" i="7"/>
  <c r="M358" i="7"/>
  <c r="G350" i="7"/>
  <c r="M350" i="7"/>
  <c r="G342" i="7"/>
  <c r="M342" i="7"/>
  <c r="N342" i="7" s="1"/>
  <c r="G334" i="7"/>
  <c r="M334" i="7"/>
  <c r="G326" i="7"/>
  <c r="M326" i="7"/>
  <c r="N326" i="7" s="1"/>
  <c r="G318" i="7"/>
  <c r="M318" i="7"/>
  <c r="N318" i="7" s="1"/>
  <c r="G310" i="7"/>
  <c r="M310" i="7"/>
  <c r="G302" i="7"/>
  <c r="M302" i="7"/>
  <c r="G294" i="7"/>
  <c r="M294" i="7"/>
  <c r="G262" i="7"/>
  <c r="M262" i="7"/>
  <c r="G254" i="7"/>
  <c r="M254" i="7"/>
  <c r="N254" i="7" s="1"/>
  <c r="G246" i="7"/>
  <c r="M246" i="7"/>
  <c r="N246" i="7" s="1"/>
  <c r="G198" i="7"/>
  <c r="M198" i="7"/>
  <c r="G126" i="7"/>
  <c r="M126" i="7"/>
  <c r="N126" i="7" s="1"/>
  <c r="M70" i="7"/>
  <c r="N70" i="7" s="1"/>
  <c r="G70" i="7"/>
  <c r="G62" i="7"/>
  <c r="M62" i="7"/>
  <c r="N62" i="7" s="1"/>
  <c r="G38" i="7"/>
  <c r="M38" i="7"/>
  <c r="N38" i="7" s="1"/>
  <c r="G30" i="7"/>
  <c r="M30" i="7"/>
  <c r="N30" i="7" s="1"/>
  <c r="G22" i="7"/>
  <c r="M22" i="7"/>
  <c r="N22" i="7" s="1"/>
  <c r="M263" i="7"/>
  <c r="N263" i="7" s="1"/>
  <c r="M176" i="7"/>
  <c r="N176" i="7" s="1"/>
  <c r="M112" i="7"/>
  <c r="N112" i="7" s="1"/>
  <c r="M48" i="7"/>
  <c r="N48" i="7" s="1"/>
  <c r="M381" i="7"/>
  <c r="M365" i="7"/>
  <c r="N365" i="7" s="1"/>
  <c r="M357" i="7"/>
  <c r="N357" i="7" s="1"/>
  <c r="M349" i="7"/>
  <c r="N349" i="7" s="1"/>
  <c r="M317" i="7"/>
  <c r="M309" i="7"/>
  <c r="N309" i="7" s="1"/>
  <c r="M301" i="7"/>
  <c r="N301" i="7" s="1"/>
  <c r="M293" i="7"/>
  <c r="N293" i="7" s="1"/>
  <c r="M277" i="7"/>
  <c r="N277" i="7" s="1"/>
  <c r="M261" i="7"/>
  <c r="N261" i="7" s="1"/>
  <c r="M253" i="7"/>
  <c r="M245" i="7"/>
  <c r="M221" i="7"/>
  <c r="N221" i="7" s="1"/>
  <c r="M213" i="7"/>
  <c r="N213" i="7" s="1"/>
  <c r="M205" i="7"/>
  <c r="N205" i="7" s="1"/>
  <c r="M197" i="7"/>
  <c r="N197" i="7" s="1"/>
  <c r="M181" i="7"/>
  <c r="M173" i="7"/>
  <c r="N173" i="7" s="1"/>
  <c r="M165" i="7"/>
  <c r="N165" i="7" s="1"/>
  <c r="M157" i="7"/>
  <c r="N157" i="7" s="1"/>
  <c r="M149" i="7"/>
  <c r="N149" i="7" s="1"/>
  <c r="M141" i="7"/>
  <c r="N141" i="7" s="1"/>
  <c r="M133" i="7"/>
  <c r="N133" i="7" s="1"/>
  <c r="M125" i="7"/>
  <c r="N125" i="7" s="1"/>
  <c r="M117" i="7"/>
  <c r="N117" i="7" s="1"/>
  <c r="M109" i="7"/>
  <c r="N109" i="7" s="1"/>
  <c r="M101" i="7"/>
  <c r="N101" i="7" s="1"/>
  <c r="M93" i="7"/>
  <c r="N93" i="7" s="1"/>
  <c r="M85" i="7"/>
  <c r="N85" i="7" s="1"/>
  <c r="M77" i="7"/>
  <c r="N77" i="7" s="1"/>
  <c r="M69" i="7"/>
  <c r="N69" i="7" s="1"/>
  <c r="M61" i="7"/>
  <c r="N61" i="7" s="1"/>
  <c r="M53" i="7"/>
  <c r="N53" i="7" s="1"/>
  <c r="M45" i="7"/>
  <c r="N45" i="7" s="1"/>
  <c r="M37" i="7"/>
  <c r="N37" i="7" s="1"/>
  <c r="M29" i="7"/>
  <c r="N29" i="7" s="1"/>
  <c r="M21" i="7"/>
  <c r="N21" i="7" s="1"/>
  <c r="M13" i="7"/>
  <c r="N13" i="7" s="1"/>
  <c r="M5" i="7"/>
  <c r="N5" i="7" s="1"/>
  <c r="M380" i="7"/>
  <c r="M372" i="7"/>
  <c r="N372" i="7" s="1"/>
  <c r="M364" i="7"/>
  <c r="M356" i="7"/>
  <c r="N356" i="7" s="1"/>
  <c r="M348" i="7"/>
  <c r="N348" i="7" s="1"/>
  <c r="M332" i="7"/>
  <c r="M324" i="7"/>
  <c r="N324" i="7" s="1"/>
  <c r="M316" i="7"/>
  <c r="N316" i="7" s="1"/>
  <c r="M300" i="7"/>
  <c r="N300" i="7" s="1"/>
  <c r="M292" i="7"/>
  <c r="N292" i="7" s="1"/>
  <c r="M276" i="7"/>
  <c r="M268" i="7"/>
  <c r="M260" i="7"/>
  <c r="N260" i="7" s="1"/>
  <c r="M252" i="7"/>
  <c r="N252" i="7" s="1"/>
  <c r="M220" i="7"/>
  <c r="M212" i="7"/>
  <c r="N212" i="7" s="1"/>
  <c r="M196" i="7"/>
  <c r="N196" i="7" s="1"/>
  <c r="M188" i="7"/>
  <c r="N188" i="7" s="1"/>
  <c r="M180" i="7"/>
  <c r="M172" i="7"/>
  <c r="N172" i="7" s="1"/>
  <c r="M164" i="7"/>
  <c r="N164" i="7" s="1"/>
  <c r="M156" i="7"/>
  <c r="N156" i="7" s="1"/>
  <c r="M148" i="7"/>
  <c r="N148" i="7" s="1"/>
  <c r="M140" i="7"/>
  <c r="N140" i="7" s="1"/>
  <c r="M132" i="7"/>
  <c r="N132" i="7" s="1"/>
  <c r="M124" i="7"/>
  <c r="N124" i="7" s="1"/>
  <c r="M116" i="7"/>
  <c r="N116" i="7" s="1"/>
  <c r="M108" i="7"/>
  <c r="N108" i="7" s="1"/>
  <c r="M100" i="7"/>
  <c r="N100" i="7" s="1"/>
  <c r="M92" i="7"/>
  <c r="N92" i="7" s="1"/>
  <c r="M84" i="7"/>
  <c r="N84" i="7" s="1"/>
  <c r="M76" i="7"/>
  <c r="N76" i="7" s="1"/>
  <c r="M68" i="7"/>
  <c r="N68" i="7" s="1"/>
  <c r="M60" i="7"/>
  <c r="N60" i="7" s="1"/>
  <c r="M52" i="7"/>
  <c r="N52" i="7" s="1"/>
  <c r="M44" i="7"/>
  <c r="N44" i="7" s="1"/>
  <c r="M36" i="7"/>
  <c r="N36" i="7" s="1"/>
  <c r="M28" i="7"/>
  <c r="N28" i="7" s="1"/>
  <c r="M20" i="7"/>
  <c r="N20" i="7" s="1"/>
  <c r="M12" i="7"/>
  <c r="N12" i="7" s="1"/>
  <c r="M4" i="7"/>
  <c r="N4" i="7" s="1"/>
  <c r="M378" i="7"/>
  <c r="N378" i="7" s="1"/>
  <c r="M370" i="7"/>
  <c r="M362" i="7"/>
  <c r="M346" i="7"/>
  <c r="M338" i="7"/>
  <c r="N338" i="7" s="1"/>
  <c r="M330" i="7"/>
  <c r="N330" i="7" s="1"/>
  <c r="M322" i="7"/>
  <c r="M314" i="7"/>
  <c r="M306" i="7"/>
  <c r="N306" i="7" s="1"/>
  <c r="M298" i="7"/>
  <c r="M290" i="7"/>
  <c r="N290" i="7" s="1"/>
  <c r="M218" i="7"/>
  <c r="N218" i="7" s="1"/>
  <c r="M178" i="7"/>
  <c r="N178" i="7" s="1"/>
  <c r="M170" i="7"/>
  <c r="N170" i="7" s="1"/>
  <c r="M154" i="7"/>
  <c r="N154" i="7" s="1"/>
  <c r="M138" i="7"/>
  <c r="N138" i="7" s="1"/>
  <c r="M122" i="7"/>
  <c r="N122" i="7" s="1"/>
  <c r="M106" i="7"/>
  <c r="N106" i="7" s="1"/>
  <c r="M82" i="7"/>
  <c r="N82" i="7" s="1"/>
  <c r="M74" i="7"/>
  <c r="N74" i="7" s="1"/>
  <c r="M66" i="7"/>
  <c r="N66" i="7" s="1"/>
  <c r="M58" i="7"/>
  <c r="N58" i="7" s="1"/>
  <c r="M42" i="7"/>
  <c r="N42" i="7" s="1"/>
  <c r="M26" i="7"/>
  <c r="N26" i="7" s="1"/>
  <c r="M18" i="7"/>
  <c r="N18" i="7" s="1"/>
  <c r="M10" i="7"/>
  <c r="N10" i="7" s="1"/>
  <c r="G284" i="7"/>
  <c r="G140" i="7"/>
  <c r="G285" i="7"/>
  <c r="G309" i="7"/>
  <c r="G252" i="7"/>
  <c r="G341" i="7"/>
  <c r="G308" i="7"/>
  <c r="G20" i="7"/>
  <c r="G373" i="7"/>
  <c r="G340" i="7"/>
  <c r="G372" i="7"/>
  <c r="G220" i="7"/>
  <c r="L285" i="7"/>
  <c r="L317" i="7"/>
  <c r="L382" i="7"/>
  <c r="L374" i="7"/>
  <c r="L366" i="7"/>
  <c r="L358" i="7"/>
  <c r="L350" i="7"/>
  <c r="L342" i="7"/>
  <c r="L334" i="7"/>
  <c r="L318" i="7"/>
  <c r="L310" i="7"/>
  <c r="L294" i="7"/>
  <c r="L286" i="7"/>
  <c r="L278" i="7"/>
  <c r="L270" i="7"/>
  <c r="L262" i="7"/>
  <c r="L254" i="7"/>
  <c r="L246" i="7"/>
  <c r="L230" i="7"/>
  <c r="L222" i="7"/>
  <c r="L214" i="7"/>
  <c r="L206" i="7"/>
  <c r="L198" i="7"/>
  <c r="L190" i="7"/>
  <c r="L182" i="7"/>
  <c r="L174" i="7"/>
  <c r="L166" i="7"/>
  <c r="L158" i="7"/>
  <c r="L150" i="7"/>
  <c r="L142" i="7"/>
  <c r="L134" i="7"/>
  <c r="L126" i="7"/>
  <c r="L118" i="7"/>
  <c r="L110" i="7"/>
  <c r="L102" i="7"/>
  <c r="L86" i="7"/>
  <c r="L78" i="7"/>
  <c r="L70" i="7"/>
  <c r="L62" i="7"/>
  <c r="L54" i="7"/>
  <c r="L46" i="7"/>
  <c r="L38" i="7"/>
  <c r="L22" i="7"/>
  <c r="L14" i="7"/>
  <c r="L6" i="7"/>
  <c r="G269" i="7"/>
  <c r="G349" i="7"/>
  <c r="G189" i="7"/>
  <c r="G133" i="7"/>
  <c r="G45" i="7"/>
  <c r="G29" i="7"/>
  <c r="G61" i="7"/>
  <c r="G5" i="7"/>
  <c r="G369" i="7"/>
  <c r="G337" i="7"/>
  <c r="G305" i="7"/>
  <c r="G85" i="7"/>
  <c r="G28" i="7"/>
  <c r="G325" i="7"/>
  <c r="G377" i="7"/>
  <c r="G345" i="7"/>
  <c r="G313" i="7"/>
  <c r="G276" i="7"/>
  <c r="G173" i="7"/>
  <c r="G69" i="7"/>
  <c r="G12" i="7"/>
  <c r="G333" i="7"/>
  <c r="G301" i="7"/>
  <c r="G93" i="7"/>
  <c r="G385" i="7"/>
  <c r="G321" i="7"/>
  <c r="G90" i="7"/>
  <c r="G354" i="7"/>
  <c r="G146" i="7"/>
  <c r="G250" i="7"/>
  <c r="G217" i="7"/>
  <c r="G194" i="7"/>
  <c r="G50" i="7"/>
  <c r="G34" i="7"/>
  <c r="G114" i="7"/>
  <c r="G49" i="7"/>
  <c r="G25" i="7"/>
  <c r="G258" i="7"/>
  <c r="G153" i="7"/>
  <c r="G113" i="7"/>
  <c r="G281" i="4"/>
  <c r="M281" i="4"/>
  <c r="M172" i="4"/>
  <c r="N172" i="4" s="1"/>
  <c r="G172" i="4"/>
  <c r="M549" i="4"/>
  <c r="G549" i="4"/>
  <c r="G223" i="4"/>
  <c r="M223" i="4"/>
  <c r="M544" i="4"/>
  <c r="N544" i="4" s="1"/>
  <c r="G544" i="4"/>
  <c r="G940" i="4"/>
  <c r="M940" i="4"/>
  <c r="M377" i="4"/>
  <c r="G377" i="4"/>
  <c r="L34" i="4"/>
  <c r="I52" i="4"/>
  <c r="G52" i="4" s="1"/>
  <c r="M214" i="4"/>
  <c r="N214" i="4" s="1"/>
  <c r="M226" i="4"/>
  <c r="N226" i="4" s="1"/>
  <c r="L249" i="4"/>
  <c r="M286" i="4"/>
  <c r="I446" i="4"/>
  <c r="M446" i="4" s="1"/>
  <c r="N446" i="4" s="1"/>
  <c r="M534" i="4"/>
  <c r="N534" i="4" s="1"/>
  <c r="G534" i="4"/>
  <c r="I600" i="4"/>
  <c r="G600" i="4" s="1"/>
  <c r="G635" i="4"/>
  <c r="M572" i="4"/>
  <c r="N572" i="4" s="1"/>
  <c r="G572" i="4"/>
  <c r="G488" i="4"/>
  <c r="M488" i="4"/>
  <c r="L33" i="4"/>
  <c r="L43" i="4"/>
  <c r="G64" i="4"/>
  <c r="M73" i="4"/>
  <c r="N73" i="4" s="1"/>
  <c r="H76" i="4"/>
  <c r="L76" i="4" s="1"/>
  <c r="L94" i="4"/>
  <c r="L96" i="4"/>
  <c r="M100" i="4"/>
  <c r="N100" i="4" s="1"/>
  <c r="M104" i="4"/>
  <c r="N104" i="4" s="1"/>
  <c r="L120" i="4"/>
  <c r="H204" i="4"/>
  <c r="L204" i="4" s="1"/>
  <c r="L216" i="4"/>
  <c r="L239" i="4"/>
  <c r="L253" i="4"/>
  <c r="L308" i="4"/>
  <c r="L320" i="4"/>
  <c r="M370" i="4"/>
  <c r="N370" i="4" s="1"/>
  <c r="G420" i="4"/>
  <c r="M420" i="4"/>
  <c r="N420" i="4" s="1"/>
  <c r="M424" i="4"/>
  <c r="G424" i="4"/>
  <c r="M449" i="4"/>
  <c r="N449" i="4" s="1"/>
  <c r="G449" i="4"/>
  <c r="L464" i="4"/>
  <c r="M475" i="4"/>
  <c r="N475" i="4" s="1"/>
  <c r="G475" i="4"/>
  <c r="M484" i="4"/>
  <c r="N484" i="4" s="1"/>
  <c r="G484" i="4"/>
  <c r="H597" i="4"/>
  <c r="L597" i="4" s="1"/>
  <c r="G622" i="4"/>
  <c r="M622" i="4"/>
  <c r="M662" i="4"/>
  <c r="N662" i="4" s="1"/>
  <c r="M699" i="4"/>
  <c r="N699" i="4" s="1"/>
  <c r="G849" i="4"/>
  <c r="M849" i="4"/>
  <c r="N849" i="4" s="1"/>
  <c r="M856" i="4"/>
  <c r="N856" i="4" s="1"/>
  <c r="G856" i="4"/>
  <c r="L6" i="4"/>
  <c r="L25" i="4"/>
  <c r="L35" i="4"/>
  <c r="L74" i="4"/>
  <c r="I76" i="4"/>
  <c r="M76" i="4" s="1"/>
  <c r="N76" i="4" s="1"/>
  <c r="M94" i="4"/>
  <c r="N94" i="4" s="1"/>
  <c r="G102" i="4"/>
  <c r="L109" i="4"/>
  <c r="L122" i="4"/>
  <c r="H149" i="4"/>
  <c r="L158" i="4"/>
  <c r="L190" i="4"/>
  <c r="L192" i="4"/>
  <c r="L202" i="4"/>
  <c r="L213" i="4"/>
  <c r="L299" i="4"/>
  <c r="G403" i="4"/>
  <c r="M403" i="4"/>
  <c r="N403" i="4" s="1"/>
  <c r="L458" i="4"/>
  <c r="L557" i="4"/>
  <c r="M591" i="4"/>
  <c r="N591" i="4" s="1"/>
  <c r="G591" i="4"/>
  <c r="M697" i="4"/>
  <c r="N697" i="4" s="1"/>
  <c r="G288" i="4"/>
  <c r="G628" i="4"/>
  <c r="L58" i="4"/>
  <c r="M395" i="4"/>
  <c r="N395" i="4" s="1"/>
  <c r="G395" i="4"/>
  <c r="M473" i="4"/>
  <c r="N473" i="4" s="1"/>
  <c r="G473" i="4"/>
  <c r="M633" i="4"/>
  <c r="G633" i="4"/>
  <c r="L27" i="4"/>
  <c r="L62" i="4"/>
  <c r="L164" i="4"/>
  <c r="M169" i="4"/>
  <c r="N169" i="4" s="1"/>
  <c r="M170" i="4"/>
  <c r="N170" i="4" s="1"/>
  <c r="L175" i="4"/>
  <c r="L211" i="4"/>
  <c r="L218" i="4"/>
  <c r="M234" i="4"/>
  <c r="N234" i="4" s="1"/>
  <c r="M267" i="4"/>
  <c r="L380" i="4"/>
  <c r="L395" i="4"/>
  <c r="M414" i="4"/>
  <c r="N414" i="4" s="1"/>
  <c r="G414" i="4"/>
  <c r="I447" i="4"/>
  <c r="M447" i="4" s="1"/>
  <c r="L453" i="4"/>
  <c r="M499" i="4"/>
  <c r="G499" i="4"/>
  <c r="M551" i="4"/>
  <c r="N551" i="4" s="1"/>
  <c r="M575" i="4"/>
  <c r="N575" i="4" s="1"/>
  <c r="G575" i="4"/>
  <c r="L577" i="4"/>
  <c r="L590" i="4"/>
  <c r="M670" i="4"/>
  <c r="M707" i="4"/>
  <c r="N707" i="4" s="1"/>
  <c r="M910" i="4"/>
  <c r="N910" i="4" s="1"/>
  <c r="G910" i="4"/>
  <c r="M472" i="4"/>
  <c r="N472" i="4" s="1"/>
  <c r="G472" i="4"/>
  <c r="G58" i="4"/>
  <c r="L97" i="4"/>
  <c r="L121" i="4"/>
  <c r="L130" i="4"/>
  <c r="I149" i="4"/>
  <c r="M149" i="4" s="1"/>
  <c r="N149" i="4" s="1"/>
  <c r="M186" i="4"/>
  <c r="N186" i="4" s="1"/>
  <c r="L205" i="4"/>
  <c r="L240" i="4"/>
  <c r="L254" i="4"/>
  <c r="L328" i="4"/>
  <c r="I397" i="4"/>
  <c r="M397" i="4" s="1"/>
  <c r="N397" i="4" s="1"/>
  <c r="I423" i="4"/>
  <c r="M423" i="4" s="1"/>
  <c r="N423" i="4" s="1"/>
  <c r="L430" i="4"/>
  <c r="M503" i="4"/>
  <c r="N503" i="4" s="1"/>
  <c r="G503" i="4"/>
  <c r="L572" i="4"/>
  <c r="L575" i="4"/>
  <c r="G588" i="4"/>
  <c r="M588" i="4"/>
  <c r="L602" i="4"/>
  <c r="L611" i="4"/>
  <c r="L655" i="4"/>
  <c r="G705" i="4"/>
  <c r="G789" i="4"/>
  <c r="M789" i="4"/>
  <c r="N789" i="4" s="1"/>
  <c r="M809" i="4"/>
  <c r="N809" i="4" s="1"/>
  <c r="G809" i="4"/>
  <c r="L293" i="4"/>
  <c r="M309" i="4"/>
  <c r="M321" i="4"/>
  <c r="N321" i="4" s="1"/>
  <c r="M333" i="4"/>
  <c r="L342" i="4"/>
  <c r="L344" i="4"/>
  <c r="L356" i="4"/>
  <c r="M359" i="4"/>
  <c r="L365" i="4"/>
  <c r="L389" i="4"/>
  <c r="L401" i="4"/>
  <c r="L403" i="4"/>
  <c r="H411" i="4"/>
  <c r="L411" i="4" s="1"/>
  <c r="H423" i="4"/>
  <c r="L423" i="4" s="1"/>
  <c r="M450" i="4"/>
  <c r="N450" i="4" s="1"/>
  <c r="M453" i="4"/>
  <c r="N453" i="4" s="1"/>
  <c r="L455" i="4"/>
  <c r="M458" i="4"/>
  <c r="N458" i="4" s="1"/>
  <c r="L463" i="4"/>
  <c r="L473" i="4"/>
  <c r="L484" i="4"/>
  <c r="M492" i="4"/>
  <c r="N492" i="4" s="1"/>
  <c r="L552" i="4"/>
  <c r="L556" i="4"/>
  <c r="M557" i="4"/>
  <c r="N557" i="4" s="1"/>
  <c r="H564" i="4"/>
  <c r="L564" i="4" s="1"/>
  <c r="L600" i="4"/>
  <c r="L651" i="4"/>
  <c r="L657" i="4"/>
  <c r="M669" i="4"/>
  <c r="N669" i="4" s="1"/>
  <c r="L714" i="4"/>
  <c r="L721" i="4"/>
  <c r="L724" i="4"/>
  <c r="G732" i="4"/>
  <c r="H734" i="4"/>
  <c r="L734" i="4" s="1"/>
  <c r="H736" i="4"/>
  <c r="L736" i="4" s="1"/>
  <c r="M738" i="4"/>
  <c r="N738" i="4" s="1"/>
  <c r="L745" i="4"/>
  <c r="M768" i="4"/>
  <c r="N768" i="4" s="1"/>
  <c r="L856" i="4"/>
  <c r="L862" i="4"/>
  <c r="M874" i="4"/>
  <c r="N874" i="4" s="1"/>
  <c r="M1005" i="4"/>
  <c r="N1005" i="4" s="1"/>
  <c r="L1032" i="4"/>
  <c r="M1052" i="4"/>
  <c r="N1052" i="4" s="1"/>
  <c r="M1054" i="4"/>
  <c r="M306" i="4"/>
  <c r="N306" i="4" s="1"/>
  <c r="L315" i="4"/>
  <c r="L327" i="4"/>
  <c r="M332" i="4"/>
  <c r="N332" i="4" s="1"/>
  <c r="M335" i="4"/>
  <c r="N335" i="4" s="1"/>
  <c r="M482" i="4"/>
  <c r="N482" i="4" s="1"/>
  <c r="L592" i="4"/>
  <c r="M344" i="4"/>
  <c r="N344" i="4" s="1"/>
  <c r="L355" i="4"/>
  <c r="M354" i="4"/>
  <c r="L358" i="4"/>
  <c r="M358" i="4"/>
  <c r="N358" i="4" s="1"/>
  <c r="L370" i="4"/>
  <c r="G410" i="4"/>
  <c r="I411" i="4"/>
  <c r="M411" i="4" s="1"/>
  <c r="N411" i="4" s="1"/>
  <c r="I457" i="4"/>
  <c r="L511" i="4"/>
  <c r="M524" i="4"/>
  <c r="N524" i="4" s="1"/>
  <c r="M543" i="4"/>
  <c r="N543" i="4" s="1"/>
  <c r="H559" i="4"/>
  <c r="L559" i="4" s="1"/>
  <c r="M565" i="4"/>
  <c r="N565" i="4" s="1"/>
  <c r="L576" i="4"/>
  <c r="L584" i="4"/>
  <c r="L603" i="4"/>
  <c r="M617" i="4"/>
  <c r="I642" i="4"/>
  <c r="M642" i="4" s="1"/>
  <c r="L647" i="4"/>
  <c r="M657" i="4"/>
  <c r="N657" i="4" s="1"/>
  <c r="M663" i="4"/>
  <c r="N663" i="4" s="1"/>
  <c r="L671" i="4"/>
  <c r="L682" i="4"/>
  <c r="M683" i="4"/>
  <c r="L727" i="4"/>
  <c r="G734" i="4"/>
  <c r="G736" i="4"/>
  <c r="L751" i="4"/>
  <c r="H774" i="4"/>
  <c r="L774" i="4" s="1"/>
  <c r="G859" i="4"/>
  <c r="L903" i="4"/>
  <c r="G909" i="4"/>
  <c r="L975" i="4"/>
  <c r="I419" i="4"/>
  <c r="G446" i="4"/>
  <c r="G470" i="4"/>
  <c r="L578" i="4"/>
  <c r="M671" i="4"/>
  <c r="N671" i="4" s="1"/>
  <c r="L790" i="4"/>
  <c r="M808" i="4"/>
  <c r="N808" i="4" s="1"/>
  <c r="G808" i="4"/>
  <c r="G866" i="4"/>
  <c r="M866" i="4"/>
  <c r="N866" i="4" s="1"/>
  <c r="L301" i="4"/>
  <c r="M310" i="4"/>
  <c r="N310" i="4" s="1"/>
  <c r="M315" i="4"/>
  <c r="N315" i="4" s="1"/>
  <c r="M317" i="4"/>
  <c r="N317" i="4" s="1"/>
  <c r="M322" i="4"/>
  <c r="N322" i="4" s="1"/>
  <c r="M334" i="4"/>
  <c r="L345" i="4"/>
  <c r="M368" i="4"/>
  <c r="N368" i="4" s="1"/>
  <c r="I373" i="4"/>
  <c r="M409" i="4"/>
  <c r="N409" i="4" s="1"/>
  <c r="H465" i="4"/>
  <c r="L465" i="4" s="1"/>
  <c r="L467" i="4"/>
  <c r="L492" i="4"/>
  <c r="L528" i="4"/>
  <c r="L532" i="4"/>
  <c r="L558" i="4"/>
  <c r="M582" i="4"/>
  <c r="N582" i="4" s="1"/>
  <c r="L595" i="4"/>
  <c r="L598" i="4"/>
  <c r="L609" i="4"/>
  <c r="M652" i="4"/>
  <c r="N652" i="4" s="1"/>
  <c r="M658" i="4"/>
  <c r="N658" i="4" s="1"/>
  <c r="L672" i="4"/>
  <c r="L676" i="4"/>
  <c r="L715" i="4"/>
  <c r="L725" i="4"/>
  <c r="L738" i="4"/>
  <c r="L742" i="4"/>
  <c r="L749" i="4"/>
  <c r="L785" i="4"/>
  <c r="L794" i="4"/>
  <c r="I868" i="4"/>
  <c r="M868" i="4" s="1"/>
  <c r="N868" i="4" s="1"/>
  <c r="G939" i="4"/>
  <c r="M939" i="4"/>
  <c r="G985" i="4"/>
  <c r="M985" i="4"/>
  <c r="N985" i="4" s="1"/>
  <c r="L995" i="4"/>
  <c r="L312" i="4"/>
  <c r="H363" i="4"/>
  <c r="L363" i="4" s="1"/>
  <c r="H373" i="4"/>
  <c r="L373" i="4" s="1"/>
  <c r="L414" i="4"/>
  <c r="L449" i="4"/>
  <c r="I464" i="4"/>
  <c r="G464" i="4" s="1"/>
  <c r="L477" i="4"/>
  <c r="L482" i="4"/>
  <c r="L485" i="4"/>
  <c r="L503" i="4"/>
  <c r="H516" i="4"/>
  <c r="L516" i="4" s="1"/>
  <c r="L544" i="4"/>
  <c r="L553" i="4"/>
  <c r="M569" i="4"/>
  <c r="N569" i="4" s="1"/>
  <c r="H574" i="4"/>
  <c r="L574" i="4" s="1"/>
  <c r="M592" i="4"/>
  <c r="N592" i="4" s="1"/>
  <c r="M601" i="4"/>
  <c r="H643" i="4"/>
  <c r="L643" i="4" s="1"/>
  <c r="L662" i="4"/>
  <c r="M667" i="4"/>
  <c r="N667" i="4" s="1"/>
  <c r="M676" i="4"/>
  <c r="L685" i="4"/>
  <c r="L687" i="4"/>
  <c r="L697" i="4"/>
  <c r="L699" i="4"/>
  <c r="L707" i="4"/>
  <c r="M715" i="4"/>
  <c r="N715" i="4" s="1"/>
  <c r="M722" i="4"/>
  <c r="N722" i="4" s="1"/>
  <c r="L737" i="4"/>
  <c r="L755" i="4"/>
  <c r="M869" i="4"/>
  <c r="N869" i="4" s="1"/>
  <c r="I902" i="4"/>
  <c r="G902" i="4" s="1"/>
  <c r="G931" i="4"/>
  <c r="L950" i="4"/>
  <c r="L1034" i="4"/>
  <c r="M1036" i="4"/>
  <c r="N1036" i="4" s="1"/>
  <c r="L772" i="4"/>
  <c r="L775" i="4"/>
  <c r="L781" i="4"/>
  <c r="M787" i="4"/>
  <c r="N787" i="4" s="1"/>
  <c r="M811" i="4"/>
  <c r="N811" i="4" s="1"/>
  <c r="L814" i="4"/>
  <c r="L829" i="4"/>
  <c r="L846" i="4"/>
  <c r="M848" i="4"/>
  <c r="N848" i="4" s="1"/>
  <c r="G972" i="4"/>
  <c r="L979" i="4"/>
  <c r="M788" i="4"/>
  <c r="N788" i="4" s="1"/>
  <c r="I818" i="4"/>
  <c r="H824" i="4"/>
  <c r="L824" i="4" s="1"/>
  <c r="L872" i="4"/>
  <c r="L875" i="4"/>
  <c r="L877" i="4"/>
  <c r="M881" i="4"/>
  <c r="N881" i="4" s="1"/>
  <c r="L888" i="4"/>
  <c r="M891" i="4"/>
  <c r="N891" i="4" s="1"/>
  <c r="H893" i="4"/>
  <c r="L893" i="4" s="1"/>
  <c r="M903" i="4"/>
  <c r="N903" i="4" s="1"/>
  <c r="L915" i="4"/>
  <c r="L967" i="4"/>
  <c r="L1020" i="4"/>
  <c r="M1032" i="4"/>
  <c r="N1032" i="4" s="1"/>
  <c r="L1046" i="4"/>
  <c r="L1053" i="4"/>
  <c r="H776" i="4"/>
  <c r="L776" i="4" s="1"/>
  <c r="G783" i="4"/>
  <c r="H798" i="4"/>
  <c r="L798" i="4" s="1"/>
  <c r="L815" i="4"/>
  <c r="M826" i="4"/>
  <c r="N826" i="4" s="1"/>
  <c r="M844" i="4"/>
  <c r="N844" i="4" s="1"/>
  <c r="L847" i="4"/>
  <c r="M894" i="4"/>
  <c r="N894" i="4" s="1"/>
  <c r="M901" i="4"/>
  <c r="N901" i="4" s="1"/>
  <c r="G912" i="4"/>
  <c r="M913" i="4"/>
  <c r="L980" i="4"/>
  <c r="M984" i="4"/>
  <c r="N984" i="4" s="1"/>
  <c r="L1002" i="4"/>
  <c r="L1010" i="4"/>
  <c r="L1014" i="4"/>
  <c r="M1022" i="4"/>
  <c r="N1022" i="4" s="1"/>
  <c r="L1024" i="4"/>
  <c r="M1046" i="4"/>
  <c r="N1046" i="4" s="1"/>
  <c r="M1053" i="4"/>
  <c r="N1053" i="4" s="1"/>
  <c r="L768" i="4"/>
  <c r="M785" i="4"/>
  <c r="N785" i="4" s="1"/>
  <c r="L830" i="4"/>
  <c r="M854" i="4"/>
  <c r="N854" i="4" s="1"/>
  <c r="L864" i="4"/>
  <c r="L869" i="4"/>
  <c r="L870" i="4"/>
  <c r="L904" i="4"/>
  <c r="L909" i="4"/>
  <c r="G996" i="4"/>
  <c r="L797" i="4"/>
  <c r="M798" i="4"/>
  <c r="N798" i="4" s="1"/>
  <c r="L839" i="4"/>
  <c r="L880" i="4"/>
  <c r="I893" i="4"/>
  <c r="M893" i="4" s="1"/>
  <c r="N893" i="4" s="1"/>
  <c r="L898" i="4"/>
  <c r="L911" i="4"/>
  <c r="L914" i="4"/>
  <c r="L917" i="4"/>
  <c r="I953" i="4"/>
  <c r="M963" i="4"/>
  <c r="N963" i="4" s="1"/>
  <c r="H969" i="4"/>
  <c r="L969" i="4" s="1"/>
  <c r="H972" i="4"/>
  <c r="L972" i="4" s="1"/>
  <c r="L993" i="4"/>
  <c r="L1000" i="4"/>
  <c r="M1040" i="4"/>
  <c r="L743" i="4"/>
  <c r="L752" i="4"/>
  <c r="I776" i="4"/>
  <c r="M776" i="4" s="1"/>
  <c r="N776" i="4" s="1"/>
  <c r="H784" i="4"/>
  <c r="L784" i="4" s="1"/>
  <c r="M786" i="4"/>
  <c r="N786" i="4" s="1"/>
  <c r="M790" i="4"/>
  <c r="N790" i="4" s="1"/>
  <c r="L809" i="4"/>
  <c r="L825" i="4"/>
  <c r="G830" i="4"/>
  <c r="L838" i="4"/>
  <c r="H868" i="4"/>
  <c r="L868" i="4" s="1"/>
  <c r="L876" i="4"/>
  <c r="M877" i="4"/>
  <c r="N877" i="4" s="1"/>
  <c r="L882" i="4"/>
  <c r="M885" i="4"/>
  <c r="N885" i="4" s="1"/>
  <c r="M888" i="4"/>
  <c r="N888" i="4" s="1"/>
  <c r="M900" i="4"/>
  <c r="N900" i="4" s="1"/>
  <c r="H902" i="4"/>
  <c r="L902" i="4" s="1"/>
  <c r="L907" i="4"/>
  <c r="M911" i="4"/>
  <c r="N911" i="4" s="1"/>
  <c r="M917" i="4"/>
  <c r="H945" i="4"/>
  <c r="L945" i="4" s="1"/>
  <c r="I969" i="4"/>
  <c r="G969" i="4" s="1"/>
  <c r="M979" i="4"/>
  <c r="N979" i="4" s="1"/>
  <c r="M1013" i="4"/>
  <c r="N1013" i="4" s="1"/>
  <c r="M1017" i="4"/>
  <c r="N1017" i="4" s="1"/>
  <c r="L1021" i="4"/>
  <c r="L1036" i="4"/>
  <c r="L1050" i="4"/>
  <c r="L1052" i="4"/>
  <c r="G797" i="4"/>
  <c r="M797" i="4"/>
  <c r="N797" i="4" s="1"/>
  <c r="M743" i="4"/>
  <c r="N743" i="4" s="1"/>
  <c r="G743" i="4"/>
  <c r="G723" i="4"/>
  <c r="M723" i="4"/>
  <c r="N723" i="4" s="1"/>
  <c r="M726" i="4"/>
  <c r="G726" i="4"/>
  <c r="G781" i="4"/>
  <c r="M781" i="4"/>
  <c r="N781" i="4" s="1"/>
  <c r="M749" i="4"/>
  <c r="N749" i="4" s="1"/>
  <c r="G749" i="4"/>
  <c r="G752" i="4"/>
  <c r="M752" i="4"/>
  <c r="N752" i="4" s="1"/>
  <c r="G718" i="4"/>
  <c r="M718" i="4"/>
  <c r="N718" i="4" s="1"/>
  <c r="G725" i="4"/>
  <c r="M727" i="4"/>
  <c r="N727" i="4" s="1"/>
  <c r="G727" i="4"/>
  <c r="M730" i="4"/>
  <c r="G730" i="4"/>
  <c r="M755" i="4"/>
  <c r="N755" i="4" s="1"/>
  <c r="G755" i="4"/>
  <c r="M769" i="4"/>
  <c r="N769" i="4" s="1"/>
  <c r="G769" i="4"/>
  <c r="M791" i="4"/>
  <c r="G791" i="4"/>
  <c r="M728" i="4"/>
  <c r="N728" i="4" s="1"/>
  <c r="I729" i="4"/>
  <c r="M729" i="4" s="1"/>
  <c r="N729" i="4" s="1"/>
  <c r="M737" i="4"/>
  <c r="N737" i="4" s="1"/>
  <c r="I740" i="4"/>
  <c r="M740" i="4" s="1"/>
  <c r="N740" i="4" s="1"/>
  <c r="G741" i="4"/>
  <c r="I764" i="4"/>
  <c r="M764" i="4" s="1"/>
  <c r="N764" i="4" s="1"/>
  <c r="G786" i="4"/>
  <c r="G788" i="4"/>
  <c r="G795" i="4"/>
  <c r="G814" i="4"/>
  <c r="G829" i="4"/>
  <c r="M829" i="4"/>
  <c r="N829" i="4" s="1"/>
  <c r="G850" i="4"/>
  <c r="M850" i="4"/>
  <c r="N850" i="4" s="1"/>
  <c r="M855" i="4"/>
  <c r="N855" i="4" s="1"/>
  <c r="G875" i="4"/>
  <c r="G901" i="4"/>
  <c r="G879" i="4"/>
  <c r="M879" i="4"/>
  <c r="N879" i="4" s="1"/>
  <c r="M724" i="4"/>
  <c r="N724" i="4" s="1"/>
  <c r="M744" i="4"/>
  <c r="N744" i="4" s="1"/>
  <c r="G747" i="4"/>
  <c r="M753" i="4"/>
  <c r="N753" i="4" s="1"/>
  <c r="M772" i="4"/>
  <c r="N772" i="4" s="1"/>
  <c r="L813" i="4"/>
  <c r="G823" i="4"/>
  <c r="M823" i="4"/>
  <c r="N823" i="4" s="1"/>
  <c r="G896" i="4"/>
  <c r="M896" i="4"/>
  <c r="N896" i="4" s="1"/>
  <c r="G916" i="4"/>
  <c r="M916" i="4"/>
  <c r="N916" i="4" s="1"/>
  <c r="G944" i="4"/>
  <c r="G851" i="4"/>
  <c r="M851" i="4"/>
  <c r="G922" i="4"/>
  <c r="M922" i="4"/>
  <c r="N922" i="4" s="1"/>
  <c r="G993" i="4"/>
  <c r="M993" i="4"/>
  <c r="N993" i="4" s="1"/>
  <c r="G720" i="4"/>
  <c r="L793" i="4"/>
  <c r="G794" i="4"/>
  <c r="M794" i="4"/>
  <c r="N794" i="4" s="1"/>
  <c r="G798" i="4"/>
  <c r="G816" i="4"/>
  <c r="L822" i="4"/>
  <c r="G828" i="4"/>
  <c r="M828" i="4"/>
  <c r="N828" i="4" s="1"/>
  <c r="G838" i="4"/>
  <c r="M838" i="4"/>
  <c r="N838" i="4" s="1"/>
  <c r="L842" i="4"/>
  <c r="G846" i="4"/>
  <c r="G852" i="4"/>
  <c r="M852" i="4"/>
  <c r="L857" i="4"/>
  <c r="G861" i="4"/>
  <c r="G867" i="4"/>
  <c r="M867" i="4"/>
  <c r="N867" i="4" s="1"/>
  <c r="G881" i="4"/>
  <c r="M882" i="4"/>
  <c r="N882" i="4" s="1"/>
  <c r="M898" i="4"/>
  <c r="N898" i="4" s="1"/>
  <c r="G900" i="4"/>
  <c r="G908" i="4"/>
  <c r="M908" i="4"/>
  <c r="N908" i="4" s="1"/>
  <c r="G942" i="4"/>
  <c r="M942" i="4"/>
  <c r="G968" i="4"/>
  <c r="M968" i="4"/>
  <c r="N968" i="4" s="1"/>
  <c r="M780" i="4"/>
  <c r="N780" i="4" s="1"/>
  <c r="G793" i="4"/>
  <c r="M793" i="4"/>
  <c r="N793" i="4" s="1"/>
  <c r="M796" i="4"/>
  <c r="N796" i="4" s="1"/>
  <c r="G822" i="4"/>
  <c r="M822" i="4"/>
  <c r="N822" i="4" s="1"/>
  <c r="M837" i="4"/>
  <c r="N837" i="4" s="1"/>
  <c r="L860" i="4"/>
  <c r="G864" i="4"/>
  <c r="M864" i="4"/>
  <c r="N864" i="4" s="1"/>
  <c r="L867" i="4"/>
  <c r="G807" i="4"/>
  <c r="M807" i="4"/>
  <c r="N807" i="4" s="1"/>
  <c r="G857" i="4"/>
  <c r="M857" i="4"/>
  <c r="N857" i="4" s="1"/>
  <c r="G884" i="4"/>
  <c r="M884" i="4"/>
  <c r="N884" i="4" s="1"/>
  <c r="G958" i="4"/>
  <c r="G803" i="4"/>
  <c r="M803" i="4"/>
  <c r="N803" i="4" s="1"/>
  <c r="G820" i="4"/>
  <c r="M820" i="4"/>
  <c r="N820" i="4" s="1"/>
  <c r="H782" i="4"/>
  <c r="L782" i="4" s="1"/>
  <c r="L806" i="4"/>
  <c r="G825" i="4"/>
  <c r="M825" i="4"/>
  <c r="N825" i="4" s="1"/>
  <c r="G834" i="4"/>
  <c r="M834" i="4"/>
  <c r="N834" i="4" s="1"/>
  <c r="G860" i="4"/>
  <c r="M860" i="4"/>
  <c r="N860" i="4" s="1"/>
  <c r="G880" i="4"/>
  <c r="M880" i="4"/>
  <c r="G883" i="4"/>
  <c r="M883" i="4"/>
  <c r="N883" i="4" s="1"/>
  <c r="G926" i="4"/>
  <c r="M932" i="4"/>
  <c r="G932" i="4"/>
  <c r="M935" i="4"/>
  <c r="G935" i="4"/>
  <c r="G841" i="4"/>
  <c r="M841" i="4"/>
  <c r="N841" i="4" s="1"/>
  <c r="I784" i="4"/>
  <c r="M784" i="4" s="1"/>
  <c r="N784" i="4" s="1"/>
  <c r="G806" i="4"/>
  <c r="M806" i="4"/>
  <c r="N806" i="4" s="1"/>
  <c r="G827" i="4"/>
  <c r="L841" i="4"/>
  <c r="G870" i="4"/>
  <c r="M870" i="4"/>
  <c r="N870" i="4" s="1"/>
  <c r="L879" i="4"/>
  <c r="M895" i="4"/>
  <c r="N895" i="4" s="1"/>
  <c r="M907" i="4"/>
  <c r="N907" i="4" s="1"/>
  <c r="M918" i="4"/>
  <c r="G918" i="4"/>
  <c r="G937" i="4"/>
  <c r="M937" i="4"/>
  <c r="M959" i="4"/>
  <c r="N959" i="4" s="1"/>
  <c r="G989" i="4"/>
  <c r="M989" i="4"/>
  <c r="N989" i="4" s="1"/>
  <c r="G1000" i="4"/>
  <c r="M1000" i="4"/>
  <c r="N1000" i="4" s="1"/>
  <c r="G887" i="4"/>
  <c r="H905" i="4"/>
  <c r="L905" i="4" s="1"/>
  <c r="G948" i="4"/>
  <c r="M948" i="4"/>
  <c r="G952" i="4"/>
  <c r="M952" i="4"/>
  <c r="N952" i="4" s="1"/>
  <c r="G976" i="4"/>
  <c r="M995" i="4"/>
  <c r="M1055" i="4"/>
  <c r="N1055" i="4" s="1"/>
  <c r="G832" i="4"/>
  <c r="G936" i="4"/>
  <c r="L906" i="4"/>
  <c r="G917" i="4"/>
  <c r="L920" i="4"/>
  <c r="M925" i="4"/>
  <c r="G925" i="4"/>
  <c r="G938" i="4"/>
  <c r="M938" i="4"/>
  <c r="I945" i="4"/>
  <c r="M945" i="4" s="1"/>
  <c r="G951" i="4"/>
  <c r="H953" i="4"/>
  <c r="L953" i="4" s="1"/>
  <c r="L954" i="4"/>
  <c r="G962" i="4"/>
  <c r="G973" i="4"/>
  <c r="M973" i="4"/>
  <c r="N973" i="4" s="1"/>
  <c r="I977" i="4"/>
  <c r="M977" i="4" s="1"/>
  <c r="N977" i="4" s="1"/>
  <c r="I982" i="4"/>
  <c r="M982" i="4" s="1"/>
  <c r="N982" i="4" s="1"/>
  <c r="G997" i="4"/>
  <c r="M997" i="4"/>
  <c r="N997" i="4" s="1"/>
  <c r="M923" i="4"/>
  <c r="G947" i="4"/>
  <c r="M947" i="4"/>
  <c r="M966" i="4"/>
  <c r="N966" i="4" s="1"/>
  <c r="G987" i="4"/>
  <c r="M988" i="4"/>
  <c r="N988" i="4" s="1"/>
  <c r="L1054" i="4"/>
  <c r="M915" i="4"/>
  <c r="N915" i="4" s="1"/>
  <c r="M920" i="4"/>
  <c r="M954" i="4"/>
  <c r="N954" i="4" s="1"/>
  <c r="M967" i="4"/>
  <c r="N967" i="4" s="1"/>
  <c r="G1051" i="4"/>
  <c r="M366" i="4"/>
  <c r="N366" i="4" s="1"/>
  <c r="G366" i="4"/>
  <c r="M389" i="4"/>
  <c r="N389" i="4" s="1"/>
  <c r="G389" i="4"/>
  <c r="M392" i="4"/>
  <c r="G392" i="4"/>
  <c r="M373" i="4"/>
  <c r="N373" i="4" s="1"/>
  <c r="G373" i="4"/>
  <c r="G376" i="4"/>
  <c r="M376" i="4"/>
  <c r="N376" i="4" s="1"/>
  <c r="G407" i="4"/>
  <c r="M407" i="4"/>
  <c r="N407" i="4" s="1"/>
  <c r="M381" i="4"/>
  <c r="G381" i="4"/>
  <c r="M386" i="4"/>
  <c r="G386" i="4"/>
  <c r="G391" i="4"/>
  <c r="M391" i="4"/>
  <c r="N391" i="4" s="1"/>
  <c r="G364" i="4"/>
  <c r="M364" i="4"/>
  <c r="N364" i="4" s="1"/>
  <c r="G371" i="4"/>
  <c r="M371" i="4"/>
  <c r="N371" i="4" s="1"/>
  <c r="G374" i="4"/>
  <c r="M374" i="4"/>
  <c r="N374" i="4" s="1"/>
  <c r="G455" i="4"/>
  <c r="M455" i="4"/>
  <c r="N455" i="4" s="1"/>
  <c r="G372" i="4"/>
  <c r="G375" i="4"/>
  <c r="G387" i="4"/>
  <c r="I390" i="4"/>
  <c r="G394" i="4"/>
  <c r="G397" i="4"/>
  <c r="M402" i="4"/>
  <c r="N402" i="4" s="1"/>
  <c r="I412" i="4"/>
  <c r="M412" i="4" s="1"/>
  <c r="G439" i="4"/>
  <c r="M439" i="4"/>
  <c r="N439" i="4" s="1"/>
  <c r="G442" i="4"/>
  <c r="M442" i="4"/>
  <c r="N442" i="4" s="1"/>
  <c r="G459" i="4"/>
  <c r="M459" i="4"/>
  <c r="N459" i="4" s="1"/>
  <c r="G481" i="4"/>
  <c r="M481" i="4"/>
  <c r="N481" i="4" s="1"/>
  <c r="M485" i="4"/>
  <c r="N485" i="4" s="1"/>
  <c r="M493" i="4"/>
  <c r="N493" i="4" s="1"/>
  <c r="G497" i="4"/>
  <c r="M497" i="4"/>
  <c r="N497" i="4" s="1"/>
  <c r="L509" i="4"/>
  <c r="G521" i="4"/>
  <c r="M521" i="4"/>
  <c r="N521" i="4" s="1"/>
  <c r="G609" i="4"/>
  <c r="M609" i="4"/>
  <c r="N609" i="4" s="1"/>
  <c r="M520" i="4"/>
  <c r="N520" i="4" s="1"/>
  <c r="G520" i="4"/>
  <c r="I406" i="4"/>
  <c r="M406" i="4" s="1"/>
  <c r="G430" i="4"/>
  <c r="M430" i="4"/>
  <c r="N430" i="4" s="1"/>
  <c r="L442" i="4"/>
  <c r="G444" i="4"/>
  <c r="M444" i="4"/>
  <c r="N444" i="4" s="1"/>
  <c r="G478" i="4"/>
  <c r="M478" i="4"/>
  <c r="G506" i="4"/>
  <c r="M506" i="4"/>
  <c r="N506" i="4" s="1"/>
  <c r="G509" i="4"/>
  <c r="M509" i="4"/>
  <c r="N509" i="4" s="1"/>
  <c r="M526" i="4"/>
  <c r="N526" i="4" s="1"/>
  <c r="G526" i="4"/>
  <c r="G529" i="4"/>
  <c r="M529" i="4"/>
  <c r="N529" i="4" s="1"/>
  <c r="M379" i="4"/>
  <c r="G413" i="4"/>
  <c r="M418" i="4"/>
  <c r="G418" i="4"/>
  <c r="I429" i="4"/>
  <c r="M429" i="4" s="1"/>
  <c r="N429" i="4" s="1"/>
  <c r="G429" i="4"/>
  <c r="I441" i="4"/>
  <c r="M441" i="4" s="1"/>
  <c r="N441" i="4" s="1"/>
  <c r="G467" i="4"/>
  <c r="M467" i="4"/>
  <c r="N467" i="4" s="1"/>
  <c r="G483" i="4"/>
  <c r="M483" i="4"/>
  <c r="N483" i="4" s="1"/>
  <c r="M494" i="4"/>
  <c r="G643" i="4"/>
  <c r="M643" i="4"/>
  <c r="G438" i="4"/>
  <c r="M438" i="4"/>
  <c r="N438" i="4" s="1"/>
  <c r="G490" i="4"/>
  <c r="M490" i="4"/>
  <c r="G426" i="4"/>
  <c r="M426" i="4"/>
  <c r="N426" i="4" s="1"/>
  <c r="I437" i="4"/>
  <c r="M437" i="4" s="1"/>
  <c r="N437" i="4" s="1"/>
  <c r="G437" i="4"/>
  <c r="G465" i="4"/>
  <c r="M465" i="4"/>
  <c r="N465" i="4" s="1"/>
  <c r="G477" i="4"/>
  <c r="M477" i="4"/>
  <c r="N477" i="4" s="1"/>
  <c r="G489" i="4"/>
  <c r="M489" i="4"/>
  <c r="N489" i="4" s="1"/>
  <c r="G508" i="4"/>
  <c r="M508" i="4"/>
  <c r="N508" i="4" s="1"/>
  <c r="G513" i="4"/>
  <c r="M513" i="4"/>
  <c r="N513" i="4" s="1"/>
  <c r="G528" i="4"/>
  <c r="M528" i="4"/>
  <c r="N528" i="4" s="1"/>
  <c r="M365" i="4"/>
  <c r="N365" i="4" s="1"/>
  <c r="G417" i="4"/>
  <c r="M417" i="4"/>
  <c r="N417" i="4" s="1"/>
  <c r="M428" i="4"/>
  <c r="N428" i="4" s="1"/>
  <c r="G428" i="4"/>
  <c r="I471" i="4"/>
  <c r="M471" i="4" s="1"/>
  <c r="G495" i="4"/>
  <c r="M495" i="4"/>
  <c r="N495" i="4" s="1"/>
  <c r="M515" i="4"/>
  <c r="N515" i="4" s="1"/>
  <c r="G515" i="4"/>
  <c r="G518" i="4"/>
  <c r="M518" i="4"/>
  <c r="N518" i="4" s="1"/>
  <c r="M523" i="4"/>
  <c r="N523" i="4" s="1"/>
  <c r="G523" i="4"/>
  <c r="M550" i="4"/>
  <c r="N550" i="4" s="1"/>
  <c r="G550" i="4"/>
  <c r="G599" i="4"/>
  <c r="M599" i="4"/>
  <c r="N599" i="4" s="1"/>
  <c r="H394" i="4"/>
  <c r="L394" i="4" s="1"/>
  <c r="M425" i="4"/>
  <c r="N425" i="4" s="1"/>
  <c r="G425" i="4"/>
  <c r="G433" i="4"/>
  <c r="M433" i="4"/>
  <c r="M448" i="4"/>
  <c r="G448" i="4"/>
  <c r="G463" i="4"/>
  <c r="M463" i="4"/>
  <c r="N463" i="4" s="1"/>
  <c r="M507" i="4"/>
  <c r="N507" i="4" s="1"/>
  <c r="G507" i="4"/>
  <c r="H512" i="4"/>
  <c r="L512" i="4" s="1"/>
  <c r="I530" i="4"/>
  <c r="M530" i="4" s="1"/>
  <c r="G553" i="4"/>
  <c r="M553" i="4"/>
  <c r="N553" i="4" s="1"/>
  <c r="G596" i="4"/>
  <c r="M596" i="4"/>
  <c r="N596" i="4" s="1"/>
  <c r="G626" i="4"/>
  <c r="M626" i="4"/>
  <c r="M480" i="4"/>
  <c r="N480" i="4" s="1"/>
  <c r="G480" i="4"/>
  <c r="H419" i="4"/>
  <c r="L419" i="4" s="1"/>
  <c r="L459" i="4"/>
  <c r="M487" i="4"/>
  <c r="N487" i="4" s="1"/>
  <c r="M502" i="4"/>
  <c r="G502" i="4"/>
  <c r="M512" i="4"/>
  <c r="N512" i="4" s="1"/>
  <c r="M525" i="4"/>
  <c r="G525" i="4"/>
  <c r="G527" i="4"/>
  <c r="M527" i="4"/>
  <c r="N527" i="4" s="1"/>
  <c r="G542" i="4"/>
  <c r="M542" i="4"/>
  <c r="N542" i="4" s="1"/>
  <c r="M558" i="4"/>
  <c r="N558" i="4" s="1"/>
  <c r="G558" i="4"/>
  <c r="I445" i="4"/>
  <c r="M445" i="4" s="1"/>
  <c r="I479" i="4"/>
  <c r="M479" i="4" s="1"/>
  <c r="N479" i="4" s="1"/>
  <c r="I519" i="4"/>
  <c r="M519" i="4" s="1"/>
  <c r="N519" i="4" s="1"/>
  <c r="I522" i="4"/>
  <c r="M522" i="4" s="1"/>
  <c r="N522" i="4" s="1"/>
  <c r="M545" i="4"/>
  <c r="N545" i="4" s="1"/>
  <c r="M597" i="4"/>
  <c r="N597" i="4" s="1"/>
  <c r="M623" i="4"/>
  <c r="G623" i="4"/>
  <c r="G637" i="4"/>
  <c r="M637" i="4"/>
  <c r="M640" i="4"/>
  <c r="G640" i="4"/>
  <c r="G556" i="4"/>
  <c r="M556" i="4"/>
  <c r="N556" i="4" s="1"/>
  <c r="G570" i="4"/>
  <c r="M570" i="4"/>
  <c r="N570" i="4" s="1"/>
  <c r="M573" i="4"/>
  <c r="N573" i="4" s="1"/>
  <c r="G573" i="4"/>
  <c r="G577" i="4"/>
  <c r="M577" i="4"/>
  <c r="N577" i="4" s="1"/>
  <c r="G595" i="4"/>
  <c r="M595" i="4"/>
  <c r="N595" i="4" s="1"/>
  <c r="M608" i="4"/>
  <c r="N608" i="4" s="1"/>
  <c r="G608" i="4"/>
  <c r="M634" i="4"/>
  <c r="G634" i="4"/>
  <c r="G644" i="4"/>
  <c r="M644" i="4"/>
  <c r="G461" i="4"/>
  <c r="M552" i="4"/>
  <c r="N552" i="4" s="1"/>
  <c r="G564" i="4"/>
  <c r="G598" i="4"/>
  <c r="M598" i="4"/>
  <c r="N598" i="4" s="1"/>
  <c r="G603" i="4"/>
  <c r="M603" i="4"/>
  <c r="N603" i="4" s="1"/>
  <c r="G606" i="4"/>
  <c r="M606" i="4"/>
  <c r="N606" i="4" s="1"/>
  <c r="G618" i="4"/>
  <c r="M618" i="4"/>
  <c r="M624" i="4"/>
  <c r="G624" i="4"/>
  <c r="G638" i="4"/>
  <c r="M638" i="4"/>
  <c r="L659" i="4"/>
  <c r="L673" i="4"/>
  <c r="G512" i="4"/>
  <c r="M564" i="4"/>
  <c r="N564" i="4" s="1"/>
  <c r="G567" i="4"/>
  <c r="M567" i="4"/>
  <c r="N567" i="4" s="1"/>
  <c r="G580" i="4"/>
  <c r="M580" i="4"/>
  <c r="N580" i="4" s="1"/>
  <c r="I587" i="4"/>
  <c r="M587" i="4" s="1"/>
  <c r="N587" i="4" s="1"/>
  <c r="G590" i="4"/>
  <c r="M590" i="4"/>
  <c r="N590" i="4" s="1"/>
  <c r="M615" i="4"/>
  <c r="N615" i="4" s="1"/>
  <c r="G615" i="4"/>
  <c r="M632" i="4"/>
  <c r="G632" i="4"/>
  <c r="H641" i="4"/>
  <c r="L641" i="4" s="1"/>
  <c r="M576" i="4"/>
  <c r="N576" i="4" s="1"/>
  <c r="G576" i="4"/>
  <c r="M605" i="4"/>
  <c r="N605" i="4" s="1"/>
  <c r="G605" i="4"/>
  <c r="G610" i="4"/>
  <c r="M610" i="4"/>
  <c r="N610" i="4" s="1"/>
  <c r="G613" i="4"/>
  <c r="M613" i="4"/>
  <c r="N613" i="4" s="1"/>
  <c r="M696" i="4"/>
  <c r="I579" i="4"/>
  <c r="M579" i="4" s="1"/>
  <c r="N579" i="4" s="1"/>
  <c r="G579" i="4"/>
  <c r="G589" i="4"/>
  <c r="M589" i="4"/>
  <c r="N589" i="4" s="1"/>
  <c r="G602" i="4"/>
  <c r="M602" i="4"/>
  <c r="N602" i="4" s="1"/>
  <c r="M645" i="4"/>
  <c r="I559" i="4"/>
  <c r="G562" i="4"/>
  <c r="M562" i="4"/>
  <c r="N562" i="4" s="1"/>
  <c r="G584" i="4"/>
  <c r="M584" i="4"/>
  <c r="N584" i="4" s="1"/>
  <c r="M612" i="4"/>
  <c r="N612" i="4" s="1"/>
  <c r="G612" i="4"/>
  <c r="M620" i="4"/>
  <c r="G620" i="4"/>
  <c r="M688" i="4"/>
  <c r="N688" i="4" s="1"/>
  <c r="M563" i="4"/>
  <c r="M578" i="4"/>
  <c r="N578" i="4" s="1"/>
  <c r="M581" i="4"/>
  <c r="N581" i="4" s="1"/>
  <c r="G641" i="4"/>
  <c r="M604" i="4"/>
  <c r="N604" i="4" s="1"/>
  <c r="M611" i="4"/>
  <c r="N611" i="4" s="1"/>
  <c r="M167" i="4"/>
  <c r="N167" i="4" s="1"/>
  <c r="G167" i="4"/>
  <c r="G14" i="4"/>
  <c r="M14" i="4"/>
  <c r="N14" i="4" s="1"/>
  <c r="M97" i="4"/>
  <c r="N97" i="4" s="1"/>
  <c r="G97" i="4"/>
  <c r="M161" i="4"/>
  <c r="N161" i="4" s="1"/>
  <c r="G161" i="4"/>
  <c r="M193" i="4"/>
  <c r="N193" i="4" s="1"/>
  <c r="G193" i="4"/>
  <c r="G224" i="4"/>
  <c r="M224" i="4"/>
  <c r="N224" i="4" s="1"/>
  <c r="G259" i="4"/>
  <c r="M259" i="4"/>
  <c r="G11" i="4"/>
  <c r="M11" i="4"/>
  <c r="N11" i="4" s="1"/>
  <c r="M95" i="4"/>
  <c r="N95" i="4" s="1"/>
  <c r="G95" i="4"/>
  <c r="M114" i="4"/>
  <c r="N114" i="4" s="1"/>
  <c r="G114" i="4"/>
  <c r="L30" i="4"/>
  <c r="L31" i="4"/>
  <c r="M137" i="4"/>
  <c r="G137" i="4"/>
  <c r="M145" i="4"/>
  <c r="N145" i="4" s="1"/>
  <c r="G145" i="4"/>
  <c r="M164" i="4"/>
  <c r="N164" i="4" s="1"/>
  <c r="G164" i="4"/>
  <c r="G260" i="4"/>
  <c r="M260" i="4"/>
  <c r="G276" i="4"/>
  <c r="M276" i="4"/>
  <c r="I4" i="4"/>
  <c r="G4" i="4" s="1"/>
  <c r="G6" i="4"/>
  <c r="M6" i="4"/>
  <c r="N6" i="4" s="1"/>
  <c r="L53" i="4"/>
  <c r="H63" i="4"/>
  <c r="L63" i="4" s="1"/>
  <c r="M162" i="4"/>
  <c r="N162" i="4" s="1"/>
  <c r="M188" i="4"/>
  <c r="G188" i="4"/>
  <c r="G258" i="4"/>
  <c r="M258" i="4"/>
  <c r="I204" i="4"/>
  <c r="G221" i="4"/>
  <c r="M221" i="4"/>
  <c r="L129" i="4"/>
  <c r="G156" i="4"/>
  <c r="M156" i="4"/>
  <c r="N156" i="4" s="1"/>
  <c r="M159" i="4"/>
  <c r="N159" i="4" s="1"/>
  <c r="G159" i="4"/>
  <c r="M196" i="4"/>
  <c r="N196" i="4" s="1"/>
  <c r="G196" i="4"/>
  <c r="H229" i="4"/>
  <c r="L229" i="4" s="1"/>
  <c r="H238" i="4"/>
  <c r="L238" i="4" s="1"/>
  <c r="G17" i="4"/>
  <c r="M17" i="4"/>
  <c r="N17" i="4" s="1"/>
  <c r="G27" i="4"/>
  <c r="M27" i="4"/>
  <c r="N27" i="4" s="1"/>
  <c r="L144" i="4"/>
  <c r="L182" i="4"/>
  <c r="L236" i="4"/>
  <c r="G24" i="4"/>
  <c r="M24" i="4"/>
  <c r="N24" i="4" s="1"/>
  <c r="G168" i="4"/>
  <c r="M174" i="4"/>
  <c r="N174" i="4" s="1"/>
  <c r="G174" i="4"/>
  <c r="L227" i="4"/>
  <c r="L245" i="4"/>
  <c r="L39" i="4"/>
  <c r="L79" i="4"/>
  <c r="L86" i="4"/>
  <c r="L110" i="4"/>
  <c r="L118" i="4"/>
  <c r="L132" i="4"/>
  <c r="M142" i="4"/>
  <c r="N142" i="4" s="1"/>
  <c r="L151" i="4"/>
  <c r="L159" i="4"/>
  <c r="L184" i="4"/>
  <c r="M190" i="4"/>
  <c r="N190" i="4" s="1"/>
  <c r="H241" i="4"/>
  <c r="L241" i="4" s="1"/>
  <c r="M242" i="4"/>
  <c r="N242" i="4" s="1"/>
  <c r="M297" i="4"/>
  <c r="N297" i="4" s="1"/>
  <c r="M307" i="4"/>
  <c r="N307" i="4" s="1"/>
  <c r="L311" i="4"/>
  <c r="L314" i="4"/>
  <c r="M313" i="4"/>
  <c r="N313" i="4" s="1"/>
  <c r="M318" i="4"/>
  <c r="N318" i="4" s="1"/>
  <c r="M325" i="4"/>
  <c r="M343" i="4"/>
  <c r="N343" i="4" s="1"/>
  <c r="L361" i="4"/>
  <c r="M202" i="4"/>
  <c r="N202" i="4" s="1"/>
  <c r="L217" i="4"/>
  <c r="L231" i="4"/>
  <c r="G262" i="4"/>
  <c r="H26" i="4"/>
  <c r="L26" i="4" s="1"/>
  <c r="H29" i="4"/>
  <c r="L29" i="4" s="1"/>
  <c r="M35" i="4"/>
  <c r="N35" i="4" s="1"/>
  <c r="I44" i="4"/>
  <c r="M44" i="4" s="1"/>
  <c r="N44" i="4" s="1"/>
  <c r="L73" i="4"/>
  <c r="L87" i="4"/>
  <c r="H116" i="4"/>
  <c r="L116" i="4" s="1"/>
  <c r="H126" i="4"/>
  <c r="L126" i="4" s="1"/>
  <c r="L145" i="4"/>
  <c r="M151" i="4"/>
  <c r="N151" i="4" s="1"/>
  <c r="H157" i="4"/>
  <c r="L157" i="4" s="1"/>
  <c r="M175" i="4"/>
  <c r="N175" i="4" s="1"/>
  <c r="L191" i="4"/>
  <c r="M198" i="4"/>
  <c r="N198" i="4" s="1"/>
  <c r="M219" i="4"/>
  <c r="N219" i="4" s="1"/>
  <c r="L222" i="4"/>
  <c r="L237" i="4"/>
  <c r="L332" i="4"/>
  <c r="L335" i="4"/>
  <c r="L360" i="4"/>
  <c r="H13" i="4"/>
  <c r="L13" i="4" s="1"/>
  <c r="I26" i="4"/>
  <c r="G26" i="4" s="1"/>
  <c r="I29" i="4"/>
  <c r="M29" i="4" s="1"/>
  <c r="N29" i="4" s="1"/>
  <c r="I107" i="4"/>
  <c r="M107" i="4" s="1"/>
  <c r="I126" i="4"/>
  <c r="G126" i="4" s="1"/>
  <c r="L149" i="4"/>
  <c r="L195" i="4"/>
  <c r="M215" i="4"/>
  <c r="N215" i="4" s="1"/>
  <c r="G219" i="4"/>
  <c r="L234" i="4"/>
  <c r="M264" i="4"/>
  <c r="M275" i="4"/>
  <c r="M280" i="4"/>
  <c r="L288" i="4"/>
  <c r="L296" i="4"/>
  <c r="L334" i="4"/>
  <c r="G352" i="4"/>
  <c r="M361" i="4"/>
  <c r="N361" i="4" s="1"/>
  <c r="L7" i="4"/>
  <c r="I72" i="4"/>
  <c r="M72" i="4" s="1"/>
  <c r="N72" i="4" s="1"/>
  <c r="H81" i="4"/>
  <c r="L81" i="4" s="1"/>
  <c r="L93" i="4"/>
  <c r="M96" i="4"/>
  <c r="N96" i="4" s="1"/>
  <c r="M106" i="4"/>
  <c r="L113" i="4"/>
  <c r="M147" i="4"/>
  <c r="N147" i="4" s="1"/>
  <c r="M150" i="4"/>
  <c r="N150" i="4" s="1"/>
  <c r="L154" i="4"/>
  <c r="M158" i="4"/>
  <c r="N158" i="4" s="1"/>
  <c r="L170" i="4"/>
  <c r="L208" i="4"/>
  <c r="L210" i="4"/>
  <c r="M288" i="4"/>
  <c r="N288" i="4" s="1"/>
  <c r="M298" i="4"/>
  <c r="N298" i="4" s="1"/>
  <c r="M314" i="4"/>
  <c r="N314" i="4" s="1"/>
  <c r="L321" i="4"/>
  <c r="L330" i="4"/>
  <c r="L338" i="4"/>
  <c r="L346" i="4"/>
  <c r="M7" i="4"/>
  <c r="N7" i="4" s="1"/>
  <c r="L24" i="4"/>
  <c r="M28" i="4"/>
  <c r="N28" i="4" s="1"/>
  <c r="L41" i="4"/>
  <c r="L47" i="4"/>
  <c r="H52" i="4"/>
  <c r="L52" i="4" s="1"/>
  <c r="L59" i="4"/>
  <c r="H72" i="4"/>
  <c r="L72" i="4" s="1"/>
  <c r="L95" i="4"/>
  <c r="L141" i="4"/>
  <c r="L161" i="4"/>
  <c r="L167" i="4"/>
  <c r="G234" i="4"/>
  <c r="M319" i="4"/>
  <c r="L324" i="4"/>
  <c r="L325" i="4"/>
  <c r="L337" i="4"/>
  <c r="G12" i="4"/>
  <c r="M12" i="4"/>
  <c r="N12" i="4" s="1"/>
  <c r="M50" i="4"/>
  <c r="G50" i="4"/>
  <c r="G15" i="4"/>
  <c r="M15" i="4"/>
  <c r="M41" i="4"/>
  <c r="N41" i="4" s="1"/>
  <c r="G41" i="4"/>
  <c r="G47" i="4"/>
  <c r="M47" i="4"/>
  <c r="N47" i="4" s="1"/>
  <c r="G59" i="4"/>
  <c r="M59" i="4"/>
  <c r="N59" i="4" s="1"/>
  <c r="G79" i="4"/>
  <c r="M79" i="4"/>
  <c r="N79" i="4" s="1"/>
  <c r="G86" i="4"/>
  <c r="M86" i="4"/>
  <c r="N86" i="4" s="1"/>
  <c r="G13" i="4"/>
  <c r="M13" i="4"/>
  <c r="N13" i="4" s="1"/>
  <c r="M30" i="4"/>
  <c r="N30" i="4" s="1"/>
  <c r="G30" i="4"/>
  <c r="G33" i="4"/>
  <c r="M33" i="4"/>
  <c r="N33" i="4" s="1"/>
  <c r="M4" i="4"/>
  <c r="N4" i="4" s="1"/>
  <c r="M19" i="4"/>
  <c r="G19" i="4"/>
  <c r="M39" i="4"/>
  <c r="N39" i="4" s="1"/>
  <c r="G39" i="4"/>
  <c r="M43" i="4"/>
  <c r="N43" i="4" s="1"/>
  <c r="G43" i="4"/>
  <c r="M46" i="4"/>
  <c r="N46" i="4" s="1"/>
  <c r="G46" i="4"/>
  <c r="M60" i="4"/>
  <c r="N60" i="4" s="1"/>
  <c r="G60" i="4"/>
  <c r="M99" i="4"/>
  <c r="G99" i="4"/>
  <c r="G25" i="4"/>
  <c r="M25" i="4"/>
  <c r="N25" i="4" s="1"/>
  <c r="M40" i="4"/>
  <c r="G40" i="4"/>
  <c r="G53" i="4"/>
  <c r="M53" i="4"/>
  <c r="N53" i="4" s="1"/>
  <c r="G18" i="4"/>
  <c r="M18" i="4"/>
  <c r="N18" i="4" s="1"/>
  <c r="M80" i="4"/>
  <c r="G80" i="4"/>
  <c r="M87" i="4"/>
  <c r="N87" i="4" s="1"/>
  <c r="G87" i="4"/>
  <c r="M62" i="4"/>
  <c r="N62" i="4" s="1"/>
  <c r="M77" i="4"/>
  <c r="M82" i="4"/>
  <c r="G115" i="4"/>
  <c r="G118" i="4"/>
  <c r="M118" i="4"/>
  <c r="N118" i="4" s="1"/>
  <c r="G143" i="4"/>
  <c r="M143" i="4"/>
  <c r="N143" i="4" s="1"/>
  <c r="G177" i="4"/>
  <c r="M177" i="4"/>
  <c r="N177" i="4" s="1"/>
  <c r="G182" i="4"/>
  <c r="M182" i="4"/>
  <c r="N182" i="4" s="1"/>
  <c r="G203" i="4"/>
  <c r="M203" i="4"/>
  <c r="M16" i="4"/>
  <c r="M23" i="4"/>
  <c r="M112" i="4"/>
  <c r="N112" i="4" s="1"/>
  <c r="M125" i="4"/>
  <c r="G125" i="4"/>
  <c r="G129" i="4"/>
  <c r="M129" i="4"/>
  <c r="N129" i="4" s="1"/>
  <c r="M132" i="4"/>
  <c r="N132" i="4" s="1"/>
  <c r="G134" i="4"/>
  <c r="M134" i="4"/>
  <c r="N134" i="4" s="1"/>
  <c r="I163" i="4"/>
  <c r="M163" i="4" s="1"/>
  <c r="G166" i="4"/>
  <c r="M166" i="4"/>
  <c r="N166" i="4" s="1"/>
  <c r="M197" i="4"/>
  <c r="N197" i="4" s="1"/>
  <c r="G197" i="4"/>
  <c r="M8" i="4"/>
  <c r="N8" i="4" s="1"/>
  <c r="M34" i="4"/>
  <c r="N34" i="4" s="1"/>
  <c r="M57" i="4"/>
  <c r="N57" i="4" s="1"/>
  <c r="G83" i="4"/>
  <c r="M109" i="4"/>
  <c r="N109" i="4" s="1"/>
  <c r="G120" i="4"/>
  <c r="M120" i="4"/>
  <c r="N120" i="4" s="1"/>
  <c r="G133" i="4"/>
  <c r="M133" i="4"/>
  <c r="N133" i="4" s="1"/>
  <c r="G139" i="4"/>
  <c r="M139" i="4"/>
  <c r="N139" i="4" s="1"/>
  <c r="H165" i="4"/>
  <c r="L165" i="4" s="1"/>
  <c r="G55" i="4"/>
  <c r="L100" i="4"/>
  <c r="I116" i="4"/>
  <c r="M116" i="4" s="1"/>
  <c r="N116" i="4" s="1"/>
  <c r="G124" i="4"/>
  <c r="M124" i="4"/>
  <c r="N124" i="4" s="1"/>
  <c r="M127" i="4"/>
  <c r="M131" i="4"/>
  <c r="G131" i="4"/>
  <c r="M165" i="4"/>
  <c r="N165" i="4" s="1"/>
  <c r="M185" i="4"/>
  <c r="G185" i="4"/>
  <c r="G244" i="4"/>
  <c r="M244" i="4"/>
  <c r="N244" i="4" s="1"/>
  <c r="M74" i="4"/>
  <c r="N74" i="4" s="1"/>
  <c r="G81" i="4"/>
  <c r="G108" i="4"/>
  <c r="M108" i="4"/>
  <c r="L112" i="4"/>
  <c r="G113" i="4"/>
  <c r="M113" i="4"/>
  <c r="N113" i="4" s="1"/>
  <c r="M119" i="4"/>
  <c r="N119" i="4" s="1"/>
  <c r="G119" i="4"/>
  <c r="G122" i="4"/>
  <c r="M122" i="4"/>
  <c r="N122" i="4" s="1"/>
  <c r="G154" i="4"/>
  <c r="M154" i="4"/>
  <c r="N154" i="4" s="1"/>
  <c r="M187" i="4"/>
  <c r="G187" i="4"/>
  <c r="G191" i="4"/>
  <c r="M191" i="4"/>
  <c r="N191" i="4" s="1"/>
  <c r="G110" i="4"/>
  <c r="M110" i="4"/>
  <c r="N110" i="4" s="1"/>
  <c r="G93" i="4"/>
  <c r="M93" i="4"/>
  <c r="N93" i="4" s="1"/>
  <c r="G104" i="4"/>
  <c r="M130" i="4"/>
  <c r="N130" i="4" s="1"/>
  <c r="G130" i="4"/>
  <c r="G144" i="4"/>
  <c r="M144" i="4"/>
  <c r="N144" i="4" s="1"/>
  <c r="G152" i="4"/>
  <c r="M152" i="4"/>
  <c r="N152" i="4" s="1"/>
  <c r="M184" i="4"/>
  <c r="N184" i="4" s="1"/>
  <c r="G184" i="4"/>
  <c r="M240" i="4"/>
  <c r="N240" i="4" s="1"/>
  <c r="G240" i="4"/>
  <c r="G186" i="4"/>
  <c r="L193" i="4"/>
  <c r="G213" i="4"/>
  <c r="M213" i="4"/>
  <c r="N213" i="4" s="1"/>
  <c r="M220" i="4"/>
  <c r="N220" i="4" s="1"/>
  <c r="G236" i="4"/>
  <c r="M236" i="4"/>
  <c r="N236" i="4" s="1"/>
  <c r="M268" i="4"/>
  <c r="G268" i="4"/>
  <c r="G192" i="4"/>
  <c r="M192" i="4"/>
  <c r="N192" i="4" s="1"/>
  <c r="G218" i="4"/>
  <c r="M218" i="4"/>
  <c r="N218" i="4" s="1"/>
  <c r="G233" i="4"/>
  <c r="M233" i="4"/>
  <c r="N233" i="4" s="1"/>
  <c r="M253" i="4"/>
  <c r="N253" i="4" s="1"/>
  <c r="G253" i="4"/>
  <c r="M256" i="4"/>
  <c r="G256" i="4"/>
  <c r="G273" i="4"/>
  <c r="M273" i="4"/>
  <c r="G278" i="4"/>
  <c r="M278" i="4"/>
  <c r="M117" i="4"/>
  <c r="N117" i="4" s="1"/>
  <c r="M121" i="4"/>
  <c r="N121" i="4" s="1"/>
  <c r="L196" i="4"/>
  <c r="G208" i="4"/>
  <c r="M208" i="4"/>
  <c r="N208" i="4" s="1"/>
  <c r="L232" i="4"/>
  <c r="L243" i="4"/>
  <c r="G251" i="4"/>
  <c r="G271" i="4"/>
  <c r="M356" i="4"/>
  <c r="N356" i="4" s="1"/>
  <c r="L286" i="4"/>
  <c r="G165" i="4"/>
  <c r="G195" i="4"/>
  <c r="M195" i="4"/>
  <c r="N195" i="4" s="1"/>
  <c r="M206" i="4"/>
  <c r="G206" i="4"/>
  <c r="G215" i="4"/>
  <c r="G239" i="4"/>
  <c r="M239" i="4"/>
  <c r="N239" i="4" s="1"/>
  <c r="G284" i="4"/>
  <c r="M284" i="4"/>
  <c r="M294" i="4"/>
  <c r="N294" i="4" s="1"/>
  <c r="M330" i="4"/>
  <c r="N330" i="4" s="1"/>
  <c r="M245" i="4"/>
  <c r="N245" i="4" s="1"/>
  <c r="G245" i="4"/>
  <c r="G252" i="4"/>
  <c r="M252" i="4"/>
  <c r="N252" i="4" s="1"/>
  <c r="G272" i="4"/>
  <c r="M272" i="4"/>
  <c r="L285" i="4"/>
  <c r="L284" i="4"/>
  <c r="H199" i="4"/>
  <c r="L199" i="4" s="1"/>
  <c r="L200" i="4"/>
  <c r="G205" i="4"/>
  <c r="L214" i="4"/>
  <c r="M216" i="4"/>
  <c r="N216" i="4" s="1"/>
  <c r="G237" i="4"/>
  <c r="G200" i="4"/>
  <c r="M200" i="4"/>
  <c r="N200" i="4" s="1"/>
  <c r="M261" i="4"/>
  <c r="G261" i="4"/>
  <c r="M211" i="4"/>
  <c r="N211" i="4" s="1"/>
  <c r="M217" i="4"/>
  <c r="N217" i="4" s="1"/>
  <c r="M246" i="4"/>
  <c r="N246" i="4" s="1"/>
  <c r="M248" i="4"/>
  <c r="N248" i="4" s="1"/>
  <c r="M254" i="4"/>
  <c r="N254" i="4" s="1"/>
  <c r="M274" i="4"/>
  <c r="M279" i="4"/>
  <c r="M227" i="4"/>
  <c r="N227" i="4" s="1"/>
  <c r="M232" i="4"/>
  <c r="N232" i="4" s="1"/>
  <c r="M243" i="4"/>
  <c r="N243" i="4" s="1"/>
  <c r="M249" i="4"/>
  <c r="N249" i="4" s="1"/>
  <c r="M774" i="4" l="1"/>
  <c r="N774" i="4" s="1"/>
  <c r="G756" i="4"/>
  <c r="G897" i="4"/>
  <c r="M241" i="4"/>
  <c r="N241" i="4" s="1"/>
  <c r="G157" i="4"/>
  <c r="M199" i="4"/>
  <c r="N199" i="4" s="1"/>
  <c r="M63" i="4"/>
  <c r="N63" i="4" s="1"/>
  <c r="G893" i="4"/>
  <c r="M238" i="4"/>
  <c r="N238" i="4" s="1"/>
  <c r="M574" i="4"/>
  <c r="N574" i="4" s="1"/>
  <c r="G380" i="4"/>
  <c r="M464" i="4"/>
  <c r="N464" i="4" s="1"/>
  <c r="G411" i="4"/>
  <c r="G516" i="4"/>
  <c r="M31" i="4"/>
  <c r="N31" i="4" s="1"/>
  <c r="M229" i="4"/>
  <c r="N229" i="4" s="1"/>
  <c r="G72" i="4"/>
  <c r="G445" i="4"/>
  <c r="G943" i="4"/>
  <c r="M363" i="4"/>
  <c r="N363" i="4" s="1"/>
  <c r="M52" i="4"/>
  <c r="N52" i="4" s="1"/>
  <c r="M957" i="4"/>
  <c r="N957" i="4" s="1"/>
  <c r="G776" i="4"/>
  <c r="M782" i="4"/>
  <c r="N782" i="4" s="1"/>
  <c r="G587" i="4"/>
  <c r="G101" i="4"/>
  <c r="G447" i="4"/>
  <c r="M126" i="4"/>
  <c r="N126" i="4" s="1"/>
  <c r="M26" i="4"/>
  <c r="N26" i="4" s="1"/>
  <c r="M824" i="4"/>
  <c r="N824" i="4" s="1"/>
  <c r="G729" i="4"/>
  <c r="G821" i="4"/>
  <c r="M821" i="4"/>
  <c r="N821" i="4" s="1"/>
  <c r="G149" i="4"/>
  <c r="G813" i="4"/>
  <c r="G863" i="4"/>
  <c r="M863" i="4"/>
  <c r="N863" i="4" s="1"/>
  <c r="G160" i="4"/>
  <c r="G642" i="4"/>
  <c r="M969" i="4"/>
  <c r="N969" i="4" s="1"/>
  <c r="G905" i="4"/>
  <c r="G412" i="4"/>
  <c r="G29" i="4"/>
  <c r="G953" i="4"/>
  <c r="M953" i="4"/>
  <c r="N953" i="4" s="1"/>
  <c r="G76" i="4"/>
  <c r="G44" i="4"/>
  <c r="G530" i="4"/>
  <c r="M902" i="4"/>
  <c r="N902" i="4" s="1"/>
  <c r="M818" i="4"/>
  <c r="N818" i="4" s="1"/>
  <c r="G818" i="4"/>
  <c r="G419" i="4"/>
  <c r="M419" i="4"/>
  <c r="N419" i="4" s="1"/>
  <c r="G441" i="4"/>
  <c r="G423" i="4"/>
  <c r="G479" i="4"/>
  <c r="G868" i="4"/>
  <c r="M600" i="4"/>
  <c r="N600" i="4" s="1"/>
  <c r="G406" i="4"/>
  <c r="G457" i="4"/>
  <c r="M457" i="4"/>
  <c r="N457" i="4" s="1"/>
  <c r="G784" i="4"/>
  <c r="G977" i="4"/>
  <c r="G740" i="4"/>
  <c r="G982" i="4"/>
  <c r="G945" i="4"/>
  <c r="G764" i="4"/>
  <c r="M390" i="4"/>
  <c r="N390" i="4" s="1"/>
  <c r="G390" i="4"/>
  <c r="G522" i="4"/>
  <c r="G519" i="4"/>
  <c r="G471" i="4"/>
  <c r="G559" i="4"/>
  <c r="M559" i="4"/>
  <c r="N559" i="4" s="1"/>
  <c r="G107" i="4"/>
  <c r="M204" i="4"/>
  <c r="N204" i="4" s="1"/>
  <c r="G204" i="4"/>
  <c r="G163" i="4"/>
  <c r="G116" i="4"/>
</calcChain>
</file>

<file path=xl/sharedStrings.xml><?xml version="1.0" encoding="utf-8"?>
<sst xmlns="http://schemas.openxmlformats.org/spreadsheetml/2006/main" count="7995" uniqueCount="830">
  <si>
    <t>SKU</t>
  </si>
  <si>
    <t>ASIN</t>
  </si>
  <si>
    <t>Somma di Ordini Vendor 24</t>
  </si>
  <si>
    <t>Somma di Valori ordini Vendor 24</t>
  </si>
  <si>
    <t>Somma di Ordini Seller</t>
  </si>
  <si>
    <t>Somma di Valori ordini Seller</t>
  </si>
  <si>
    <t>Somma di Ordini Complessivi</t>
  </si>
  <si>
    <t>Somma di Valori ordini Complessivi</t>
  </si>
  <si>
    <t>Somma di Ordini Vendor 23</t>
  </si>
  <si>
    <t>Somma di Valori ordini Vendor 23</t>
  </si>
  <si>
    <t>40.979</t>
  </si>
  <si>
    <t>B0050IHH4E</t>
  </si>
  <si>
    <t>40.999</t>
  </si>
  <si>
    <t>B009O92WU4</t>
  </si>
  <si>
    <t>40.808A</t>
  </si>
  <si>
    <t>B00BH202XK</t>
  </si>
  <si>
    <t>HK-NV009W</t>
  </si>
  <si>
    <t>B00CMAD2FG</t>
  </si>
  <si>
    <t>40.100</t>
  </si>
  <si>
    <t>B00FFBFVG2</t>
  </si>
  <si>
    <t>40.120</t>
  </si>
  <si>
    <t>B00L5GPWFG</t>
  </si>
  <si>
    <t>40.121</t>
  </si>
  <si>
    <t>B00L5H5KUW</t>
  </si>
  <si>
    <t>90.602</t>
  </si>
  <si>
    <t>B00NSNZSLM</t>
  </si>
  <si>
    <t>40.998</t>
  </si>
  <si>
    <t>B00YH3FRV8</t>
  </si>
  <si>
    <t>40.948T</t>
  </si>
  <si>
    <t>B011LFM60E</t>
  </si>
  <si>
    <t>90.620</t>
  </si>
  <si>
    <t>B011LFVLW8</t>
  </si>
  <si>
    <t>90.920G</t>
  </si>
  <si>
    <t>B017IUJA50</t>
  </si>
  <si>
    <t>PE.001</t>
  </si>
  <si>
    <t>B01CHW1L88</t>
  </si>
  <si>
    <t>PE.300</t>
  </si>
  <si>
    <t>B01CNX6UIM</t>
  </si>
  <si>
    <t>90.825</t>
  </si>
  <si>
    <t>B01CNX704K</t>
  </si>
  <si>
    <t>90.871</t>
  </si>
  <si>
    <t>B01CNX71NA</t>
  </si>
  <si>
    <t>90.920R</t>
  </si>
  <si>
    <t>B01I497WWM</t>
  </si>
  <si>
    <t>MD.217</t>
  </si>
  <si>
    <t>B01II7S968</t>
  </si>
  <si>
    <t>90.590Y</t>
  </si>
  <si>
    <t>B01KMJ9OXW</t>
  </si>
  <si>
    <t>90.131</t>
  </si>
  <si>
    <t>B06WGS8ZVG</t>
  </si>
  <si>
    <t>40.450GO</t>
  </si>
  <si>
    <t>B06XPK3BTC</t>
  </si>
  <si>
    <t>90.485H</t>
  </si>
  <si>
    <t>B06XYMCV3W</t>
  </si>
  <si>
    <t>90.550</t>
  </si>
  <si>
    <t>B06Y17FS6D</t>
  </si>
  <si>
    <t>90.882</t>
  </si>
  <si>
    <t>B06Y195DJN</t>
  </si>
  <si>
    <t>90.884</t>
  </si>
  <si>
    <t>B073B67PLQ</t>
  </si>
  <si>
    <t>RI.201</t>
  </si>
  <si>
    <t>B075K5C2QG</t>
  </si>
  <si>
    <t>BC.160A</t>
  </si>
  <si>
    <t>B075RF5S3N</t>
  </si>
  <si>
    <t>BC.160G</t>
  </si>
  <si>
    <t>B075RF8FM9</t>
  </si>
  <si>
    <t>BT.600Y</t>
  </si>
  <si>
    <t>B075XR3T8V</t>
  </si>
  <si>
    <t>BT.700Y</t>
  </si>
  <si>
    <t>B076D74TC7</t>
  </si>
  <si>
    <t>40.501</t>
  </si>
  <si>
    <t>B076DC4VWG</t>
  </si>
  <si>
    <t>BP.720</t>
  </si>
  <si>
    <t>B076DCL19C</t>
  </si>
  <si>
    <t>BB.103</t>
  </si>
  <si>
    <t>B076DCX3JH</t>
  </si>
  <si>
    <t>40.821</t>
  </si>
  <si>
    <t>B076QCMZX1</t>
  </si>
  <si>
    <t>40.931</t>
  </si>
  <si>
    <t>B076QFRRZ5</t>
  </si>
  <si>
    <t>50451</t>
  </si>
  <si>
    <t>B079SB5VJZ</t>
  </si>
  <si>
    <t>VE.550</t>
  </si>
  <si>
    <t>B07B9CBD91</t>
  </si>
  <si>
    <t>BG.200Y</t>
  </si>
  <si>
    <t>B07B9CPH62</t>
  </si>
  <si>
    <t>BA.200Y</t>
  </si>
  <si>
    <t>B07BHCZR84</t>
  </si>
  <si>
    <t>VE.210</t>
  </si>
  <si>
    <t>B07BHTW4WV</t>
  </si>
  <si>
    <t>40.330</t>
  </si>
  <si>
    <t>B07CZ4WMB8</t>
  </si>
  <si>
    <t>50.900</t>
  </si>
  <si>
    <t>B07F187NFQ</t>
  </si>
  <si>
    <t>50.160</t>
  </si>
  <si>
    <t>B07FN14FSN</t>
  </si>
  <si>
    <t>BC.353</t>
  </si>
  <si>
    <t>B07HFPYL56</t>
  </si>
  <si>
    <t>BC.250</t>
  </si>
  <si>
    <t>B07HFQH172</t>
  </si>
  <si>
    <t>BI.504</t>
  </si>
  <si>
    <t>B07HHDSJHM</t>
  </si>
  <si>
    <t>RI.080</t>
  </si>
  <si>
    <t>B07HM7P6MP</t>
  </si>
  <si>
    <t>40.452</t>
  </si>
  <si>
    <t>B07MC8ZVRM</t>
  </si>
  <si>
    <t>BT.110</t>
  </si>
  <si>
    <t>B07NNZSW1W</t>
  </si>
  <si>
    <t>BP.200</t>
  </si>
  <si>
    <t>B07NP6YY5W</t>
  </si>
  <si>
    <t>BP.101H</t>
  </si>
  <si>
    <t>B07NQ1T7YK</t>
  </si>
  <si>
    <t>40.102</t>
  </si>
  <si>
    <t>B07P7L18T9</t>
  </si>
  <si>
    <t>BT.410</t>
  </si>
  <si>
    <t>B07PCQJ1P8</t>
  </si>
  <si>
    <t>BF.570</t>
  </si>
  <si>
    <t>B07PTQPT16</t>
  </si>
  <si>
    <t>40.742</t>
  </si>
  <si>
    <t>B07QX1RJRH</t>
  </si>
  <si>
    <t>40.403</t>
  </si>
  <si>
    <t>B07QZ89PLH</t>
  </si>
  <si>
    <t>BP.690</t>
  </si>
  <si>
    <t>B07TQVD94L</t>
  </si>
  <si>
    <t>BP.102</t>
  </si>
  <si>
    <t>B07TSNB5WG</t>
  </si>
  <si>
    <t>40.490</t>
  </si>
  <si>
    <t>B07V131F5W</t>
  </si>
  <si>
    <t>RI.503</t>
  </si>
  <si>
    <t>B07XVWXVK1</t>
  </si>
  <si>
    <t>BB.210</t>
  </si>
  <si>
    <t>B07YBFRMM7</t>
  </si>
  <si>
    <t>50161</t>
  </si>
  <si>
    <t>B07YBNB2QY</t>
  </si>
  <si>
    <t>BP.552</t>
  </si>
  <si>
    <t>B07YBNPZPJ</t>
  </si>
  <si>
    <t>BC.510</t>
  </si>
  <si>
    <t>B07ZJMFB3R</t>
  </si>
  <si>
    <t>50.245</t>
  </si>
  <si>
    <t>B07ZJQTGG8</t>
  </si>
  <si>
    <t>BP.400</t>
  </si>
  <si>
    <t>B0823CVGHX</t>
  </si>
  <si>
    <t>BC.261</t>
  </si>
  <si>
    <t>B08485QRVZ</t>
  </si>
  <si>
    <t>40.406</t>
  </si>
  <si>
    <t>B084C3JTC2</t>
  </si>
  <si>
    <t>XUADA001</t>
  </si>
  <si>
    <t>B084PN7WPZ</t>
  </si>
  <si>
    <t>C102BOT001</t>
  </si>
  <si>
    <t>B084TG23R3</t>
  </si>
  <si>
    <t>C102BOT002</t>
  </si>
  <si>
    <t>B084TGLFLM</t>
  </si>
  <si>
    <t>C102BOT004</t>
  </si>
  <si>
    <t>B084TGLSDV</t>
  </si>
  <si>
    <t>RCOBP630</t>
  </si>
  <si>
    <t>B085JHSWJW</t>
  </si>
  <si>
    <t>P206VEN420</t>
  </si>
  <si>
    <t>B085JHZT67</t>
  </si>
  <si>
    <t>P206VEN260</t>
  </si>
  <si>
    <t>B085JJ747G</t>
  </si>
  <si>
    <t>RCO9003028</t>
  </si>
  <si>
    <t>B085JJ81R7</t>
  </si>
  <si>
    <t>BB.050</t>
  </si>
  <si>
    <t>B085JJ8RC6</t>
  </si>
  <si>
    <t>P206RAF200</t>
  </si>
  <si>
    <t>B085JJ9J4N</t>
  </si>
  <si>
    <t>RCO9003022</t>
  </si>
  <si>
    <t>B085JJFLGY</t>
  </si>
  <si>
    <t>P206VEN400</t>
  </si>
  <si>
    <t>B085JJMBM7</t>
  </si>
  <si>
    <t>40.332</t>
  </si>
  <si>
    <t>B085R2GCKX</t>
  </si>
  <si>
    <t>3BEPI001</t>
  </si>
  <si>
    <t>B085R2NT18</t>
  </si>
  <si>
    <t>P206VEN100</t>
  </si>
  <si>
    <t>B088PL1CY6</t>
  </si>
  <si>
    <t>P206ZAN040</t>
  </si>
  <si>
    <t>B088V4DR59</t>
  </si>
  <si>
    <t>P206VEN130</t>
  </si>
  <si>
    <t>B088V7DR7L</t>
  </si>
  <si>
    <t>C301ABE001</t>
  </si>
  <si>
    <t>B088XJQ37J</t>
  </si>
  <si>
    <t>P101CUD001</t>
  </si>
  <si>
    <t>B089BGZSNM</t>
  </si>
  <si>
    <t>P101PIA001</t>
  </si>
  <si>
    <t>B08B66J4C3</t>
  </si>
  <si>
    <t>P102EST001</t>
  </si>
  <si>
    <t>B08B8M2B7B</t>
  </si>
  <si>
    <t>P201UTP001</t>
  </si>
  <si>
    <t>B08C7YJB5N</t>
  </si>
  <si>
    <t>P102SBA100</t>
  </si>
  <si>
    <t>B08DHZDXVV</t>
  </si>
  <si>
    <t>p102rob100</t>
  </si>
  <si>
    <t>B08DJ3K9J8</t>
  </si>
  <si>
    <t>P301ASC001</t>
  </si>
  <si>
    <t>B08DL66NZ9</t>
  </si>
  <si>
    <t>P102FRU001</t>
  </si>
  <si>
    <t>B08F5GYFKS</t>
  </si>
  <si>
    <t>P101FOR001</t>
  </si>
  <si>
    <t>B08FDP7T13</t>
  </si>
  <si>
    <t>P101CUD100</t>
  </si>
  <si>
    <t>B08FDYW72J</t>
  </si>
  <si>
    <t>P101CUD500</t>
  </si>
  <si>
    <t>B08FF245TD</t>
  </si>
  <si>
    <t>70.405</t>
  </si>
  <si>
    <t>B08FJGGZ1D</t>
  </si>
  <si>
    <t>P201UTP004</t>
  </si>
  <si>
    <t>B08FMLPKY9</t>
  </si>
  <si>
    <t>P201UTP002</t>
  </si>
  <si>
    <t>B08FMS5ZDK</t>
  </si>
  <si>
    <t>P204FER250</t>
  </si>
  <si>
    <t>B08GS7XW73</t>
  </si>
  <si>
    <t>P204FER100</t>
  </si>
  <si>
    <t>B08GS96GPT</t>
  </si>
  <si>
    <t>P204FER200</t>
  </si>
  <si>
    <t>B08GSK6C18</t>
  </si>
  <si>
    <t>P203TFO001</t>
  </si>
  <si>
    <t>B08GY7286R</t>
  </si>
  <si>
    <t>P202ASP400</t>
  </si>
  <si>
    <t>B08HCT78N3</t>
  </si>
  <si>
    <t>P201UTP003</t>
  </si>
  <si>
    <t>B08HN4DPJV</t>
  </si>
  <si>
    <t>C206UTI002</t>
  </si>
  <si>
    <t>B08JYDDFZ2</t>
  </si>
  <si>
    <t>C102COC101</t>
  </si>
  <si>
    <t>B08JYWF3PK</t>
  </si>
  <si>
    <t>BP.803</t>
  </si>
  <si>
    <t>B08JZDZTPG</t>
  </si>
  <si>
    <t>P102ROB001</t>
  </si>
  <si>
    <t>B08KSBDTQD</t>
  </si>
  <si>
    <t>P101FRI001</t>
  </si>
  <si>
    <t>B08KYZ2FLN</t>
  </si>
  <si>
    <t>P202VAL001</t>
  </si>
  <si>
    <t>B08L9D9KR9</t>
  </si>
  <si>
    <t>P202VAL002</t>
  </si>
  <si>
    <t>B08LDDKBYG</t>
  </si>
  <si>
    <t>P202VAL100</t>
  </si>
  <si>
    <t>B08LVS1MMY</t>
  </si>
  <si>
    <t>P101TEM001</t>
  </si>
  <si>
    <t>B08LZN1PWY</t>
  </si>
  <si>
    <t>P302MAS001</t>
  </si>
  <si>
    <t>B08MM2VK11</t>
  </si>
  <si>
    <t>P302VIS001</t>
  </si>
  <si>
    <t>B08MX1SQKC</t>
  </si>
  <si>
    <t>P102CON001</t>
  </si>
  <si>
    <t>B08NDZKNF5</t>
  </si>
  <si>
    <t>P102FRU100</t>
  </si>
  <si>
    <t>B08NF8TQKT</t>
  </si>
  <si>
    <t>P102SBA006</t>
  </si>
  <si>
    <t>B08NTD853X</t>
  </si>
  <si>
    <t>C107UTT001</t>
  </si>
  <si>
    <t>B08V4VTTQN</t>
  </si>
  <si>
    <t>P303BIP001</t>
  </si>
  <si>
    <t>B08X4VZV3S</t>
  </si>
  <si>
    <t>P102GEL001</t>
  </si>
  <si>
    <t>B08XQT9P5C</t>
  </si>
  <si>
    <t>P303MED001</t>
  </si>
  <si>
    <t>B08XVV3PVK</t>
  </si>
  <si>
    <t>P101PIA002</t>
  </si>
  <si>
    <t>B08XWBGJHR</t>
  </si>
  <si>
    <t>P204CAL001</t>
  </si>
  <si>
    <t>B08Y6RJ69Y</t>
  </si>
  <si>
    <t>P206ZAN001</t>
  </si>
  <si>
    <t>B08YN2SRQS</t>
  </si>
  <si>
    <t>P206VEN150</t>
  </si>
  <si>
    <t>B08ZJHV47V</t>
  </si>
  <si>
    <t>P302VIS002</t>
  </si>
  <si>
    <t>B09146GTKW</t>
  </si>
  <si>
    <t>P202ASP001</t>
  </si>
  <si>
    <t>B091C5XQZN</t>
  </si>
  <si>
    <t>P101FRI050</t>
  </si>
  <si>
    <t>B091LRR67V</t>
  </si>
  <si>
    <t>P303BIP050</t>
  </si>
  <si>
    <t>B091VSY78C</t>
  </si>
  <si>
    <t>P304CAP001</t>
  </si>
  <si>
    <t>B09251R9RJ</t>
  </si>
  <si>
    <t>P206ZAN300</t>
  </si>
  <si>
    <t>B09294Z7XG</t>
  </si>
  <si>
    <t>P206ZAN110</t>
  </si>
  <si>
    <t>B0929CVW7Q</t>
  </si>
  <si>
    <t>P206VEN440</t>
  </si>
  <si>
    <t>B092DN1NCS</t>
  </si>
  <si>
    <t>P206ZAN200</t>
  </si>
  <si>
    <t>B092J2RHL8</t>
  </si>
  <si>
    <t>P205DIF001</t>
  </si>
  <si>
    <t>B092QXCQ8K</t>
  </si>
  <si>
    <t>P204FER002</t>
  </si>
  <si>
    <t>B09495C38F</t>
  </si>
  <si>
    <t>P102ACP001</t>
  </si>
  <si>
    <t>B0953R2W31</t>
  </si>
  <si>
    <t>P102ACP010</t>
  </si>
  <si>
    <t>B0957PWXL8</t>
  </si>
  <si>
    <t>C107UTT002</t>
  </si>
  <si>
    <t>B095PQJGKX</t>
  </si>
  <si>
    <t>C301ABE101</t>
  </si>
  <si>
    <t>B095WCSSLC</t>
  </si>
  <si>
    <t>P101BOL100</t>
  </si>
  <si>
    <t>B095X9KDJR</t>
  </si>
  <si>
    <t>P303MED050</t>
  </si>
  <si>
    <t>B096KVY46G</t>
  </si>
  <si>
    <t>P102ROB050</t>
  </si>
  <si>
    <t>B096MX229M</t>
  </si>
  <si>
    <t>P201UTP011</t>
  </si>
  <si>
    <t>B096SVXQDX</t>
  </si>
  <si>
    <t>P202VAL110</t>
  </si>
  <si>
    <t>B097785V2V</t>
  </si>
  <si>
    <t>P205DIF100</t>
  </si>
  <si>
    <t>B0978ZKW4S</t>
  </si>
  <si>
    <t>P102FRU500</t>
  </si>
  <si>
    <t>B097F45J2B</t>
  </si>
  <si>
    <t>P101FRI100</t>
  </si>
  <si>
    <t>B097HRQNRG</t>
  </si>
  <si>
    <t>P102ROB200</t>
  </si>
  <si>
    <t>B097YTGFH7</t>
  </si>
  <si>
    <t>RCO4091819</t>
  </si>
  <si>
    <t>B098F33WBD</t>
  </si>
  <si>
    <t>P101CUD050</t>
  </si>
  <si>
    <t>B098QM485T</t>
  </si>
  <si>
    <t>P102FRU003</t>
  </si>
  <si>
    <t>B09968BKDS</t>
  </si>
  <si>
    <t>P102FRU200</t>
  </si>
  <si>
    <t>B09B15P5H1</t>
  </si>
  <si>
    <t>P102FRU150</t>
  </si>
  <si>
    <t>B09B2NT2SV</t>
  </si>
  <si>
    <t>P101CUD501</t>
  </si>
  <si>
    <t>B09B47S644</t>
  </si>
  <si>
    <t>P101TOS501</t>
  </si>
  <si>
    <t>B09BBFTDLJ</t>
  </si>
  <si>
    <t>P301PIS001</t>
  </si>
  <si>
    <t>B09BD8BG34</t>
  </si>
  <si>
    <t>P204FER003</t>
  </si>
  <si>
    <t>B09BG1GGSM</t>
  </si>
  <si>
    <t>P102SBA500</t>
  </si>
  <si>
    <t>B09D8G2H7Q</t>
  </si>
  <si>
    <t>P203TER001</t>
  </si>
  <si>
    <t>B09HMK8JDN</t>
  </si>
  <si>
    <t>P203TER100</t>
  </si>
  <si>
    <t>B09HQN1LQ2</t>
  </si>
  <si>
    <t>P301PIS100</t>
  </si>
  <si>
    <t>B09KYD9JGY</t>
  </si>
  <si>
    <t>P203TFO100</t>
  </si>
  <si>
    <t>B09L4SLDSZ</t>
  </si>
  <si>
    <t>P102SBA007</t>
  </si>
  <si>
    <t>B09LHXJXQL</t>
  </si>
  <si>
    <t>P101TOS502</t>
  </si>
  <si>
    <t>B09MS5H54V</t>
  </si>
  <si>
    <t>P101TOS002</t>
  </si>
  <si>
    <t>B09NBXYF5J</t>
  </si>
  <si>
    <t>AC.116</t>
  </si>
  <si>
    <t>B09PGHNKWP</t>
  </si>
  <si>
    <t>P204FER004</t>
  </si>
  <si>
    <t>B09VQLJ1WK</t>
  </si>
  <si>
    <t>P206VEN350</t>
  </si>
  <si>
    <t>B09XN3Z69T</t>
  </si>
  <si>
    <t>C301ACC001</t>
  </si>
  <si>
    <t>B09XR94HF8</t>
  </si>
  <si>
    <t>P101CUD300</t>
  </si>
  <si>
    <t>B09Y9DBPK5</t>
  </si>
  <si>
    <t>P302MAS100</t>
  </si>
  <si>
    <t>B09YVL4VQ6</t>
  </si>
  <si>
    <t>P201UTP100</t>
  </si>
  <si>
    <t>B09ZBHJ91Q</t>
  </si>
  <si>
    <t>P201UTP020</t>
  </si>
  <si>
    <t>B0B131VWYS</t>
  </si>
  <si>
    <t>P102GEL100</t>
  </si>
  <si>
    <t>B0B2F48ZMP</t>
  </si>
  <si>
    <t>P102EST100</t>
  </si>
  <si>
    <t>B0B2SB1ZQL</t>
  </si>
  <si>
    <t>C106CAS001</t>
  </si>
  <si>
    <t>B0B39H1Z8J</t>
  </si>
  <si>
    <t>P101CUD051</t>
  </si>
  <si>
    <t>B0B3N9ZNT2</t>
  </si>
  <si>
    <t>P102FRU300</t>
  </si>
  <si>
    <t>B0B57933BC</t>
  </si>
  <si>
    <t>P102ACP100</t>
  </si>
  <si>
    <t>B0B5XB4X2T</t>
  </si>
  <si>
    <t>P201UTP201</t>
  </si>
  <si>
    <t>B0B6JKJNCP</t>
  </si>
  <si>
    <t>P201UTP200</t>
  </si>
  <si>
    <t>B0B6JPXDN6</t>
  </si>
  <si>
    <t>P205DIF050</t>
  </si>
  <si>
    <t>B0B7WVD9L3</t>
  </si>
  <si>
    <t>P102SBA008</t>
  </si>
  <si>
    <t>B0B887SKJ1</t>
  </si>
  <si>
    <t>P302VIS050</t>
  </si>
  <si>
    <t>B0B8DLSNJF</t>
  </si>
  <si>
    <t>P101CUD200</t>
  </si>
  <si>
    <t>B0B8JVTQYQ</t>
  </si>
  <si>
    <t>PE.387</t>
  </si>
  <si>
    <t>B0B94FL5H8</t>
  </si>
  <si>
    <t>P101COS001</t>
  </si>
  <si>
    <t>B0BBH12BYN</t>
  </si>
  <si>
    <t>P203PAN002</t>
  </si>
  <si>
    <t>B0BD4VX5JB</t>
  </si>
  <si>
    <t>C106CAS002</t>
  </si>
  <si>
    <t>B0BD83RNDG</t>
  </si>
  <si>
    <t>P202ASP200</t>
  </si>
  <si>
    <t>B0BDFXPXY7</t>
  </si>
  <si>
    <t>P101CUD052</t>
  </si>
  <si>
    <t>B0BFS7CYLQ</t>
  </si>
  <si>
    <t>P203TER201</t>
  </si>
  <si>
    <t>B0BHHV552D</t>
  </si>
  <si>
    <t>P101CUD250</t>
  </si>
  <si>
    <t>B0BHTBMNX8</t>
  </si>
  <si>
    <t>P101FRI080</t>
  </si>
  <si>
    <t>B0BJ2DC3KX</t>
  </si>
  <si>
    <t>C206UTI004</t>
  </si>
  <si>
    <t>B0BJ2TBPJW</t>
  </si>
  <si>
    <t>C102SPE001</t>
  </si>
  <si>
    <t>B0BJL1Z674</t>
  </si>
  <si>
    <t>C301ABE200</t>
  </si>
  <si>
    <t>B0BKGZC9YH</t>
  </si>
  <si>
    <t>C206UTI005</t>
  </si>
  <si>
    <t>B0BLSQJZJ3</t>
  </si>
  <si>
    <t>P302VIS060</t>
  </si>
  <si>
    <t>B0BNNH9RZQ</t>
  </si>
  <si>
    <t>P101CUD600</t>
  </si>
  <si>
    <t>B0BQJSQ6PF</t>
  </si>
  <si>
    <t>C103ACC001</t>
  </si>
  <si>
    <t>B0BTHSH5MK</t>
  </si>
  <si>
    <t>P206VEN550</t>
  </si>
  <si>
    <t>B0BVBY1RWS</t>
  </si>
  <si>
    <t>P206VEN600</t>
  </si>
  <si>
    <t>B0BVZG7FPY</t>
  </si>
  <si>
    <t>P206ZAN250</t>
  </si>
  <si>
    <t>B0BWS8WNS9</t>
  </si>
  <si>
    <t>P206VEN151</t>
  </si>
  <si>
    <t>B0BWSFLRWN</t>
  </si>
  <si>
    <t>P206VEN152</t>
  </si>
  <si>
    <t>B0BXDTH4VN</t>
  </si>
  <si>
    <t>P201UTP101</t>
  </si>
  <si>
    <t>B0BYZTG56X</t>
  </si>
  <si>
    <t>P201UTP102</t>
  </si>
  <si>
    <t>B0BYZTX2NR</t>
  </si>
  <si>
    <t>P201UTP103</t>
  </si>
  <si>
    <t>B0BYZZKNN1</t>
  </si>
  <si>
    <t>P206VEN450</t>
  </si>
  <si>
    <t>B0C154W8S4</t>
  </si>
  <si>
    <t>P206VEN430</t>
  </si>
  <si>
    <t>B0C28S79G8</t>
  </si>
  <si>
    <t>P207OUT002</t>
  </si>
  <si>
    <t>B0C2Q58PTZ</t>
  </si>
  <si>
    <t>P101FRI090</t>
  </si>
  <si>
    <t>B0C3R6NJVT</t>
  </si>
  <si>
    <t>P101TOS100</t>
  </si>
  <si>
    <t>B0C94Q6QZ9</t>
  </si>
  <si>
    <t>C301ABE002</t>
  </si>
  <si>
    <t>B0C9V6YP8X</t>
  </si>
  <si>
    <t>C206UTI006</t>
  </si>
  <si>
    <t>B0CC5QZ9CJ</t>
  </si>
  <si>
    <t>C203PUL004</t>
  </si>
  <si>
    <t>B0CFB71DMN</t>
  </si>
  <si>
    <t>P203PAN010</t>
  </si>
  <si>
    <t>B0CHF7YW6B</t>
  </si>
  <si>
    <t>P203PAN001</t>
  </si>
  <si>
    <t>B0CHFQXMZX</t>
  </si>
  <si>
    <t>P203TER010</t>
  </si>
  <si>
    <t>B0CHFVXXND</t>
  </si>
  <si>
    <t>P202ASP250</t>
  </si>
  <si>
    <t>B0CHWMFNNT</t>
  </si>
  <si>
    <t>P201UTP112</t>
  </si>
  <si>
    <t>B0CLVR5JN6</t>
  </si>
  <si>
    <t>P201UTP111</t>
  </si>
  <si>
    <t>B0CLVS3FH6</t>
  </si>
  <si>
    <t>P201UTP113</t>
  </si>
  <si>
    <t>B0CLY2CF4T</t>
  </si>
  <si>
    <t>P101FRI051</t>
  </si>
  <si>
    <t>B0CMHZ2WNV</t>
  </si>
  <si>
    <t>P101CAF001</t>
  </si>
  <si>
    <t>B0CPFRMPTM</t>
  </si>
  <si>
    <t>P101PIA003</t>
  </si>
  <si>
    <t>B0CXJCJF5B</t>
  </si>
  <si>
    <t>40.993</t>
  </si>
  <si>
    <t>B00C5CCJP0</t>
  </si>
  <si>
    <t>BP.654</t>
  </si>
  <si>
    <t>B07TJGZNPN</t>
  </si>
  <si>
    <t>BT.710Y</t>
  </si>
  <si>
    <t>B07NQ2VYGD</t>
  </si>
  <si>
    <t>40.405</t>
  </si>
  <si>
    <t>B07KYWNC7Z</t>
  </si>
  <si>
    <t>B07N4C3H3V</t>
  </si>
  <si>
    <t>BB.200</t>
  </si>
  <si>
    <t>B07W7S9KYM</t>
  </si>
  <si>
    <t>40.473</t>
  </si>
  <si>
    <t>B081QRX1K7</t>
  </si>
  <si>
    <t>P206VEN410</t>
  </si>
  <si>
    <t>B085JHSTQS</t>
  </si>
  <si>
    <t>50.401</t>
  </si>
  <si>
    <t>B07RN75ZFL</t>
  </si>
  <si>
    <t>BT.651Y</t>
  </si>
  <si>
    <t>B07NQC6S9V</t>
  </si>
  <si>
    <t>50.700</t>
  </si>
  <si>
    <t>B01MTSEGF9</t>
  </si>
  <si>
    <t>BT.150Y</t>
  </si>
  <si>
    <t>B07BB2DQ4V</t>
  </si>
  <si>
    <t>70.404</t>
  </si>
  <si>
    <t>B07TTJQDC2</t>
  </si>
  <si>
    <t>40.220</t>
  </si>
  <si>
    <t>B06XQ25NLB</t>
  </si>
  <si>
    <t>40.500</t>
  </si>
  <si>
    <t>B0757TJRR9</t>
  </si>
  <si>
    <t>VE.502</t>
  </si>
  <si>
    <t>B07RRBP1YR</t>
  </si>
  <si>
    <t>MD.104</t>
  </si>
  <si>
    <t>B01IHGX2HQ</t>
  </si>
  <si>
    <t>VE.112</t>
  </si>
  <si>
    <t>B06Y1P6DPZ</t>
  </si>
  <si>
    <t>MD.004</t>
  </si>
  <si>
    <t>B01HM47LF8</t>
  </si>
  <si>
    <t>BP.581</t>
  </si>
  <si>
    <t>B07JGVMFY1</t>
  </si>
  <si>
    <t>90.071</t>
  </si>
  <si>
    <t>B01M4O6145</t>
  </si>
  <si>
    <t>MD.500</t>
  </si>
  <si>
    <t>B07TVSJDCL</t>
  </si>
  <si>
    <t>BP.304</t>
  </si>
  <si>
    <t>B07SSLRCT6</t>
  </si>
  <si>
    <t>BT.602H</t>
  </si>
  <si>
    <t>B076DCKSTJ</t>
  </si>
  <si>
    <t>MD.404</t>
  </si>
  <si>
    <t>B07YZZZVXP</t>
  </si>
  <si>
    <t>BP.961</t>
  </si>
  <si>
    <t>B07P7GGGQM</t>
  </si>
  <si>
    <t>40.939</t>
  </si>
  <si>
    <t>B06XPYSCGJ</t>
  </si>
  <si>
    <t>90.820</t>
  </si>
  <si>
    <t>B01CNX6Z78</t>
  </si>
  <si>
    <t>BC.041N</t>
  </si>
  <si>
    <t>B076Q7BR6F</t>
  </si>
  <si>
    <t>BP.620</t>
  </si>
  <si>
    <t>B07RRBS54G</t>
  </si>
  <si>
    <t>90.349</t>
  </si>
  <si>
    <t>B00EYDRS1I</t>
  </si>
  <si>
    <t>90.386</t>
  </si>
  <si>
    <t>B00OKE4RTM</t>
  </si>
  <si>
    <t>PE.165</t>
  </si>
  <si>
    <t>B01CNX6T10</t>
  </si>
  <si>
    <t>90.883</t>
  </si>
  <si>
    <t>B06Y1997YH</t>
  </si>
  <si>
    <t>BC.040N</t>
  </si>
  <si>
    <t>B075FX6RFP</t>
  </si>
  <si>
    <t>CA.010</t>
  </si>
  <si>
    <t>B076DD26WW</t>
  </si>
  <si>
    <t>BC.060</t>
  </si>
  <si>
    <t>B07Q38Z7CK</t>
  </si>
  <si>
    <t>BI.505</t>
  </si>
  <si>
    <t>B07R984VMS</t>
  </si>
  <si>
    <t>BP.604</t>
  </si>
  <si>
    <t>B07Y3XHMMV</t>
  </si>
  <si>
    <t>C102BOT003</t>
  </si>
  <si>
    <t>B084TG4594</t>
  </si>
  <si>
    <t>BP.790</t>
  </si>
  <si>
    <t>B085JHTR6Q</t>
  </si>
  <si>
    <t>HK-HQ601C PINK</t>
  </si>
  <si>
    <t>B00FMZ2VW8</t>
  </si>
  <si>
    <t>PE.301</t>
  </si>
  <si>
    <t>B01N12PI05</t>
  </si>
  <si>
    <t>50.130</t>
  </si>
  <si>
    <t>B06XSJPGR9</t>
  </si>
  <si>
    <t>BP.800</t>
  </si>
  <si>
    <t>B07TSNCJ5J</t>
  </si>
  <si>
    <t>40.361</t>
  </si>
  <si>
    <t>B07TWX2L8N</t>
  </si>
  <si>
    <t>RI.096</t>
  </si>
  <si>
    <t>B07YBM3P68</t>
  </si>
  <si>
    <t>BF.640</t>
  </si>
  <si>
    <t>B07YBN2FS3</t>
  </si>
  <si>
    <t>BP.802</t>
  </si>
  <si>
    <t>B085JHSWJH</t>
  </si>
  <si>
    <t>BC.002</t>
  </si>
  <si>
    <t>B076DD35DZ</t>
  </si>
  <si>
    <t>Totale complessivo</t>
  </si>
  <si>
    <t>B00EZ4185S</t>
  </si>
  <si>
    <t>RI.501SL</t>
  </si>
  <si>
    <t>B00FAJUDU8</t>
  </si>
  <si>
    <t>40.967N</t>
  </si>
  <si>
    <t>B00FFBED98</t>
  </si>
  <si>
    <t>40.11</t>
  </si>
  <si>
    <t>B00J7MNQFS</t>
  </si>
  <si>
    <t>40.994</t>
  </si>
  <si>
    <t>B00OLZPU5K</t>
  </si>
  <si>
    <t>40.947</t>
  </si>
  <si>
    <t>B00SNJ2R6K</t>
  </si>
  <si>
    <t>40.992</t>
  </si>
  <si>
    <t>B00WR5UPZG</t>
  </si>
  <si>
    <t>40.978</t>
  </si>
  <si>
    <t>B00YAIEPNQ</t>
  </si>
  <si>
    <t>90.605</t>
  </si>
  <si>
    <t>B00YCPX8R6</t>
  </si>
  <si>
    <t>40.969</t>
  </si>
  <si>
    <t>B011LH9V8M</t>
  </si>
  <si>
    <t>40.958V</t>
  </si>
  <si>
    <t>B015T5GR0C</t>
  </si>
  <si>
    <t>40.760</t>
  </si>
  <si>
    <t>B016MWFE7S</t>
  </si>
  <si>
    <t>90.890R</t>
  </si>
  <si>
    <t>B016MWFVIU</t>
  </si>
  <si>
    <t>40.761</t>
  </si>
  <si>
    <t>B01CA687DI</t>
  </si>
  <si>
    <t>90.514</t>
  </si>
  <si>
    <t>B01CHW1MSM</t>
  </si>
  <si>
    <t>PE.005</t>
  </si>
  <si>
    <t>B01CHW1YD0</t>
  </si>
  <si>
    <t>PE.140</t>
  </si>
  <si>
    <t>B01CHW20UQ</t>
  </si>
  <si>
    <t>PE.400</t>
  </si>
  <si>
    <t>B01CNXP36C</t>
  </si>
  <si>
    <t>40.981N</t>
  </si>
  <si>
    <t>B01HGS9EPA</t>
  </si>
  <si>
    <t>40.531</t>
  </si>
  <si>
    <t>B01II660SS</t>
  </si>
  <si>
    <t>MD.213</t>
  </si>
  <si>
    <t>B01ITBZK38</t>
  </si>
  <si>
    <t>PO.002</t>
  </si>
  <si>
    <t>B01K6P6NT0</t>
  </si>
  <si>
    <t>40.400</t>
  </si>
  <si>
    <t>B01MFA4H6K</t>
  </si>
  <si>
    <t>S304</t>
  </si>
  <si>
    <t>B01MFCQKVN</t>
  </si>
  <si>
    <t>90.836</t>
  </si>
  <si>
    <t>B01N042GD5</t>
  </si>
  <si>
    <t>40.925</t>
  </si>
  <si>
    <t>B01N4L0SUV</t>
  </si>
  <si>
    <t>40.926</t>
  </si>
  <si>
    <t>B01N5R491F</t>
  </si>
  <si>
    <t>PE.376</t>
  </si>
  <si>
    <t>B01N6SQYFM</t>
  </si>
  <si>
    <t>PE.377</t>
  </si>
  <si>
    <t>B06VWNNKF9</t>
  </si>
  <si>
    <t>90.130F2</t>
  </si>
  <si>
    <t>B06W2JZMNV</t>
  </si>
  <si>
    <t>90.200</t>
  </si>
  <si>
    <t>B06Y4GZ9QP</t>
  </si>
  <si>
    <t>90.350V</t>
  </si>
  <si>
    <t>B0719SSDBX</t>
  </si>
  <si>
    <t>BT.001N</t>
  </si>
  <si>
    <t>B073B57HQH</t>
  </si>
  <si>
    <t>90.886</t>
  </si>
  <si>
    <t>B0763R9MPM</t>
  </si>
  <si>
    <t>BP.600</t>
  </si>
  <si>
    <t>B076DCF8PV</t>
  </si>
  <si>
    <t>BB.102</t>
  </si>
  <si>
    <t>B076DDBK1G</t>
  </si>
  <si>
    <t>BB.104</t>
  </si>
  <si>
    <t>B076QDRTK6</t>
  </si>
  <si>
    <t>40.915</t>
  </si>
  <si>
    <t>B07B7YLZ6Z</t>
  </si>
  <si>
    <t>BF.550</t>
  </si>
  <si>
    <t>B07BHTW4X8</t>
  </si>
  <si>
    <t>VE.402</t>
  </si>
  <si>
    <t>B07BHVLCF5</t>
  </si>
  <si>
    <t>BC.130</t>
  </si>
  <si>
    <t>B07J25HN6L</t>
  </si>
  <si>
    <t>ri.093</t>
  </si>
  <si>
    <t>B07J26M3W1</t>
  </si>
  <si>
    <t>ri.423</t>
  </si>
  <si>
    <t>B07KG9T4M7</t>
  </si>
  <si>
    <t>50600</t>
  </si>
  <si>
    <t>B07NNZKB8R</t>
  </si>
  <si>
    <t>BP.602</t>
  </si>
  <si>
    <t>B07NQ2ZBPV</t>
  </si>
  <si>
    <t>BT.300</t>
  </si>
  <si>
    <t>B07NQ4G4NX</t>
  </si>
  <si>
    <t>BP.500</t>
  </si>
  <si>
    <t>B07NQ9JF3Z</t>
  </si>
  <si>
    <t>BT.604</t>
  </si>
  <si>
    <t>B07P7GH655</t>
  </si>
  <si>
    <t>BT.450</t>
  </si>
  <si>
    <t>B07QY47V9Y</t>
  </si>
  <si>
    <t>40.453</t>
  </si>
  <si>
    <t>B07RMZYDCJ</t>
  </si>
  <si>
    <t>MD.127</t>
  </si>
  <si>
    <t>B07RQ7FRCS</t>
  </si>
  <si>
    <t>BB.002</t>
  </si>
  <si>
    <t>B07RVKV56Z</t>
  </si>
  <si>
    <t>CA.013</t>
  </si>
  <si>
    <t>B07TVTGQ5B</t>
  </si>
  <si>
    <t>40.918</t>
  </si>
  <si>
    <t>B07TWX1RX3</t>
  </si>
  <si>
    <t>40.919</t>
  </si>
  <si>
    <t>B07V5TWWXM</t>
  </si>
  <si>
    <t>BC.200</t>
  </si>
  <si>
    <t>B07XLT78B7</t>
  </si>
  <si>
    <t>1</t>
  </si>
  <si>
    <t>B07XYJ64GP</t>
  </si>
  <si>
    <t>RI.064</t>
  </si>
  <si>
    <t>B07YBMWZ4S</t>
  </si>
  <si>
    <t>50101</t>
  </si>
  <si>
    <t>B07ZHSCYF5</t>
  </si>
  <si>
    <t>BF.700</t>
  </si>
  <si>
    <t>B0813VLDQY</t>
  </si>
  <si>
    <t>BI.507</t>
  </si>
  <si>
    <t>B0823CLCWM</t>
  </si>
  <si>
    <t>BT.800</t>
  </si>
  <si>
    <t>B084HK5BF8</t>
  </si>
  <si>
    <t>RI.424</t>
  </si>
  <si>
    <t>B085JHTR6J</t>
  </si>
  <si>
    <t>BC.125</t>
  </si>
  <si>
    <t>B085JJJR91</t>
  </si>
  <si>
    <t>BC.210</t>
  </si>
  <si>
    <t>B088PKV3VL</t>
  </si>
  <si>
    <t>P206VEN300</t>
  </si>
  <si>
    <t>B088RZXVDL</t>
  </si>
  <si>
    <t>P206ZAN020</t>
  </si>
  <si>
    <t>B089BKBZV3</t>
  </si>
  <si>
    <t>P101TOS001</t>
  </si>
  <si>
    <t>B089DTP1BQ</t>
  </si>
  <si>
    <t>XUADA010</t>
  </si>
  <si>
    <t>B08C7TN27W</t>
  </si>
  <si>
    <t>P204FER001</t>
  </si>
  <si>
    <t>B08J47XH38</t>
  </si>
  <si>
    <t>RCORI552</t>
  </si>
  <si>
    <t>B08JM7SZ36</t>
  </si>
  <si>
    <t>C206UTI001</t>
  </si>
  <si>
    <t>B092JNYG6Z</t>
  </si>
  <si>
    <t>P204CAL201</t>
  </si>
  <si>
    <t>B093LRRNWT</t>
  </si>
  <si>
    <t>P102EST010</t>
  </si>
  <si>
    <t>B098TQ6NHC</t>
  </si>
  <si>
    <t>P201UTP010</t>
  </si>
  <si>
    <t>B09C2K1HQW</t>
  </si>
  <si>
    <t>P302MAS050</t>
  </si>
  <si>
    <t>B09J57VDX5</t>
  </si>
  <si>
    <t>P203TER200</t>
  </si>
  <si>
    <t>B09L8KL121</t>
  </si>
  <si>
    <t>P203TFO110</t>
  </si>
  <si>
    <t>B09MFYXGV9</t>
  </si>
  <si>
    <t>P101FRI012</t>
  </si>
  <si>
    <t>B09MKJBD92</t>
  </si>
  <si>
    <t>CP.007</t>
  </si>
  <si>
    <t>B0B57FLJFX</t>
  </si>
  <si>
    <t>P302VIS003</t>
  </si>
  <si>
    <t>B0BGQ9M54N</t>
  </si>
  <si>
    <t>P202VAL200</t>
  </si>
  <si>
    <t>B0BRQB2J4B</t>
  </si>
  <si>
    <t>PET005</t>
  </si>
  <si>
    <t>B0BVGFCVY7</t>
  </si>
  <si>
    <t>P206VEN161</t>
  </si>
  <si>
    <t>B0BW4HKZWQ</t>
  </si>
  <si>
    <t>P206VEN131</t>
  </si>
  <si>
    <t>B0C1C43RC7</t>
  </si>
  <si>
    <t>P206VEN650</t>
  </si>
  <si>
    <t>B0C2D47K4T</t>
  </si>
  <si>
    <t>P102CON550</t>
  </si>
  <si>
    <t>B0CHYQJ6F5</t>
  </si>
  <si>
    <t>P202ASP300</t>
  </si>
  <si>
    <t>(vuoto)</t>
  </si>
  <si>
    <t>B00EYF02AU</t>
  </si>
  <si>
    <t>90.502</t>
  </si>
  <si>
    <t>B00ZINWP5W</t>
  </si>
  <si>
    <t>40.996</t>
  </si>
  <si>
    <t>B011LLILUM</t>
  </si>
  <si>
    <t>90.520</t>
  </si>
  <si>
    <t>B01HM47LI0</t>
  </si>
  <si>
    <t>MD.002</t>
  </si>
  <si>
    <t>B01MTAUFYF</t>
  </si>
  <si>
    <t>PE.361</t>
  </si>
  <si>
    <t>B06VWTF7V3</t>
  </si>
  <si>
    <t>90.436H</t>
  </si>
  <si>
    <t>B06XYLCVBP</t>
  </si>
  <si>
    <t>50.920V</t>
  </si>
  <si>
    <t>B072C5RN48</t>
  </si>
  <si>
    <t>BT.001R</t>
  </si>
  <si>
    <t>B072FW64RR</t>
  </si>
  <si>
    <t>40.957N</t>
  </si>
  <si>
    <t>B076DN647N</t>
  </si>
  <si>
    <t>BB.001</t>
  </si>
  <si>
    <t>B07HHHBXHL</t>
  </si>
  <si>
    <t>50.940GO</t>
  </si>
  <si>
    <t>B07JXMJLG9</t>
  </si>
  <si>
    <t>RI.552</t>
  </si>
  <si>
    <t>B07Q47DQ4M</t>
  </si>
  <si>
    <t>BB.105</t>
  </si>
  <si>
    <t>B07RTKKND8</t>
  </si>
  <si>
    <t>BP.630</t>
  </si>
  <si>
    <t>B07RVLJ2KL</t>
  </si>
  <si>
    <t>BC.300</t>
  </si>
  <si>
    <t>B088V9LKW7</t>
  </si>
  <si>
    <t>P206VEN230</t>
  </si>
  <si>
    <t>B095SWNCBS</t>
  </si>
  <si>
    <t>P101TOS500</t>
  </si>
  <si>
    <t>Somma di Somma di Ordini Vendor 24</t>
  </si>
  <si>
    <t>Somma di Somma di Valori ordini Vendor 24</t>
  </si>
  <si>
    <t>Somma di Somma di Ordini Seller</t>
  </si>
  <si>
    <t>Somma di Somma di Valori ordini Seller</t>
  </si>
  <si>
    <t>Somma di Somma di Ordini Complessivi</t>
  </si>
  <si>
    <t>Somma di Somma di Valori ordini Complessivi</t>
  </si>
  <si>
    <t>Somma di Somma di Ordini Vendor 23</t>
  </si>
  <si>
    <t>Somma di Somma di Valori ordini Vendor 23</t>
  </si>
  <si>
    <t>Ordini Vendor 24</t>
  </si>
  <si>
    <t>Valori ordini Vendor 24</t>
  </si>
  <si>
    <t>Ordini Seller</t>
  </si>
  <si>
    <t>Valori ordini Seller</t>
  </si>
  <si>
    <t>Ordini Complessivi 24</t>
  </si>
  <si>
    <t>Valori ordini Complessivi 24</t>
  </si>
  <si>
    <t>Ordini Vendor 23</t>
  </si>
  <si>
    <t>Valori ordini Vendor 23</t>
  </si>
  <si>
    <t>VENDOR</t>
  </si>
  <si>
    <t>SELLER</t>
  </si>
  <si>
    <t xml:space="preserve">Valore % </t>
  </si>
  <si>
    <t>COMPLESSIVO</t>
  </si>
  <si>
    <t>DIFF</t>
  </si>
  <si>
    <t>Differenza Ordini</t>
  </si>
  <si>
    <t>Differenza Valore</t>
  </si>
  <si>
    <t>Differenza Valore %</t>
  </si>
  <si>
    <t>IT</t>
  </si>
  <si>
    <t>VENDOR VS SELLER</t>
  </si>
  <si>
    <t>Ordini Seller 24</t>
  </si>
  <si>
    <t>Valori ordini Seller 24</t>
  </si>
  <si>
    <t>% seller / totale</t>
  </si>
  <si>
    <t>B00YF2M62O</t>
  </si>
  <si>
    <t>90.396Y</t>
  </si>
  <si>
    <t>B011LFL5XS</t>
  </si>
  <si>
    <t>40.913</t>
  </si>
  <si>
    <t>B07RRBRGGN</t>
  </si>
  <si>
    <t>BT.750Y</t>
  </si>
  <si>
    <t>B07ZJP81R3</t>
  </si>
  <si>
    <t>BT.050</t>
  </si>
  <si>
    <t>Somma di Ordini Seller 24</t>
  </si>
  <si>
    <t>Somma di Valori ordini Seller 24</t>
  </si>
  <si>
    <t>Somma di % seller / totale</t>
  </si>
  <si>
    <t>Somma di Ordini Complessivi 24</t>
  </si>
  <si>
    <t>Somma di Valori ordini Complessivi 24</t>
  </si>
  <si>
    <t>Somma di Differenza Valore</t>
  </si>
  <si>
    <t>Somma di Differenza Valore %</t>
  </si>
  <si>
    <t>Conteggio di Differenza Ordini</t>
  </si>
  <si>
    <t>ALL MP</t>
  </si>
  <si>
    <t>ESTERO</t>
  </si>
  <si>
    <t>ITALIA</t>
  </si>
  <si>
    <t>Ordini vendor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</si>
</sst>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\ &quot;€&quot;_-;\-* #\ &quot;€&quot;_-;_-* &quot;-&quot;??\ &quot;€&quot;_-;_-@_-"/>
    <numFmt numFmtId="165" formatCode="#\ &quot;€&quot;"/>
    <numFmt numFmtId="166" formatCode="#\ &quot;€&quot;;\-#\ &quot;€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6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pivotButton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11" xfId="2" applyFon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9" fontId="0" fillId="4" borderId="1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3" applyNumberFormat="1" applyFont="1" applyBorder="1" applyAlignment="1">
      <alignment horizontal="center"/>
    </xf>
    <xf numFmtId="9" fontId="0" fillId="0" borderId="1" xfId="2" applyFon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165" fontId="0" fillId="0" borderId="5" xfId="0" applyNumberFormat="1" applyBorder="1"/>
    <xf numFmtId="9" fontId="0" fillId="0" borderId="11" xfId="2" applyFont="1" applyBorder="1"/>
    <xf numFmtId="165" fontId="0" fillId="0" borderId="0" xfId="0" applyNumberFormat="1"/>
    <xf numFmtId="9" fontId="0" fillId="0" borderId="5" xfId="2" applyFont="1" applyBorder="1"/>
    <xf numFmtId="165" fontId="0" fillId="0" borderId="10" xfId="3" applyNumberFormat="1" applyFont="1" applyBorder="1"/>
    <xf numFmtId="165" fontId="0" fillId="0" borderId="5" xfId="3" applyNumberFormat="1" applyFont="1" applyBorder="1"/>
    <xf numFmtId="166" fontId="0" fillId="0" borderId="0" xfId="3" applyNumberFormat="1" applyFont="1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11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9" fontId="0" fillId="4" borderId="1" xfId="2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9" fontId="0" fillId="0" borderId="3" xfId="2" applyFont="1" applyBorder="1" applyAlignment="1">
      <alignment horizontal="center"/>
    </xf>
    <xf numFmtId="9" fontId="0" fillId="0" borderId="0" xfId="2" applyFont="1" applyAlignment="1">
      <alignment horizontal="center"/>
    </xf>
    <xf numFmtId="0" fontId="0" fillId="4" borderId="9" xfId="0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9" fontId="0" fillId="0" borderId="1" xfId="2" applyFont="1" applyFill="1" applyBorder="1" applyAlignment="1">
      <alignment horizontal="center" vertical="center"/>
    </xf>
    <xf numFmtId="9" fontId="0" fillId="0" borderId="1" xfId="2" applyFont="1" applyFill="1" applyBorder="1" applyAlignment="1">
      <alignment horizontal="center"/>
    </xf>
    <xf numFmtId="9" fontId="0" fillId="0" borderId="15" xfId="2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5" fontId="0" fillId="2" borderId="22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9" fontId="0" fillId="2" borderId="22" xfId="2" applyFont="1" applyFill="1" applyBorder="1" applyAlignment="1">
      <alignment horizontal="center" vertical="center"/>
    </xf>
    <xf numFmtId="165" fontId="0" fillId="2" borderId="21" xfId="0" applyNumberForma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65" fontId="0" fillId="3" borderId="21" xfId="0" applyNumberFormat="1" applyFill="1" applyBorder="1" applyAlignment="1">
      <alignment horizontal="center" vertical="center"/>
    </xf>
    <xf numFmtId="165" fontId="0" fillId="3" borderId="22" xfId="0" applyNumberFormat="1" applyFill="1" applyBorder="1" applyAlignment="1">
      <alignment horizontal="center" vertical="center"/>
    </xf>
    <xf numFmtId="1" fontId="0" fillId="5" borderId="20" xfId="1" applyNumberFormat="1" applyFont="1" applyFill="1" applyBorder="1" applyAlignment="1">
      <alignment horizontal="center" vertical="center"/>
    </xf>
    <xf numFmtId="165" fontId="0" fillId="5" borderId="22" xfId="0" applyNumberFormat="1" applyFill="1" applyBorder="1" applyAlignment="1">
      <alignment horizontal="center" vertical="center"/>
    </xf>
    <xf numFmtId="9" fontId="0" fillId="5" borderId="21" xfId="2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9" fontId="0" fillId="2" borderId="24" xfId="2" applyFont="1" applyFill="1" applyBorder="1" applyAlignment="1">
      <alignment horizontal="center" vertical="center"/>
    </xf>
    <xf numFmtId="9" fontId="3" fillId="0" borderId="15" xfId="2" applyFont="1" applyFill="1" applyBorder="1" applyAlignment="1">
      <alignment horizontal="center" vertical="center"/>
    </xf>
    <xf numFmtId="9" fontId="3" fillId="0" borderId="1" xfId="2" applyFont="1" applyFill="1" applyBorder="1" applyAlignment="1">
      <alignment horizontal="center"/>
    </xf>
    <xf numFmtId="9" fontId="3" fillId="0" borderId="1" xfId="2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164" fontId="0" fillId="2" borderId="22" xfId="0" applyNumberForma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" fontId="0" fillId="5" borderId="22" xfId="1" applyNumberFormat="1" applyFont="1" applyFill="1" applyBorder="1" applyAlignment="1">
      <alignment horizontal="center" vertical="center"/>
    </xf>
    <xf numFmtId="164" fontId="0" fillId="5" borderId="22" xfId="0" applyNumberForma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4" borderId="9" xfId="0" applyNumberFormat="1" applyFill="1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2" borderId="20" xfId="0" applyNumberForma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0" xfId="0" applyNumberFormat="1"/>
    <xf numFmtId="164" fontId="0" fillId="2" borderId="21" xfId="0" applyNumberFormat="1" applyFill="1" applyBorder="1" applyAlignment="1">
      <alignment horizontal="center" vertical="center"/>
    </xf>
    <xf numFmtId="164" fontId="0" fillId="0" borderId="0" xfId="0" applyNumberFormat="1"/>
    <xf numFmtId="42" fontId="0" fillId="0" borderId="15" xfId="0" applyNumberFormat="1" applyBorder="1" applyAlignment="1">
      <alignment horizontal="center" vertical="center"/>
    </xf>
    <xf numFmtId="42" fontId="0" fillId="0" borderId="1" xfId="0" applyNumberFormat="1" applyBorder="1" applyAlignment="1">
      <alignment horizontal="center"/>
    </xf>
    <xf numFmtId="42" fontId="0" fillId="0" borderId="1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4" borderId="5" xfId="0" applyNumberForma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9" fontId="0" fillId="4" borderId="11" xfId="2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9" fontId="0" fillId="4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4">
    <cellStyle name="Migliaia" xfId="1" builtinId="3"/>
    <cellStyle name="Normale" xfId="0" builtinId="0"/>
    <cellStyle name="Percentuale" xfId="2" builtinId="5"/>
    <cellStyle name="Valuta" xfId="3" builtinId="4"/>
  </cellStyles>
  <dxfs count="6">
    <dxf>
      <font>
        <color rgb="FFC00000"/>
      </font>
      <fill>
        <patternFill>
          <bgColor rgb="FFFFCCCC"/>
        </patternFill>
      </fill>
    </dxf>
    <dxf>
      <font>
        <color theme="9" tint="-0.24994659260841701"/>
      </font>
      <fill>
        <patternFill>
          <fgColor rgb="FFCCFF66"/>
          <bgColor rgb="FFCCFF99"/>
        </patternFill>
      </fill>
    </dxf>
    <dxf>
      <font>
        <color theme="9" tint="-0.24994659260841701"/>
      </font>
      <fill>
        <patternFill>
          <fgColor rgb="FFCCFF66"/>
          <bgColor rgb="FFCCFF66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C00000"/>
      </font>
      <fill>
        <patternFill>
          <bgColor rgb="FFFFCCCC"/>
        </patternFill>
      </fill>
    </dxf>
    <dxf>
      <font>
        <color theme="9" tint="-0.24994659260841701"/>
      </font>
      <fill>
        <patternFill>
          <bgColor rgb="FFCCFF99"/>
        </patternFill>
      </fill>
    </dxf>
  </dxfs>
  <tableStyles count="0" defaultTableStyle="TableStyleMedium2" defaultPivotStyle="PivotStyleLight16"/>
  <colors>
    <mruColors>
      <color rgb="FFCCCCFF"/>
      <color rgb="FFFFCCFF"/>
      <color rgb="FFCCFFFF"/>
      <color rgb="FFCCFF66"/>
      <color rgb="FFCCFFCC"/>
      <color rgb="FFFFCCCC"/>
      <color rgb="FFCCFF99"/>
      <color rgb="FF99FF66"/>
      <color rgb="FFFF99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lip\Desktop\report\sell_out\sell_out_01_gennaio_2024_vs_2023.xlsx" TargetMode="External"/><Relationship Id="rId1" Type="http://schemas.openxmlformats.org/officeDocument/2006/relationships/externalLinkPath" Target="sell_out_01_gennaio_2024_vs_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lip\Desktop\report\sell_out\sell_out_02_%20febbraio_2024_vs_2023.xlsx" TargetMode="External"/><Relationship Id="rId1" Type="http://schemas.openxmlformats.org/officeDocument/2006/relationships/externalLinkPath" Target="sell_out_02_%20febbraio_2024_vs_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lip\Desktop\report\sell_out\sell_out_03_marzo_2024_vs_2023.xlsx" TargetMode="External"/><Relationship Id="rId1" Type="http://schemas.openxmlformats.org/officeDocument/2006/relationships/externalLinkPath" Target="sell_out_03_marzo_2024_vs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or_01_2023"/>
      <sheetName val="vendor_01_2024"/>
      <sheetName val="seller_01_2024"/>
      <sheetName val="v_2023"/>
      <sheetName val="v_2024"/>
      <sheetName val="s_2024"/>
      <sheetName val="pivot"/>
      <sheetName val="IT"/>
      <sheetName val="complessivo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Codice marketplace</v>
          </cell>
          <cell r="B1" t="str">
            <v>(Tutto)</v>
          </cell>
          <cell r="F1" t="str">
            <v>Codice marketplace</v>
          </cell>
          <cell r="G1" t="str">
            <v>IT</v>
          </cell>
        </row>
        <row r="3">
          <cell r="A3" t="str">
            <v>ASIN</v>
          </cell>
          <cell r="B3" t="str">
            <v>Numero del modello</v>
          </cell>
          <cell r="F3" t="str">
            <v>ASIN</v>
          </cell>
          <cell r="G3" t="str">
            <v>Numero del modello</v>
          </cell>
          <cell r="H3" t="str">
            <v>Somma di Unità ordinate</v>
          </cell>
          <cell r="I3" t="str">
            <v>Somma di Ricavi ordini</v>
          </cell>
        </row>
        <row r="4">
          <cell r="A4" t="str">
            <v>B0050IHH4E</v>
          </cell>
          <cell r="B4" t="str">
            <v>40.979</v>
          </cell>
          <cell r="F4" t="str">
            <v>B0050IHH4E</v>
          </cell>
          <cell r="G4" t="str">
            <v>40.979</v>
          </cell>
          <cell r="H4">
            <v>14</v>
          </cell>
          <cell r="I4">
            <v>182.42</v>
          </cell>
        </row>
        <row r="5">
          <cell r="A5" t="str">
            <v>B00BH202XK</v>
          </cell>
          <cell r="B5" t="str">
            <v>40.808A</v>
          </cell>
          <cell r="F5" t="str">
            <v>B00BH202XK</v>
          </cell>
          <cell r="G5" t="str">
            <v>40.808A</v>
          </cell>
          <cell r="H5">
            <v>1</v>
          </cell>
          <cell r="I5">
            <v>20.59</v>
          </cell>
        </row>
        <row r="6">
          <cell r="A6" t="str">
            <v>B00C5CCJP0</v>
          </cell>
          <cell r="B6" t="str">
            <v>40.993</v>
          </cell>
          <cell r="F6" t="str">
            <v>B00CMAD2FG</v>
          </cell>
          <cell r="G6" t="str">
            <v>HK-NV009W</v>
          </cell>
          <cell r="H6">
            <v>1</v>
          </cell>
          <cell r="I6">
            <v>19.690000000000001</v>
          </cell>
        </row>
        <row r="7">
          <cell r="A7" t="str">
            <v>B00CMAD2FG</v>
          </cell>
          <cell r="B7" t="str">
            <v>HK-NV009W</v>
          </cell>
          <cell r="F7" t="str">
            <v>B00EYDRS1I</v>
          </cell>
          <cell r="G7" t="str">
            <v>90.349</v>
          </cell>
          <cell r="H7">
            <v>109</v>
          </cell>
          <cell r="I7">
            <v>755.85</v>
          </cell>
        </row>
        <row r="8">
          <cell r="A8" t="str">
            <v>B00EYDRS1I</v>
          </cell>
          <cell r="B8" t="str">
            <v>90.349</v>
          </cell>
          <cell r="F8" t="str">
            <v>B00EYF02AU</v>
          </cell>
          <cell r="G8" t="str">
            <v>90.502</v>
          </cell>
          <cell r="H8">
            <v>0</v>
          </cell>
          <cell r="I8">
            <v>0</v>
          </cell>
        </row>
        <row r="9">
          <cell r="A9" t="str">
            <v>B00EYF02AU</v>
          </cell>
          <cell r="B9" t="str">
            <v>90.502</v>
          </cell>
          <cell r="F9" t="str">
            <v>B00FAJUDU8</v>
          </cell>
          <cell r="G9" t="str">
            <v>40.967N</v>
          </cell>
          <cell r="H9">
            <v>165</v>
          </cell>
          <cell r="I9">
            <v>3367.65</v>
          </cell>
        </row>
        <row r="10">
          <cell r="A10" t="str">
            <v>B00EZ4185S</v>
          </cell>
          <cell r="B10" t="str">
            <v>RI.501SL</v>
          </cell>
          <cell r="F10" t="str">
            <v>B00FFBFVG2</v>
          </cell>
          <cell r="G10" t="str">
            <v>40.100</v>
          </cell>
          <cell r="H10">
            <v>9</v>
          </cell>
          <cell r="I10">
            <v>71.489999999999995</v>
          </cell>
        </row>
        <row r="11">
          <cell r="A11" t="str">
            <v>B00FAJUDU8</v>
          </cell>
          <cell r="B11" t="str">
            <v>40.967N</v>
          </cell>
          <cell r="F11" t="str">
            <v>B00L5GPWFG</v>
          </cell>
          <cell r="G11" t="str">
            <v>40.120</v>
          </cell>
          <cell r="H11">
            <v>20</v>
          </cell>
          <cell r="I11">
            <v>325.83999999999997</v>
          </cell>
        </row>
        <row r="12">
          <cell r="A12" t="str">
            <v>B00FFBED98</v>
          </cell>
          <cell r="B12" t="str">
            <v>40.11</v>
          </cell>
          <cell r="F12" t="str">
            <v>B00L5H5KUW</v>
          </cell>
          <cell r="G12" t="str">
            <v>40.121</v>
          </cell>
          <cell r="H12">
            <v>258</v>
          </cell>
          <cell r="I12">
            <v>4379.4399999999996</v>
          </cell>
        </row>
        <row r="13">
          <cell r="A13" t="str">
            <v>B00FFBFVG2</v>
          </cell>
          <cell r="B13" t="str">
            <v>40.100</v>
          </cell>
          <cell r="F13" t="str">
            <v>B00NSNZSLM</v>
          </cell>
          <cell r="G13" t="str">
            <v>90.602</v>
          </cell>
          <cell r="H13">
            <v>388</v>
          </cell>
          <cell r="I13">
            <v>7919.08</v>
          </cell>
        </row>
        <row r="14">
          <cell r="A14" t="str">
            <v>B00J7MNQFS</v>
          </cell>
          <cell r="B14" t="str">
            <v>40.994</v>
          </cell>
          <cell r="F14" t="str">
            <v>B00OKE4RTM</v>
          </cell>
          <cell r="G14" t="str">
            <v>90.386</v>
          </cell>
          <cell r="H14">
            <v>7</v>
          </cell>
          <cell r="I14">
            <v>364.33</v>
          </cell>
        </row>
        <row r="15">
          <cell r="A15" t="str">
            <v>B00L5GPWFG</v>
          </cell>
          <cell r="B15" t="str">
            <v>40.120</v>
          </cell>
          <cell r="F15" t="str">
            <v>B00OLZPU5K</v>
          </cell>
          <cell r="G15" t="str">
            <v>40.947</v>
          </cell>
          <cell r="H15">
            <v>7</v>
          </cell>
          <cell r="I15">
            <v>71.13</v>
          </cell>
        </row>
        <row r="16">
          <cell r="A16" t="str">
            <v>B00L5H5KUW</v>
          </cell>
          <cell r="B16" t="str">
            <v>40.121</v>
          </cell>
          <cell r="F16" t="str">
            <v>B00YCPX8R6</v>
          </cell>
          <cell r="G16" t="str">
            <v>40.969</v>
          </cell>
          <cell r="H16">
            <v>4</v>
          </cell>
          <cell r="I16">
            <v>27.55</v>
          </cell>
        </row>
        <row r="17">
          <cell r="A17" t="str">
            <v>B00NSNZSLM</v>
          </cell>
          <cell r="B17" t="str">
            <v>90.602</v>
          </cell>
          <cell r="F17" t="str">
            <v>B011LFVLW8</v>
          </cell>
          <cell r="G17" t="str">
            <v>90.620</v>
          </cell>
          <cell r="H17">
            <v>99</v>
          </cell>
          <cell r="I17">
            <v>2832.39</v>
          </cell>
        </row>
        <row r="18">
          <cell r="A18" t="str">
            <v>B00OKE4RTM</v>
          </cell>
          <cell r="B18" t="str">
            <v>90.386</v>
          </cell>
          <cell r="F18" t="str">
            <v>B016MWFVIU</v>
          </cell>
          <cell r="G18" t="str">
            <v>40.761</v>
          </cell>
          <cell r="H18">
            <v>1</v>
          </cell>
          <cell r="I18">
            <v>11.82</v>
          </cell>
        </row>
        <row r="19">
          <cell r="A19" t="str">
            <v>B00OLZPU5K</v>
          </cell>
          <cell r="B19" t="str">
            <v>40.947</v>
          </cell>
          <cell r="F19" t="str">
            <v>B017IUJA50</v>
          </cell>
          <cell r="G19" t="str">
            <v>90.920G</v>
          </cell>
          <cell r="H19">
            <v>1487</v>
          </cell>
          <cell r="I19">
            <v>19352.55</v>
          </cell>
        </row>
        <row r="20">
          <cell r="A20" t="str">
            <v>B00WR5UPZG</v>
          </cell>
          <cell r="B20" t="str">
            <v>40.978</v>
          </cell>
          <cell r="F20" t="str">
            <v>B01CA687DI</v>
          </cell>
          <cell r="G20" t="str">
            <v>90.514</v>
          </cell>
          <cell r="H20">
            <v>1</v>
          </cell>
          <cell r="I20">
            <v>27.93</v>
          </cell>
        </row>
        <row r="21">
          <cell r="A21" t="str">
            <v>B00YAIEPNQ</v>
          </cell>
          <cell r="B21" t="str">
            <v>90.605</v>
          </cell>
          <cell r="F21" t="str">
            <v>B01CNX71NA</v>
          </cell>
          <cell r="G21" t="str">
            <v>90.871</v>
          </cell>
          <cell r="H21">
            <v>3</v>
          </cell>
          <cell r="I21">
            <v>238.42</v>
          </cell>
        </row>
        <row r="22">
          <cell r="A22" t="str">
            <v>B00YCPX8R6</v>
          </cell>
          <cell r="B22" t="str">
            <v>40.969</v>
          </cell>
          <cell r="F22" t="str">
            <v>B01HGS9EPA</v>
          </cell>
          <cell r="G22" t="str">
            <v>40.531</v>
          </cell>
          <cell r="H22">
            <v>0</v>
          </cell>
          <cell r="I22">
            <v>0</v>
          </cell>
        </row>
        <row r="23">
          <cell r="A23" t="str">
            <v>B00ZINWP5W</v>
          </cell>
          <cell r="B23" t="str">
            <v>40.996</v>
          </cell>
          <cell r="F23" t="str">
            <v>B01HM47LF8</v>
          </cell>
          <cell r="G23" t="str">
            <v>MD.004</v>
          </cell>
          <cell r="H23">
            <v>13</v>
          </cell>
          <cell r="I23">
            <v>44.07</v>
          </cell>
        </row>
        <row r="24">
          <cell r="A24" t="str">
            <v>B011LFVLW8</v>
          </cell>
          <cell r="B24" t="str">
            <v>90.620</v>
          </cell>
          <cell r="F24" t="str">
            <v>B01I497WWM</v>
          </cell>
          <cell r="G24" t="str">
            <v>90.920R</v>
          </cell>
          <cell r="H24">
            <v>2922</v>
          </cell>
          <cell r="I24">
            <v>34319.58</v>
          </cell>
        </row>
        <row r="25">
          <cell r="A25" t="str">
            <v>B011LLILUM</v>
          </cell>
          <cell r="B25" t="str">
            <v>90.520</v>
          </cell>
          <cell r="F25" t="str">
            <v>B01IHGX2HQ</v>
          </cell>
          <cell r="G25" t="str">
            <v>MD.104</v>
          </cell>
          <cell r="H25">
            <v>9</v>
          </cell>
          <cell r="I25">
            <v>37.22</v>
          </cell>
        </row>
        <row r="26">
          <cell r="A26" t="str">
            <v>B016MWFVIU</v>
          </cell>
          <cell r="B26" t="str">
            <v>40.761</v>
          </cell>
          <cell r="F26" t="str">
            <v>B01II660SS</v>
          </cell>
          <cell r="G26" t="str">
            <v>MD.213</v>
          </cell>
          <cell r="H26">
            <v>14</v>
          </cell>
          <cell r="I26">
            <v>117.64</v>
          </cell>
        </row>
        <row r="27">
          <cell r="A27" t="str">
            <v>B017IUJA50</v>
          </cell>
          <cell r="B27" t="str">
            <v>90.920G</v>
          </cell>
          <cell r="F27" t="str">
            <v>B01II7S968</v>
          </cell>
          <cell r="G27" t="str">
            <v>MD.217</v>
          </cell>
          <cell r="H27">
            <v>7</v>
          </cell>
          <cell r="I27">
            <v>42.76</v>
          </cell>
        </row>
        <row r="28">
          <cell r="A28" t="str">
            <v>B01CA687DI</v>
          </cell>
          <cell r="B28" t="str">
            <v>90.514</v>
          </cell>
          <cell r="F28" t="str">
            <v>B01KMJ9OXW</v>
          </cell>
          <cell r="G28" t="str">
            <v>90.590Y</v>
          </cell>
          <cell r="H28">
            <v>597</v>
          </cell>
          <cell r="I28">
            <v>17144.47</v>
          </cell>
        </row>
        <row r="29">
          <cell r="A29" t="str">
            <v>B01CNX6Z78</v>
          </cell>
          <cell r="B29" t="str">
            <v>90.820</v>
          </cell>
          <cell r="F29" t="str">
            <v>B01M4O6145</v>
          </cell>
          <cell r="G29" t="str">
            <v>90.071</v>
          </cell>
          <cell r="H29">
            <v>60</v>
          </cell>
          <cell r="I29">
            <v>1297.24</v>
          </cell>
        </row>
        <row r="30">
          <cell r="A30" t="str">
            <v>B01CNX704K</v>
          </cell>
          <cell r="B30" t="str">
            <v>90.825</v>
          </cell>
          <cell r="F30" t="str">
            <v>B01MTSEGF9</v>
          </cell>
          <cell r="G30" t="str">
            <v>50.700</v>
          </cell>
          <cell r="H30">
            <v>266</v>
          </cell>
          <cell r="I30">
            <v>7610.26</v>
          </cell>
        </row>
        <row r="31">
          <cell r="A31" t="str">
            <v>B01CNX71NA</v>
          </cell>
          <cell r="B31" t="str">
            <v>90.871</v>
          </cell>
          <cell r="F31" t="str">
            <v>B01N5R491F</v>
          </cell>
          <cell r="G31" t="str">
            <v>PE.376</v>
          </cell>
          <cell r="H31">
            <v>26</v>
          </cell>
          <cell r="I31">
            <v>223.33</v>
          </cell>
        </row>
        <row r="32">
          <cell r="A32" t="str">
            <v>B01HGS9EPA</v>
          </cell>
          <cell r="B32" t="str">
            <v>40.531</v>
          </cell>
          <cell r="F32" t="str">
            <v>B01N6SQYFM</v>
          </cell>
          <cell r="G32" t="str">
            <v>PE.377</v>
          </cell>
          <cell r="H32">
            <v>16</v>
          </cell>
          <cell r="I32">
            <v>150.5</v>
          </cell>
        </row>
        <row r="33">
          <cell r="A33" t="str">
            <v>B01HM47LF8</v>
          </cell>
          <cell r="B33" t="str">
            <v>MD.004</v>
          </cell>
          <cell r="F33" t="str">
            <v>B06VWTF7V3</v>
          </cell>
          <cell r="G33" t="str">
            <v>90.436H</v>
          </cell>
          <cell r="H33">
            <v>0</v>
          </cell>
          <cell r="I33">
            <v>0</v>
          </cell>
        </row>
        <row r="34">
          <cell r="A34" t="str">
            <v>B01HM47LI0</v>
          </cell>
          <cell r="B34" t="str">
            <v>MD.002</v>
          </cell>
          <cell r="F34" t="str">
            <v>B06WGS8ZVG</v>
          </cell>
          <cell r="G34" t="str">
            <v>90.131</v>
          </cell>
          <cell r="H34">
            <v>8</v>
          </cell>
          <cell r="I34">
            <v>100.16</v>
          </cell>
        </row>
        <row r="35">
          <cell r="A35" t="str">
            <v>B01I497WWM</v>
          </cell>
          <cell r="B35" t="str">
            <v>90.920R</v>
          </cell>
          <cell r="F35" t="str">
            <v>B06XPK3BTC</v>
          </cell>
          <cell r="G35" t="str">
            <v>40.450GO</v>
          </cell>
          <cell r="H35">
            <v>3</v>
          </cell>
          <cell r="I35">
            <v>48.93</v>
          </cell>
        </row>
        <row r="36">
          <cell r="A36" t="str">
            <v>B01IHGX2HQ</v>
          </cell>
          <cell r="B36" t="str">
            <v>MD.104</v>
          </cell>
          <cell r="F36" t="str">
            <v>B06XPYSCGJ</v>
          </cell>
          <cell r="G36" t="str">
            <v>40.939</v>
          </cell>
          <cell r="H36">
            <v>1</v>
          </cell>
          <cell r="I36">
            <v>6.89</v>
          </cell>
        </row>
        <row r="37">
          <cell r="A37" t="str">
            <v>B01II660SS</v>
          </cell>
          <cell r="B37" t="str">
            <v>MD.213</v>
          </cell>
          <cell r="F37" t="str">
            <v>B06XYLCVBP</v>
          </cell>
          <cell r="G37" t="str">
            <v>50.920V</v>
          </cell>
          <cell r="H37">
            <v>-1</v>
          </cell>
          <cell r="I37">
            <v>-11.39</v>
          </cell>
        </row>
        <row r="38">
          <cell r="A38" t="str">
            <v>B01II7S968</v>
          </cell>
          <cell r="B38" t="str">
            <v>MD.217</v>
          </cell>
          <cell r="F38" t="str">
            <v>B06Y17FS6D</v>
          </cell>
          <cell r="G38" t="str">
            <v>90.550</v>
          </cell>
          <cell r="H38">
            <v>586</v>
          </cell>
          <cell r="I38">
            <v>14362.86</v>
          </cell>
        </row>
        <row r="39">
          <cell r="A39" t="str">
            <v>B01ITBZK38</v>
          </cell>
          <cell r="B39" t="str">
            <v>PO.002</v>
          </cell>
          <cell r="F39" t="str">
            <v>B06Y1997YH</v>
          </cell>
          <cell r="G39" t="str">
            <v>90.883</v>
          </cell>
          <cell r="H39">
            <v>65</v>
          </cell>
          <cell r="I39">
            <v>3560.59</v>
          </cell>
        </row>
        <row r="40">
          <cell r="A40" t="str">
            <v>B01KMJ9OXW</v>
          </cell>
          <cell r="B40" t="str">
            <v>90.590Y</v>
          </cell>
          <cell r="F40" t="str">
            <v>B072C5RN48</v>
          </cell>
          <cell r="G40" t="str">
            <v>BT.001R</v>
          </cell>
          <cell r="H40">
            <v>0</v>
          </cell>
          <cell r="I40">
            <v>0</v>
          </cell>
        </row>
        <row r="41">
          <cell r="A41" t="str">
            <v>B01M4O6145</v>
          </cell>
          <cell r="B41" t="str">
            <v>90.071</v>
          </cell>
          <cell r="F41" t="str">
            <v>B072FW64RR</v>
          </cell>
          <cell r="G41" t="str">
            <v>40.957N</v>
          </cell>
          <cell r="H41">
            <v>2</v>
          </cell>
          <cell r="I41">
            <v>23.6</v>
          </cell>
        </row>
        <row r="42">
          <cell r="A42" t="str">
            <v>B01MFCQKVN</v>
          </cell>
          <cell r="B42" t="str">
            <v>90.836</v>
          </cell>
          <cell r="F42" t="str">
            <v>B073B57HQH</v>
          </cell>
          <cell r="G42" t="str">
            <v>90.886</v>
          </cell>
          <cell r="H42">
            <v>2</v>
          </cell>
          <cell r="I42">
            <v>211.48</v>
          </cell>
        </row>
        <row r="43">
          <cell r="A43" t="str">
            <v>B01MTAUFYF</v>
          </cell>
          <cell r="B43" t="str">
            <v>PE.361</v>
          </cell>
          <cell r="F43" t="str">
            <v>B073B67PLQ</v>
          </cell>
          <cell r="G43" t="str">
            <v>90.884</v>
          </cell>
          <cell r="H43">
            <v>38</v>
          </cell>
          <cell r="I43">
            <v>2800.22</v>
          </cell>
        </row>
        <row r="44">
          <cell r="A44" t="str">
            <v>B01MTSEGF9</v>
          </cell>
          <cell r="B44" t="str">
            <v>50.700</v>
          </cell>
          <cell r="F44" t="str">
            <v>B0757TJRR9</v>
          </cell>
          <cell r="G44" t="str">
            <v>40.500</v>
          </cell>
          <cell r="H44">
            <v>304</v>
          </cell>
          <cell r="I44">
            <v>8435.0400000000009</v>
          </cell>
        </row>
        <row r="45">
          <cell r="A45" t="str">
            <v>B01N4L0SUV</v>
          </cell>
          <cell r="B45" t="str">
            <v>40.926</v>
          </cell>
          <cell r="F45" t="str">
            <v>B075K5C2QG</v>
          </cell>
          <cell r="G45" t="str">
            <v>RI.201</v>
          </cell>
          <cell r="H45">
            <v>-1</v>
          </cell>
          <cell r="I45">
            <v>-14.75</v>
          </cell>
        </row>
        <row r="46">
          <cell r="A46" t="str">
            <v>B01N5R491F</v>
          </cell>
          <cell r="B46" t="str">
            <v>PE.376</v>
          </cell>
          <cell r="F46" t="str">
            <v>B075RF5S3N</v>
          </cell>
          <cell r="G46" t="str">
            <v>BC.160A</v>
          </cell>
          <cell r="H46">
            <v>19</v>
          </cell>
          <cell r="I46">
            <v>465.69</v>
          </cell>
        </row>
        <row r="47">
          <cell r="A47" t="str">
            <v>B01N6SQYFM</v>
          </cell>
          <cell r="B47" t="str">
            <v>PE.377</v>
          </cell>
          <cell r="F47" t="str">
            <v>B075RF8FM9</v>
          </cell>
          <cell r="G47" t="str">
            <v>BC.160G</v>
          </cell>
          <cell r="H47">
            <v>2</v>
          </cell>
          <cell r="I47">
            <v>49.02</v>
          </cell>
        </row>
        <row r="48">
          <cell r="A48" t="str">
            <v>B06VWNNKF9</v>
          </cell>
          <cell r="B48" t="str">
            <v>90.130F2</v>
          </cell>
          <cell r="F48" t="str">
            <v>B0763R9MPM</v>
          </cell>
          <cell r="G48" t="str">
            <v>BP.600</v>
          </cell>
          <cell r="H48">
            <v>1</v>
          </cell>
          <cell r="I48">
            <v>21.51</v>
          </cell>
        </row>
        <row r="49">
          <cell r="A49" t="str">
            <v>B06VWTF7V3</v>
          </cell>
          <cell r="B49" t="str">
            <v>90.436H</v>
          </cell>
          <cell r="F49" t="str">
            <v>B076DC4VWG</v>
          </cell>
          <cell r="G49" t="str">
            <v>40.501</v>
          </cell>
          <cell r="H49">
            <v>2</v>
          </cell>
          <cell r="I49">
            <v>45.58</v>
          </cell>
        </row>
        <row r="50">
          <cell r="A50" t="str">
            <v>B06WGS8ZVG</v>
          </cell>
          <cell r="B50" t="str">
            <v>90.131</v>
          </cell>
          <cell r="F50" t="str">
            <v>B076DCKSTJ</v>
          </cell>
          <cell r="G50" t="str">
            <v>BT.602H</v>
          </cell>
          <cell r="H50">
            <v>417</v>
          </cell>
          <cell r="I50">
            <v>8510.9699999999993</v>
          </cell>
        </row>
        <row r="51">
          <cell r="A51" t="str">
            <v>B06XPK3BTC</v>
          </cell>
          <cell r="B51" t="str">
            <v>40.450GO</v>
          </cell>
          <cell r="F51" t="str">
            <v>B076DCL19C</v>
          </cell>
          <cell r="G51" t="str">
            <v>BP.720</v>
          </cell>
          <cell r="H51">
            <v>18</v>
          </cell>
          <cell r="I51">
            <v>1031.4000000000001</v>
          </cell>
        </row>
        <row r="52">
          <cell r="A52" t="str">
            <v>B06XPYSCGJ</v>
          </cell>
          <cell r="B52" t="str">
            <v>40.939</v>
          </cell>
          <cell r="F52" t="str">
            <v>B076Q7BR6F</v>
          </cell>
          <cell r="G52" t="str">
            <v>BC.041N</v>
          </cell>
          <cell r="H52">
            <v>222</v>
          </cell>
          <cell r="I52">
            <v>9036.6</v>
          </cell>
        </row>
        <row r="53">
          <cell r="A53" t="str">
            <v>B06XQ25NLB</v>
          </cell>
          <cell r="B53" t="str">
            <v>40.220</v>
          </cell>
          <cell r="F53" t="str">
            <v>B076QCMZX1</v>
          </cell>
          <cell r="G53" t="str">
            <v>40.821</v>
          </cell>
          <cell r="H53">
            <v>2</v>
          </cell>
          <cell r="I53">
            <v>33.9</v>
          </cell>
        </row>
        <row r="54">
          <cell r="A54" t="str">
            <v>B06XYLCVBP</v>
          </cell>
          <cell r="B54" t="str">
            <v>50.920V</v>
          </cell>
          <cell r="F54" t="str">
            <v>B076QDRTK6</v>
          </cell>
          <cell r="G54" t="str">
            <v>40.915</v>
          </cell>
          <cell r="H54">
            <v>14</v>
          </cell>
          <cell r="I54">
            <v>71.680000000000007</v>
          </cell>
        </row>
        <row r="55">
          <cell r="A55" t="str">
            <v>B06Y17FS6D</v>
          </cell>
          <cell r="B55" t="str">
            <v>90.550</v>
          </cell>
          <cell r="F55" t="str">
            <v>B076QFRRZ5</v>
          </cell>
          <cell r="G55" t="str">
            <v>40.931</v>
          </cell>
          <cell r="H55">
            <v>181</v>
          </cell>
          <cell r="I55">
            <v>2670.84</v>
          </cell>
        </row>
        <row r="56">
          <cell r="A56" t="str">
            <v>B06Y195DJN</v>
          </cell>
          <cell r="B56" t="str">
            <v>90.882</v>
          </cell>
          <cell r="F56" t="str">
            <v>B079SB5VJZ</v>
          </cell>
          <cell r="G56" t="str">
            <v>50451</v>
          </cell>
          <cell r="H56">
            <v>400</v>
          </cell>
          <cell r="I56">
            <v>13080</v>
          </cell>
        </row>
        <row r="57">
          <cell r="A57" t="str">
            <v>B06Y1997YH</v>
          </cell>
          <cell r="B57" t="str">
            <v>90.883</v>
          </cell>
          <cell r="F57" t="str">
            <v>B07B7YLZ6Z</v>
          </cell>
          <cell r="G57" t="str">
            <v>BF.550</v>
          </cell>
          <cell r="H57">
            <v>1</v>
          </cell>
          <cell r="I57">
            <v>64.61</v>
          </cell>
        </row>
        <row r="58">
          <cell r="A58" t="str">
            <v>B06Y4GZ9QP</v>
          </cell>
          <cell r="B58" t="str">
            <v>90.350V</v>
          </cell>
          <cell r="F58" t="str">
            <v>B07B9CPH62</v>
          </cell>
          <cell r="G58" t="str">
            <v>BG.200Y</v>
          </cell>
          <cell r="H58">
            <v>23</v>
          </cell>
          <cell r="I58">
            <v>1118.2</v>
          </cell>
        </row>
        <row r="59">
          <cell r="A59" t="str">
            <v>B072C5RN48</v>
          </cell>
          <cell r="B59" t="str">
            <v>BT.001R</v>
          </cell>
          <cell r="F59" t="str">
            <v>B07BB2DQ4V</v>
          </cell>
          <cell r="G59" t="str">
            <v>BT.150Y</v>
          </cell>
          <cell r="H59">
            <v>20</v>
          </cell>
          <cell r="I59">
            <v>490.2</v>
          </cell>
        </row>
        <row r="60">
          <cell r="A60" t="str">
            <v>B072FW64RR</v>
          </cell>
          <cell r="B60" t="str">
            <v>40.957N</v>
          </cell>
          <cell r="F60" t="str">
            <v>B07BHCZR84</v>
          </cell>
          <cell r="G60" t="str">
            <v>BA.200Y</v>
          </cell>
          <cell r="H60">
            <v>2</v>
          </cell>
          <cell r="I60">
            <v>26.88</v>
          </cell>
        </row>
        <row r="61">
          <cell r="A61" t="str">
            <v>B073B57HQH</v>
          </cell>
          <cell r="B61" t="str">
            <v>90.886</v>
          </cell>
          <cell r="F61" t="str">
            <v>B07BHTW4X8</v>
          </cell>
          <cell r="G61" t="str">
            <v>VE.402</v>
          </cell>
          <cell r="H61">
            <v>0</v>
          </cell>
          <cell r="I61">
            <v>0</v>
          </cell>
        </row>
        <row r="62">
          <cell r="A62" t="str">
            <v>B073B67PLQ</v>
          </cell>
          <cell r="B62" t="str">
            <v>90.884</v>
          </cell>
          <cell r="F62" t="str">
            <v>B07HHHBXHL</v>
          </cell>
          <cell r="G62" t="str">
            <v>50.940GO</v>
          </cell>
          <cell r="H62">
            <v>2</v>
          </cell>
          <cell r="I62">
            <v>49.02</v>
          </cell>
        </row>
        <row r="63">
          <cell r="A63" t="str">
            <v>B0757TJRR9</v>
          </cell>
          <cell r="B63" t="str">
            <v>40.500</v>
          </cell>
          <cell r="F63" t="str">
            <v>B07HM7P6MP</v>
          </cell>
          <cell r="G63" t="str">
            <v>RI.080</v>
          </cell>
          <cell r="H63">
            <v>91</v>
          </cell>
          <cell r="I63">
            <v>2230.41</v>
          </cell>
        </row>
        <row r="64">
          <cell r="A64" t="str">
            <v>B075FX6RFP</v>
          </cell>
          <cell r="B64" t="str">
            <v>BC.040N</v>
          </cell>
          <cell r="F64" t="str">
            <v>B07J25HN6L</v>
          </cell>
          <cell r="G64" t="str">
            <v>ri.093</v>
          </cell>
          <cell r="H64">
            <v>1</v>
          </cell>
          <cell r="I64">
            <v>20.41</v>
          </cell>
        </row>
        <row r="65">
          <cell r="A65" t="str">
            <v>B075K5C2QG</v>
          </cell>
          <cell r="B65" t="str">
            <v>RI.201</v>
          </cell>
          <cell r="F65" t="str">
            <v>B07JGVMFY1</v>
          </cell>
          <cell r="G65" t="str">
            <v>BP.581</v>
          </cell>
          <cell r="H65">
            <v>13</v>
          </cell>
          <cell r="I65">
            <v>199.11</v>
          </cell>
        </row>
        <row r="66">
          <cell r="A66" t="str">
            <v>B075RF5S3N</v>
          </cell>
          <cell r="B66" t="str">
            <v>BC.160A</v>
          </cell>
          <cell r="F66" t="str">
            <v>B07JXMJLG9</v>
          </cell>
          <cell r="G66" t="str">
            <v>RI.552</v>
          </cell>
          <cell r="H66">
            <v>0</v>
          </cell>
          <cell r="I66">
            <v>0</v>
          </cell>
        </row>
        <row r="67">
          <cell r="A67" t="str">
            <v>B075RF8FM9</v>
          </cell>
          <cell r="B67" t="str">
            <v>BC.160G</v>
          </cell>
          <cell r="F67" t="str">
            <v>B07KYWNC7Z</v>
          </cell>
          <cell r="G67" t="str">
            <v>40.405</v>
          </cell>
          <cell r="H67">
            <v>37</v>
          </cell>
          <cell r="I67">
            <v>878.32</v>
          </cell>
        </row>
        <row r="68">
          <cell r="A68" t="str">
            <v>B075XR3T8V</v>
          </cell>
          <cell r="B68" t="str">
            <v>BT.600Y</v>
          </cell>
          <cell r="F68" t="str">
            <v>B07N4C3H3V</v>
          </cell>
          <cell r="G68" t="str">
            <v>40.405</v>
          </cell>
          <cell r="H68">
            <v>68</v>
          </cell>
          <cell r="I68">
            <v>794.19</v>
          </cell>
        </row>
        <row r="69">
          <cell r="A69" t="str">
            <v>B0763R9MPM</v>
          </cell>
          <cell r="B69" t="str">
            <v>BP.600</v>
          </cell>
          <cell r="F69" t="str">
            <v>B07NQ1T7YK</v>
          </cell>
          <cell r="G69" t="str">
            <v>BP.101H</v>
          </cell>
          <cell r="H69">
            <v>161</v>
          </cell>
          <cell r="I69">
            <v>1965.81</v>
          </cell>
        </row>
        <row r="70">
          <cell r="A70" t="str">
            <v>B076D74TC7</v>
          </cell>
          <cell r="B70" t="str">
            <v>BT.700Y</v>
          </cell>
          <cell r="F70" t="str">
            <v>B07NQ2ZBPV</v>
          </cell>
          <cell r="G70" t="str">
            <v>BT.300</v>
          </cell>
          <cell r="H70">
            <v>0</v>
          </cell>
          <cell r="I70">
            <v>0</v>
          </cell>
        </row>
        <row r="71">
          <cell r="A71" t="str">
            <v>B076DC4VWG</v>
          </cell>
          <cell r="B71" t="str">
            <v>40.501</v>
          </cell>
          <cell r="F71" t="str">
            <v>B07NQ4G4NX</v>
          </cell>
          <cell r="G71" t="str">
            <v>BP.500</v>
          </cell>
          <cell r="H71">
            <v>5</v>
          </cell>
          <cell r="I71">
            <v>327.45</v>
          </cell>
        </row>
        <row r="72">
          <cell r="A72" t="str">
            <v>B076DCKSTJ</v>
          </cell>
          <cell r="B72" t="str">
            <v>BT.602H</v>
          </cell>
          <cell r="F72" t="str">
            <v>B07NQC6S9V</v>
          </cell>
          <cell r="G72" t="str">
            <v>BT.651Y</v>
          </cell>
          <cell r="H72">
            <v>135</v>
          </cell>
          <cell r="I72">
            <v>4968</v>
          </cell>
        </row>
        <row r="73">
          <cell r="A73" t="str">
            <v>B076DCL19C</v>
          </cell>
          <cell r="B73" t="str">
            <v>BP.720</v>
          </cell>
          <cell r="F73" t="str">
            <v>B07P7GH655</v>
          </cell>
          <cell r="G73" t="str">
            <v>BT.450</v>
          </cell>
          <cell r="H73">
            <v>1</v>
          </cell>
          <cell r="I73">
            <v>44.57</v>
          </cell>
        </row>
        <row r="74">
          <cell r="A74" t="str">
            <v>B076DCX3JH</v>
          </cell>
          <cell r="B74" t="str">
            <v>BB.103</v>
          </cell>
          <cell r="F74" t="str">
            <v>B07Q38Z7CK</v>
          </cell>
          <cell r="G74" t="str">
            <v>BC.060</v>
          </cell>
          <cell r="H74">
            <v>472</v>
          </cell>
          <cell r="I74">
            <v>9633.52</v>
          </cell>
        </row>
        <row r="75">
          <cell r="A75" t="str">
            <v>B076DD35DZ</v>
          </cell>
          <cell r="B75" t="str">
            <v>BC.002</v>
          </cell>
          <cell r="F75" t="str">
            <v>B07QX1RJRH</v>
          </cell>
          <cell r="G75" t="str">
            <v>40.742</v>
          </cell>
          <cell r="H75">
            <v>5</v>
          </cell>
          <cell r="I75">
            <v>104.95</v>
          </cell>
        </row>
        <row r="76">
          <cell r="A76" t="str">
            <v>B076DN647N</v>
          </cell>
          <cell r="B76" t="str">
            <v>BB.001</v>
          </cell>
          <cell r="F76" t="str">
            <v>B07QY47V9Y</v>
          </cell>
          <cell r="G76" t="str">
            <v>40.453</v>
          </cell>
          <cell r="H76">
            <v>8</v>
          </cell>
          <cell r="I76">
            <v>156.72</v>
          </cell>
        </row>
        <row r="77">
          <cell r="A77" t="str">
            <v>B076Q7BR6F</v>
          </cell>
          <cell r="B77" t="str">
            <v>BC.041N</v>
          </cell>
          <cell r="F77" t="str">
            <v>B07RQ7FRCS</v>
          </cell>
          <cell r="G77" t="str">
            <v>BB.002</v>
          </cell>
          <cell r="H77">
            <v>1</v>
          </cell>
          <cell r="I77">
            <v>24.51</v>
          </cell>
        </row>
        <row r="78">
          <cell r="A78" t="str">
            <v>B076QCMZX1</v>
          </cell>
          <cell r="B78" t="str">
            <v>40.821</v>
          </cell>
          <cell r="F78" t="str">
            <v>B07RRBP1YR</v>
          </cell>
          <cell r="G78" t="str">
            <v>VE.502</v>
          </cell>
          <cell r="H78">
            <v>2</v>
          </cell>
          <cell r="I78">
            <v>162.30000000000001</v>
          </cell>
        </row>
        <row r="79">
          <cell r="A79" t="str">
            <v>B076QDRTK6</v>
          </cell>
          <cell r="B79" t="str">
            <v>40.915</v>
          </cell>
          <cell r="F79" t="str">
            <v>B07RTKKND8</v>
          </cell>
          <cell r="G79" t="str">
            <v>BP.630</v>
          </cell>
          <cell r="H79">
            <v>0</v>
          </cell>
          <cell r="I79">
            <v>0</v>
          </cell>
        </row>
        <row r="80">
          <cell r="A80" t="str">
            <v>B076QFRRZ5</v>
          </cell>
          <cell r="B80" t="str">
            <v>40.931</v>
          </cell>
          <cell r="F80" t="str">
            <v>B07RVKV56Z</v>
          </cell>
          <cell r="G80" t="str">
            <v>CA.013</v>
          </cell>
          <cell r="H80">
            <v>0</v>
          </cell>
          <cell r="I80">
            <v>0</v>
          </cell>
        </row>
        <row r="81">
          <cell r="A81" t="str">
            <v>B079SB5VJZ</v>
          </cell>
          <cell r="B81" t="str">
            <v>50451</v>
          </cell>
          <cell r="F81" t="str">
            <v>B07RVLJ2KL</v>
          </cell>
          <cell r="G81" t="str">
            <v>BC.300</v>
          </cell>
          <cell r="H81">
            <v>2</v>
          </cell>
          <cell r="I81">
            <v>98.2</v>
          </cell>
        </row>
        <row r="82">
          <cell r="A82" t="str">
            <v>B07B7YLZ6Z</v>
          </cell>
          <cell r="B82" t="str">
            <v>BF.550</v>
          </cell>
          <cell r="F82" t="str">
            <v>B07SSLRCT6</v>
          </cell>
          <cell r="G82" t="str">
            <v>BP.304</v>
          </cell>
          <cell r="H82">
            <v>43</v>
          </cell>
          <cell r="I82">
            <v>701.33</v>
          </cell>
        </row>
        <row r="83">
          <cell r="A83" t="str">
            <v>B07B9CPH62</v>
          </cell>
          <cell r="B83" t="str">
            <v>BG.200Y</v>
          </cell>
          <cell r="F83" t="str">
            <v>B07TJGZNPN</v>
          </cell>
          <cell r="G83" t="str">
            <v>BP.654</v>
          </cell>
          <cell r="H83">
            <v>2</v>
          </cell>
          <cell r="I83">
            <v>32.659999999999997</v>
          </cell>
        </row>
        <row r="84">
          <cell r="A84" t="str">
            <v>B07BB2DQ4V</v>
          </cell>
          <cell r="B84" t="str">
            <v>BT.150Y</v>
          </cell>
          <cell r="F84" t="str">
            <v>B07TQVD94L</v>
          </cell>
          <cell r="G84" t="str">
            <v>BP.690</v>
          </cell>
          <cell r="H84">
            <v>16</v>
          </cell>
          <cell r="I84">
            <v>392.16</v>
          </cell>
        </row>
        <row r="85">
          <cell r="A85" t="str">
            <v>B07BHCZR84</v>
          </cell>
          <cell r="B85" t="str">
            <v>BA.200Y</v>
          </cell>
          <cell r="F85" t="str">
            <v>B07TSNB5WG</v>
          </cell>
          <cell r="G85" t="str">
            <v>BP.102</v>
          </cell>
          <cell r="H85">
            <v>794</v>
          </cell>
          <cell r="I85">
            <v>9694.74</v>
          </cell>
        </row>
        <row r="86">
          <cell r="A86" t="str">
            <v>B07BHTW4X8</v>
          </cell>
          <cell r="B86" t="str">
            <v>VE.402</v>
          </cell>
          <cell r="F86" t="str">
            <v>B07TSNCJ5J</v>
          </cell>
          <cell r="G86" t="str">
            <v>BP.800</v>
          </cell>
          <cell r="H86">
            <v>52</v>
          </cell>
          <cell r="I86">
            <v>596.63</v>
          </cell>
        </row>
        <row r="87">
          <cell r="A87" t="str">
            <v>B07BHVLCF5</v>
          </cell>
          <cell r="B87" t="str">
            <v>BC.130</v>
          </cell>
          <cell r="F87" t="str">
            <v>B07TVTGQ5B</v>
          </cell>
          <cell r="G87" t="str">
            <v>40.918</v>
          </cell>
          <cell r="H87">
            <v>3</v>
          </cell>
          <cell r="I87">
            <v>34.130000000000003</v>
          </cell>
        </row>
        <row r="88">
          <cell r="A88" t="str">
            <v>B07FN14FSN</v>
          </cell>
          <cell r="B88" t="str">
            <v>50.160</v>
          </cell>
          <cell r="F88" t="str">
            <v>B07TWX2L8N</v>
          </cell>
          <cell r="G88" t="str">
            <v>40.361</v>
          </cell>
          <cell r="H88">
            <v>23</v>
          </cell>
          <cell r="I88">
            <v>171.89</v>
          </cell>
        </row>
        <row r="89">
          <cell r="A89" t="str">
            <v>B07HFQH172</v>
          </cell>
          <cell r="B89" t="str">
            <v>BC.250</v>
          </cell>
          <cell r="F89" t="str">
            <v>B07V131F5W</v>
          </cell>
          <cell r="G89" t="str">
            <v>40.490</v>
          </cell>
          <cell r="H89">
            <v>247</v>
          </cell>
          <cell r="I89">
            <v>5658.63</v>
          </cell>
        </row>
        <row r="90">
          <cell r="A90" t="str">
            <v>B07HHHBXHL</v>
          </cell>
          <cell r="B90" t="str">
            <v>50.940GO</v>
          </cell>
          <cell r="F90" t="str">
            <v>B07W7S9KYM</v>
          </cell>
          <cell r="G90" t="str">
            <v>BB.200</v>
          </cell>
          <cell r="H90">
            <v>21</v>
          </cell>
          <cell r="I90">
            <v>998.34</v>
          </cell>
        </row>
        <row r="91">
          <cell r="A91" t="str">
            <v>B07HM7P6MP</v>
          </cell>
          <cell r="B91" t="str">
            <v>RI.080</v>
          </cell>
          <cell r="F91" t="str">
            <v>B07XYJ64GP</v>
          </cell>
          <cell r="G91" t="str">
            <v>RI.064</v>
          </cell>
          <cell r="H91">
            <v>1</v>
          </cell>
          <cell r="I91">
            <v>47.98</v>
          </cell>
        </row>
        <row r="92">
          <cell r="A92" t="str">
            <v>B07J25HN6L</v>
          </cell>
          <cell r="B92" t="str">
            <v>ri.093</v>
          </cell>
          <cell r="F92" t="str">
            <v>B07Y3XHMMV</v>
          </cell>
          <cell r="G92" t="str">
            <v>BP.604</v>
          </cell>
          <cell r="H92">
            <v>11</v>
          </cell>
          <cell r="I92">
            <v>221.38</v>
          </cell>
        </row>
        <row r="93">
          <cell r="A93" t="str">
            <v>B07JGVMFY1</v>
          </cell>
          <cell r="B93" t="str">
            <v>BP.581</v>
          </cell>
          <cell r="F93" t="str">
            <v>B07YBM3P68</v>
          </cell>
          <cell r="G93" t="str">
            <v>RI.096</v>
          </cell>
          <cell r="H93">
            <v>0</v>
          </cell>
          <cell r="I93">
            <v>0</v>
          </cell>
        </row>
        <row r="94">
          <cell r="A94" t="str">
            <v>B07JXMJLG9</v>
          </cell>
          <cell r="B94" t="str">
            <v>RI.552</v>
          </cell>
          <cell r="F94" t="str">
            <v>B07YBNPZPJ</v>
          </cell>
          <cell r="G94" t="str">
            <v>BP.552</v>
          </cell>
          <cell r="H94">
            <v>39</v>
          </cell>
          <cell r="I94">
            <v>955.89</v>
          </cell>
        </row>
        <row r="95">
          <cell r="A95" t="str">
            <v>B07KG9T4M7</v>
          </cell>
          <cell r="B95" t="str">
            <v>50600</v>
          </cell>
          <cell r="F95" t="str">
            <v>B07YZZZVXP</v>
          </cell>
          <cell r="G95" t="str">
            <v>MD.404</v>
          </cell>
          <cell r="H95">
            <v>76</v>
          </cell>
          <cell r="I95">
            <v>4817.34</v>
          </cell>
        </row>
        <row r="96">
          <cell r="A96" t="str">
            <v>B07KYWNC7Z</v>
          </cell>
          <cell r="B96" t="str">
            <v>40.405</v>
          </cell>
          <cell r="F96" t="str">
            <v>B07ZJMFB3R</v>
          </cell>
          <cell r="G96" t="str">
            <v>BC.510</v>
          </cell>
          <cell r="H96">
            <v>33</v>
          </cell>
          <cell r="I96">
            <v>1963.08</v>
          </cell>
        </row>
        <row r="97">
          <cell r="A97" t="str">
            <v>B07N4C3H3V</v>
          </cell>
          <cell r="B97" t="str">
            <v>40.405</v>
          </cell>
          <cell r="F97" t="str">
            <v>B07ZJQTGG8</v>
          </cell>
          <cell r="G97" t="str">
            <v>50.245</v>
          </cell>
          <cell r="H97">
            <v>2989</v>
          </cell>
          <cell r="I97">
            <v>36493.17</v>
          </cell>
        </row>
        <row r="98">
          <cell r="A98" t="str">
            <v>B07NP6YY5W</v>
          </cell>
          <cell r="B98" t="str">
            <v>BP.200</v>
          </cell>
          <cell r="F98" t="str">
            <v>B081QRX1K7</v>
          </cell>
          <cell r="G98" t="str">
            <v>40.473</v>
          </cell>
          <cell r="H98">
            <v>4</v>
          </cell>
          <cell r="I98">
            <v>81.64</v>
          </cell>
        </row>
        <row r="99">
          <cell r="A99" t="str">
            <v>B07NQ1T7YK</v>
          </cell>
          <cell r="B99" t="str">
            <v>BP.101H</v>
          </cell>
          <cell r="F99" t="str">
            <v>B0823CLCWM</v>
          </cell>
          <cell r="G99" t="str">
            <v>BT.800</v>
          </cell>
          <cell r="H99">
            <v>3</v>
          </cell>
          <cell r="I99">
            <v>61.23</v>
          </cell>
        </row>
        <row r="100">
          <cell r="A100" t="str">
            <v>B07NQ2VYGD</v>
          </cell>
          <cell r="B100" t="str">
            <v>BT.710Y</v>
          </cell>
          <cell r="F100" t="str">
            <v>B08485QRVZ</v>
          </cell>
          <cell r="G100" t="str">
            <v>BC.261</v>
          </cell>
          <cell r="H100">
            <v>889</v>
          </cell>
          <cell r="I100">
            <v>18144.490000000002</v>
          </cell>
        </row>
        <row r="101">
          <cell r="A101" t="str">
            <v>B07NQ2ZBPV</v>
          </cell>
          <cell r="B101" t="str">
            <v>BT.300</v>
          </cell>
          <cell r="F101" t="str">
            <v>B084C3JTC2</v>
          </cell>
          <cell r="G101" t="str">
            <v>40.406</v>
          </cell>
          <cell r="H101">
            <v>245</v>
          </cell>
          <cell r="I101">
            <v>6004.95</v>
          </cell>
        </row>
        <row r="102">
          <cell r="A102" t="str">
            <v>B07NQ4G4NX</v>
          </cell>
          <cell r="B102" t="str">
            <v>BP.500</v>
          </cell>
          <cell r="F102" t="str">
            <v>B084HK5BF8</v>
          </cell>
          <cell r="G102" t="str">
            <v>RI.424</v>
          </cell>
          <cell r="H102">
            <v>-1</v>
          </cell>
          <cell r="I102">
            <v>-16.309999999999999</v>
          </cell>
        </row>
        <row r="103">
          <cell r="A103" t="str">
            <v>B07NQ9JF3Z</v>
          </cell>
          <cell r="B103" t="str">
            <v>BT.604</v>
          </cell>
          <cell r="F103" t="str">
            <v>B084PN7WPZ</v>
          </cell>
          <cell r="G103" t="str">
            <v>XUADA001</v>
          </cell>
          <cell r="H103">
            <v>7</v>
          </cell>
          <cell r="I103">
            <v>41.82</v>
          </cell>
        </row>
        <row r="104">
          <cell r="A104" t="str">
            <v>B07NQC6S9V</v>
          </cell>
          <cell r="B104" t="str">
            <v>BT.651Y</v>
          </cell>
          <cell r="F104" t="str">
            <v>B084TG23R3</v>
          </cell>
          <cell r="G104" t="str">
            <v>C102BOT001</v>
          </cell>
          <cell r="H104">
            <v>74</v>
          </cell>
          <cell r="I104">
            <v>540.20000000000005</v>
          </cell>
        </row>
        <row r="105">
          <cell r="A105" t="str">
            <v>B07P7GGGQM</v>
          </cell>
          <cell r="B105" t="str">
            <v>BP.961</v>
          </cell>
          <cell r="F105" t="str">
            <v>B084TG4594</v>
          </cell>
          <cell r="G105" t="str">
            <v>C102BOT003</v>
          </cell>
          <cell r="H105">
            <v>11</v>
          </cell>
          <cell r="I105">
            <v>80.3</v>
          </cell>
        </row>
        <row r="106">
          <cell r="A106" t="str">
            <v>B07P7GH655</v>
          </cell>
          <cell r="B106" t="str">
            <v>BT.450</v>
          </cell>
          <cell r="F106" t="str">
            <v>B084TGLFLM</v>
          </cell>
          <cell r="G106" t="str">
            <v>C102BOT002</v>
          </cell>
          <cell r="H106">
            <v>19</v>
          </cell>
          <cell r="I106">
            <v>138.69999999999999</v>
          </cell>
        </row>
        <row r="107">
          <cell r="A107" t="str">
            <v>B07P7L18T9</v>
          </cell>
          <cell r="B107" t="str">
            <v>40.102</v>
          </cell>
          <cell r="F107" t="str">
            <v>B084TGLSDV</v>
          </cell>
          <cell r="G107" t="str">
            <v>C102BOT004</v>
          </cell>
          <cell r="H107">
            <v>50</v>
          </cell>
          <cell r="I107">
            <v>352.02</v>
          </cell>
        </row>
        <row r="108">
          <cell r="A108" t="str">
            <v>B07PCQJ1P8</v>
          </cell>
          <cell r="B108" t="str">
            <v>BT.410</v>
          </cell>
          <cell r="F108" t="str">
            <v>B085JHSWJH</v>
          </cell>
          <cell r="G108" t="str">
            <v>BP.802</v>
          </cell>
          <cell r="H108">
            <v>52</v>
          </cell>
          <cell r="I108">
            <v>818.72</v>
          </cell>
        </row>
        <row r="109">
          <cell r="A109" t="str">
            <v>B07Q38Z7CK</v>
          </cell>
          <cell r="B109" t="str">
            <v>BC.060</v>
          </cell>
          <cell r="F109" t="str">
            <v>B085JHTR6J</v>
          </cell>
          <cell r="G109" t="str">
            <v>BC.125</v>
          </cell>
          <cell r="H109">
            <v>53</v>
          </cell>
          <cell r="I109">
            <v>862.16</v>
          </cell>
        </row>
        <row r="110">
          <cell r="A110" t="str">
            <v>B07Q47DQ4M</v>
          </cell>
          <cell r="B110" t="str">
            <v>BB.105</v>
          </cell>
          <cell r="F110" t="str">
            <v>B085JHTR6Q</v>
          </cell>
          <cell r="G110" t="str">
            <v>BP.790</v>
          </cell>
          <cell r="H110">
            <v>74</v>
          </cell>
          <cell r="I110">
            <v>1813.74</v>
          </cell>
        </row>
        <row r="111">
          <cell r="A111" t="str">
            <v>B07QX1RJRH</v>
          </cell>
          <cell r="B111" t="str">
            <v>40.742</v>
          </cell>
          <cell r="F111" t="str">
            <v>B085JJ81R7</v>
          </cell>
          <cell r="G111" t="str">
            <v>RCO9003028</v>
          </cell>
          <cell r="H111">
            <v>242</v>
          </cell>
          <cell r="I111">
            <v>1766.5</v>
          </cell>
        </row>
        <row r="112">
          <cell r="A112" t="str">
            <v>B07QY47V9Y</v>
          </cell>
          <cell r="B112" t="str">
            <v>40.453</v>
          </cell>
          <cell r="F112" t="str">
            <v>B085JJ8RC6</v>
          </cell>
          <cell r="G112" t="str">
            <v>BB.050</v>
          </cell>
          <cell r="H112">
            <v>833</v>
          </cell>
          <cell r="I112">
            <v>10170.93</v>
          </cell>
        </row>
        <row r="113">
          <cell r="A113" t="str">
            <v>B07R984VMS</v>
          </cell>
          <cell r="B113" t="str">
            <v>BI.505</v>
          </cell>
          <cell r="F113" t="str">
            <v>B085JJFLGY</v>
          </cell>
          <cell r="G113" t="str">
            <v>RCO9003022</v>
          </cell>
          <cell r="H113">
            <v>222</v>
          </cell>
          <cell r="I113">
            <v>1074.48</v>
          </cell>
        </row>
        <row r="114">
          <cell r="A114" t="str">
            <v>B07RMZYDCJ</v>
          </cell>
          <cell r="B114" t="str">
            <v>MD.127</v>
          </cell>
          <cell r="F114" t="str">
            <v>B085JJMBM7</v>
          </cell>
          <cell r="G114" t="str">
            <v>P206VEN400</v>
          </cell>
          <cell r="H114">
            <v>7</v>
          </cell>
          <cell r="I114">
            <v>79.989999999999995</v>
          </cell>
        </row>
        <row r="115">
          <cell r="A115" t="str">
            <v>B07RN75ZFL</v>
          </cell>
          <cell r="B115" t="str">
            <v>50.401</v>
          </cell>
          <cell r="F115" t="str">
            <v>B085R2GCKX</v>
          </cell>
          <cell r="G115" t="str">
            <v>40.332</v>
          </cell>
          <cell r="H115">
            <v>229</v>
          </cell>
          <cell r="I115">
            <v>3405.42</v>
          </cell>
        </row>
        <row r="116">
          <cell r="A116" t="str">
            <v>B07RQ7FRCS</v>
          </cell>
          <cell r="B116" t="str">
            <v>BB.002</v>
          </cell>
          <cell r="F116" t="str">
            <v>B088XJQ37J</v>
          </cell>
          <cell r="G116" t="str">
            <v>C301ABE001</v>
          </cell>
          <cell r="H116">
            <v>12</v>
          </cell>
          <cell r="I116">
            <v>195.22</v>
          </cell>
        </row>
        <row r="117">
          <cell r="A117" t="str">
            <v>B07RRBP1YR</v>
          </cell>
          <cell r="B117" t="str">
            <v>VE.502</v>
          </cell>
          <cell r="F117" t="str">
            <v>B089BKBZV3</v>
          </cell>
          <cell r="G117" t="str">
            <v>P101TOS001</v>
          </cell>
          <cell r="H117">
            <v>23</v>
          </cell>
          <cell r="I117">
            <v>477.88</v>
          </cell>
        </row>
        <row r="118">
          <cell r="A118" t="str">
            <v>B07RRBS54G</v>
          </cell>
          <cell r="B118" t="str">
            <v>BP.620</v>
          </cell>
          <cell r="F118" t="str">
            <v>B08B66J4C3</v>
          </cell>
          <cell r="G118" t="str">
            <v>P101PIA001</v>
          </cell>
          <cell r="H118">
            <v>339</v>
          </cell>
          <cell r="I118">
            <v>4139.1899999999996</v>
          </cell>
        </row>
        <row r="119">
          <cell r="A119" t="str">
            <v>B07RTKKND8</v>
          </cell>
          <cell r="B119" t="str">
            <v>BP.630</v>
          </cell>
          <cell r="F119" t="str">
            <v>B08B8M2B7B</v>
          </cell>
          <cell r="G119" t="str">
            <v>P102EST001</v>
          </cell>
          <cell r="H119">
            <v>5</v>
          </cell>
          <cell r="I119">
            <v>158.13</v>
          </cell>
        </row>
        <row r="120">
          <cell r="A120" t="str">
            <v>B07RVKV56Z</v>
          </cell>
          <cell r="B120" t="str">
            <v>CA.013</v>
          </cell>
          <cell r="F120" t="str">
            <v>B08C7YJB5N</v>
          </cell>
          <cell r="G120" t="str">
            <v>P201UTP001</v>
          </cell>
          <cell r="H120">
            <v>58</v>
          </cell>
          <cell r="I120">
            <v>708.18</v>
          </cell>
        </row>
        <row r="121">
          <cell r="A121" t="str">
            <v>B07RVLJ2KL</v>
          </cell>
          <cell r="B121" t="str">
            <v>BC.300</v>
          </cell>
          <cell r="F121" t="str">
            <v>B08DHZDXVV</v>
          </cell>
          <cell r="G121" t="str">
            <v>P102SBA100</v>
          </cell>
          <cell r="H121">
            <v>12</v>
          </cell>
          <cell r="I121">
            <v>150.51</v>
          </cell>
        </row>
        <row r="122">
          <cell r="A122" t="str">
            <v>B07SSLRCT6</v>
          </cell>
          <cell r="B122" t="str">
            <v>BP.304</v>
          </cell>
          <cell r="F122" t="str">
            <v>B08DJ3K9J8</v>
          </cell>
          <cell r="G122" t="str">
            <v>p102rob100</v>
          </cell>
          <cell r="H122">
            <v>3</v>
          </cell>
          <cell r="I122">
            <v>32.47</v>
          </cell>
        </row>
        <row r="123">
          <cell r="A123" t="str">
            <v>B07TJGZNPN</v>
          </cell>
          <cell r="B123" t="str">
            <v>BP.654</v>
          </cell>
          <cell r="F123" t="str">
            <v>B08F5GYFKS</v>
          </cell>
          <cell r="G123" t="str">
            <v>P102FRU001</v>
          </cell>
          <cell r="H123">
            <v>2</v>
          </cell>
          <cell r="I123">
            <v>24.42</v>
          </cell>
        </row>
        <row r="124">
          <cell r="A124" t="str">
            <v>B07TQVD94L</v>
          </cell>
          <cell r="B124" t="str">
            <v>BP.690</v>
          </cell>
          <cell r="F124" t="str">
            <v>B08FDYW72J</v>
          </cell>
          <cell r="G124" t="str">
            <v>P101CUD100</v>
          </cell>
          <cell r="H124">
            <v>23</v>
          </cell>
          <cell r="I124">
            <v>629.25</v>
          </cell>
        </row>
        <row r="125">
          <cell r="A125" t="str">
            <v>B07TSNB5WG</v>
          </cell>
          <cell r="B125" t="str">
            <v>BP.102</v>
          </cell>
          <cell r="F125" t="str">
            <v>B08FF245TD</v>
          </cell>
          <cell r="G125" t="str">
            <v>P101CUD500</v>
          </cell>
          <cell r="H125">
            <v>6</v>
          </cell>
          <cell r="I125">
            <v>154.09</v>
          </cell>
        </row>
        <row r="126">
          <cell r="A126" t="str">
            <v>B07TSNCJ5J</v>
          </cell>
          <cell r="B126" t="str">
            <v>BP.800</v>
          </cell>
          <cell r="F126" t="str">
            <v>B08FJGGZ1D</v>
          </cell>
          <cell r="G126" t="str">
            <v>70.405</v>
          </cell>
          <cell r="H126">
            <v>12</v>
          </cell>
          <cell r="I126">
            <v>178.21</v>
          </cell>
        </row>
        <row r="127">
          <cell r="A127" t="str">
            <v>B07TTJQDC2</v>
          </cell>
          <cell r="B127" t="str">
            <v>70.404</v>
          </cell>
          <cell r="F127" t="str">
            <v>B08FMLPKY9</v>
          </cell>
          <cell r="G127" t="str">
            <v>P201UTP004</v>
          </cell>
          <cell r="H127">
            <v>118</v>
          </cell>
          <cell r="I127">
            <v>2367.1999999999998</v>
          </cell>
        </row>
        <row r="128">
          <cell r="A128" t="str">
            <v>B07TVSJDCL</v>
          </cell>
          <cell r="B128" t="str">
            <v>MD.500</v>
          </cell>
          <cell r="F128" t="str">
            <v>B08GS7XW73</v>
          </cell>
          <cell r="G128" t="str">
            <v>P204FER250</v>
          </cell>
          <cell r="H128">
            <v>123</v>
          </cell>
          <cell r="I128">
            <v>2164.4499999999998</v>
          </cell>
        </row>
        <row r="129">
          <cell r="A129" t="str">
            <v>B07TVTGQ5B</v>
          </cell>
          <cell r="B129" t="str">
            <v>40.918</v>
          </cell>
          <cell r="F129" t="str">
            <v>B08GSK6C18</v>
          </cell>
          <cell r="G129" t="str">
            <v>P204FER200</v>
          </cell>
          <cell r="H129">
            <v>7</v>
          </cell>
          <cell r="I129">
            <v>141.31</v>
          </cell>
        </row>
        <row r="130">
          <cell r="A130" t="str">
            <v>B07TWX1RX3</v>
          </cell>
          <cell r="B130" t="str">
            <v>40.919</v>
          </cell>
          <cell r="F130" t="str">
            <v>B08GY7286R</v>
          </cell>
          <cell r="G130" t="str">
            <v>P203TFO001</v>
          </cell>
          <cell r="H130">
            <v>1095</v>
          </cell>
          <cell r="I130">
            <v>24665.9</v>
          </cell>
        </row>
        <row r="131">
          <cell r="A131" t="str">
            <v>B07TWX2L8N</v>
          </cell>
          <cell r="B131" t="str">
            <v>40.361</v>
          </cell>
          <cell r="F131" t="str">
            <v>B08HCT78N3</v>
          </cell>
          <cell r="G131" t="str">
            <v>P202ASP400</v>
          </cell>
          <cell r="H131">
            <v>85</v>
          </cell>
          <cell r="I131">
            <v>1386.35</v>
          </cell>
        </row>
        <row r="132">
          <cell r="A132" t="str">
            <v>B07V131F5W</v>
          </cell>
          <cell r="B132" t="str">
            <v>40.490</v>
          </cell>
          <cell r="F132" t="str">
            <v>B08HN4DPJV</v>
          </cell>
          <cell r="G132" t="str">
            <v>P201UTP003</v>
          </cell>
          <cell r="H132">
            <v>19</v>
          </cell>
          <cell r="I132">
            <v>252.19</v>
          </cell>
        </row>
        <row r="133">
          <cell r="A133" t="str">
            <v>B07V5TWWXM</v>
          </cell>
          <cell r="B133" t="str">
            <v>BC.200</v>
          </cell>
          <cell r="F133" t="str">
            <v>B08JYDDFZ2</v>
          </cell>
          <cell r="G133" t="str">
            <v>C206UTI002</v>
          </cell>
          <cell r="H133">
            <v>428</v>
          </cell>
          <cell r="I133">
            <v>5216.21</v>
          </cell>
        </row>
        <row r="134">
          <cell r="A134" t="str">
            <v>B07W7S9KYM</v>
          </cell>
          <cell r="B134" t="str">
            <v>BB.200</v>
          </cell>
          <cell r="F134" t="str">
            <v>B08JYWF3PK</v>
          </cell>
          <cell r="G134" t="str">
            <v>C102COC101</v>
          </cell>
          <cell r="H134">
            <v>223</v>
          </cell>
          <cell r="I134">
            <v>2418.41</v>
          </cell>
        </row>
        <row r="135">
          <cell r="A135" t="str">
            <v>B07XLT78B7</v>
          </cell>
          <cell r="B135" t="str">
            <v>1</v>
          </cell>
          <cell r="F135" t="str">
            <v>B08JZDZTPG</v>
          </cell>
          <cell r="G135" t="str">
            <v>BP.803</v>
          </cell>
          <cell r="H135">
            <v>17</v>
          </cell>
          <cell r="I135">
            <v>227.33</v>
          </cell>
        </row>
        <row r="136">
          <cell r="A136" t="str">
            <v>B07XYJ64GP</v>
          </cell>
          <cell r="B136" t="str">
            <v>RI.064</v>
          </cell>
          <cell r="F136" t="str">
            <v>B08KYZ2FLN</v>
          </cell>
          <cell r="G136" t="str">
            <v>P101FRI001</v>
          </cell>
          <cell r="H136">
            <v>152</v>
          </cell>
          <cell r="I136">
            <v>6234.61</v>
          </cell>
        </row>
        <row r="137">
          <cell r="A137" t="str">
            <v>B07Y3XHMMV</v>
          </cell>
          <cell r="B137" t="str">
            <v>BP.604</v>
          </cell>
          <cell r="F137" t="str">
            <v>B08L9D9KR9</v>
          </cell>
          <cell r="G137" t="str">
            <v>P202VAL001</v>
          </cell>
          <cell r="H137">
            <v>150</v>
          </cell>
          <cell r="I137">
            <v>8110.64</v>
          </cell>
        </row>
        <row r="138">
          <cell r="A138" t="str">
            <v>B07YBFRMM7</v>
          </cell>
          <cell r="B138" t="str">
            <v>BB.210</v>
          </cell>
          <cell r="F138" t="str">
            <v>B08LDDKBYG</v>
          </cell>
          <cell r="G138" t="str">
            <v>P202VAL002</v>
          </cell>
          <cell r="H138">
            <v>17</v>
          </cell>
          <cell r="I138">
            <v>68.34</v>
          </cell>
        </row>
        <row r="139">
          <cell r="A139" t="str">
            <v>B07YBM3P68</v>
          </cell>
          <cell r="B139" t="str">
            <v>RI.096</v>
          </cell>
          <cell r="F139" t="str">
            <v>B08LVS1MMY</v>
          </cell>
          <cell r="G139" t="str">
            <v>P202VAL100</v>
          </cell>
          <cell r="H139">
            <v>2</v>
          </cell>
          <cell r="I139">
            <v>32.619999999999997</v>
          </cell>
        </row>
        <row r="140">
          <cell r="A140" t="str">
            <v>B07YBN2FS3</v>
          </cell>
          <cell r="B140" t="str">
            <v>BF.640</v>
          </cell>
          <cell r="F140" t="str">
            <v>B08MM2VK11</v>
          </cell>
          <cell r="G140" t="str">
            <v>P302MAS001</v>
          </cell>
          <cell r="H140">
            <v>8</v>
          </cell>
          <cell r="I140">
            <v>235.31</v>
          </cell>
        </row>
        <row r="141">
          <cell r="A141" t="str">
            <v>B07YBNB2QY</v>
          </cell>
          <cell r="B141" t="str">
            <v>50161</v>
          </cell>
          <cell r="F141" t="str">
            <v>B08MX1SQKC</v>
          </cell>
          <cell r="G141" t="str">
            <v>P302VIS001</v>
          </cell>
          <cell r="H141">
            <v>101</v>
          </cell>
          <cell r="I141">
            <v>1233.21</v>
          </cell>
        </row>
        <row r="142">
          <cell r="A142" t="str">
            <v>B07YBNPZPJ</v>
          </cell>
          <cell r="B142" t="str">
            <v>BP.552</v>
          </cell>
          <cell r="F142" t="str">
            <v>B08NF8TQKT</v>
          </cell>
          <cell r="G142" t="str">
            <v>P102FRU100</v>
          </cell>
          <cell r="H142">
            <v>9</v>
          </cell>
          <cell r="I142">
            <v>220.59</v>
          </cell>
        </row>
        <row r="143">
          <cell r="A143" t="str">
            <v>B07YZZZVXP</v>
          </cell>
          <cell r="B143" t="str">
            <v>MD.404</v>
          </cell>
          <cell r="F143" t="str">
            <v>B08V4VTTQN</v>
          </cell>
          <cell r="G143" t="str">
            <v>C107UTT001</v>
          </cell>
          <cell r="H143">
            <v>24</v>
          </cell>
          <cell r="I143">
            <v>168.36</v>
          </cell>
        </row>
        <row r="144">
          <cell r="A144" t="str">
            <v>B07ZHSCYF5</v>
          </cell>
          <cell r="B144" t="str">
            <v>BF.700</v>
          </cell>
          <cell r="F144" t="str">
            <v>B08X4VZV3S</v>
          </cell>
          <cell r="G144" t="str">
            <v>P303BIP001</v>
          </cell>
          <cell r="H144">
            <v>1</v>
          </cell>
          <cell r="I144">
            <v>10.57</v>
          </cell>
        </row>
        <row r="145">
          <cell r="A145" t="str">
            <v>B07ZJMFB3R</v>
          </cell>
          <cell r="B145" t="str">
            <v>BC.510</v>
          </cell>
          <cell r="F145" t="str">
            <v>B08XVV3PVK</v>
          </cell>
          <cell r="G145" t="str">
            <v>P303MED001</v>
          </cell>
          <cell r="H145">
            <v>1</v>
          </cell>
          <cell r="I145">
            <v>10.83</v>
          </cell>
        </row>
        <row r="146">
          <cell r="A146" t="str">
            <v>B07ZJQTGG8</v>
          </cell>
          <cell r="B146" t="str">
            <v>50.245</v>
          </cell>
          <cell r="F146" t="str">
            <v>B09146GTKW</v>
          </cell>
          <cell r="G146" t="str">
            <v>P302VIS002</v>
          </cell>
          <cell r="H146">
            <v>1836</v>
          </cell>
          <cell r="I146">
            <v>14888.98</v>
          </cell>
        </row>
        <row r="147">
          <cell r="A147" t="str">
            <v>B0813VLDQY</v>
          </cell>
          <cell r="B147" t="str">
            <v>BI.507</v>
          </cell>
          <cell r="F147" t="str">
            <v>B091LRR67V</v>
          </cell>
          <cell r="G147" t="str">
            <v>P101FRI050</v>
          </cell>
          <cell r="H147">
            <v>51</v>
          </cell>
          <cell r="I147">
            <v>3256.79</v>
          </cell>
        </row>
        <row r="148">
          <cell r="A148" t="str">
            <v>B081QRX1K7</v>
          </cell>
          <cell r="B148" t="str">
            <v>40.473</v>
          </cell>
          <cell r="F148" t="str">
            <v>B09251R9RJ</v>
          </cell>
          <cell r="G148" t="str">
            <v>P304CAP001</v>
          </cell>
          <cell r="H148">
            <v>3</v>
          </cell>
          <cell r="I148">
            <v>48.93</v>
          </cell>
        </row>
        <row r="149">
          <cell r="A149" t="str">
            <v>B0823CLCWM</v>
          </cell>
          <cell r="B149" t="str">
            <v>BT.800</v>
          </cell>
          <cell r="F149" t="str">
            <v>B092J2RHL8</v>
          </cell>
          <cell r="G149" t="str">
            <v>P206ZAN200</v>
          </cell>
          <cell r="H149">
            <v>40</v>
          </cell>
          <cell r="I149">
            <v>324.39999999999998</v>
          </cell>
        </row>
        <row r="150">
          <cell r="A150" t="str">
            <v>B0823CVGHX</v>
          </cell>
          <cell r="B150" t="str">
            <v>BP.400</v>
          </cell>
          <cell r="F150" t="str">
            <v>B092JNYG6Z</v>
          </cell>
          <cell r="G150" t="str">
            <v>P204CAL201</v>
          </cell>
          <cell r="H150">
            <v>0</v>
          </cell>
          <cell r="I150">
            <v>0</v>
          </cell>
        </row>
        <row r="151">
          <cell r="A151" t="str">
            <v>B08485QRVZ</v>
          </cell>
          <cell r="B151" t="str">
            <v>BC.261</v>
          </cell>
          <cell r="F151" t="str">
            <v>B092QXCQ8K</v>
          </cell>
          <cell r="G151" t="str">
            <v>P205DIF001</v>
          </cell>
          <cell r="H151">
            <v>34</v>
          </cell>
          <cell r="I151">
            <v>543.38</v>
          </cell>
        </row>
        <row r="152">
          <cell r="A152" t="str">
            <v>B084C3JTC2</v>
          </cell>
          <cell r="B152" t="str">
            <v>40.406</v>
          </cell>
          <cell r="F152" t="str">
            <v>B09495C38F</v>
          </cell>
          <cell r="G152" t="str">
            <v>P204FER002</v>
          </cell>
          <cell r="H152">
            <v>146</v>
          </cell>
          <cell r="I152">
            <v>2282.7399999999998</v>
          </cell>
        </row>
        <row r="153">
          <cell r="A153" t="str">
            <v>B084HK5BF8</v>
          </cell>
          <cell r="B153" t="str">
            <v>RI.424</v>
          </cell>
          <cell r="F153" t="str">
            <v>B0953R2W31</v>
          </cell>
          <cell r="G153" t="str">
            <v>P102ACP001</v>
          </cell>
          <cell r="H153">
            <v>111</v>
          </cell>
          <cell r="I153">
            <v>1355.31</v>
          </cell>
        </row>
        <row r="154">
          <cell r="A154" t="str">
            <v>B084PN7WPZ</v>
          </cell>
          <cell r="B154" t="str">
            <v>XUADA001</v>
          </cell>
          <cell r="F154" t="str">
            <v>B095PQJGKX</v>
          </cell>
          <cell r="G154" t="str">
            <v>C107UTT002</v>
          </cell>
          <cell r="H154">
            <v>546</v>
          </cell>
          <cell r="I154">
            <v>4428.0600000000004</v>
          </cell>
        </row>
        <row r="155">
          <cell r="A155" t="str">
            <v>B084TG23R3</v>
          </cell>
          <cell r="B155" t="str">
            <v>C102BOT001</v>
          </cell>
          <cell r="F155" t="str">
            <v>B095SWNCBS</v>
          </cell>
          <cell r="G155" t="str">
            <v>P101TOS500</v>
          </cell>
          <cell r="H155">
            <v>0</v>
          </cell>
          <cell r="I155">
            <v>0</v>
          </cell>
        </row>
        <row r="156">
          <cell r="A156" t="str">
            <v>B084TG4594</v>
          </cell>
          <cell r="B156" t="str">
            <v>C102BOT003</v>
          </cell>
          <cell r="F156" t="str">
            <v>B095WCSSLC</v>
          </cell>
          <cell r="G156" t="str">
            <v>C301ABE101</v>
          </cell>
          <cell r="H156">
            <v>132</v>
          </cell>
          <cell r="I156">
            <v>1042.1500000000001</v>
          </cell>
        </row>
        <row r="157">
          <cell r="A157" t="str">
            <v>B084TGLFLM</v>
          </cell>
          <cell r="B157" t="str">
            <v>C102BOT002</v>
          </cell>
          <cell r="F157" t="str">
            <v>B095X9KDJR</v>
          </cell>
          <cell r="G157" t="str">
            <v>P101BOL100</v>
          </cell>
          <cell r="H157">
            <v>50</v>
          </cell>
          <cell r="I157">
            <v>859.53</v>
          </cell>
        </row>
        <row r="158">
          <cell r="A158" t="str">
            <v>B084TGLSDV</v>
          </cell>
          <cell r="B158" t="str">
            <v>C102BOT004</v>
          </cell>
          <cell r="F158" t="str">
            <v>B096KVY46G</v>
          </cell>
          <cell r="G158" t="str">
            <v>P303MED050</v>
          </cell>
          <cell r="H158">
            <v>24</v>
          </cell>
          <cell r="I158">
            <v>230.68</v>
          </cell>
        </row>
        <row r="159">
          <cell r="A159" t="str">
            <v>B085JHSWJH</v>
          </cell>
          <cell r="B159" t="str">
            <v>BP.802</v>
          </cell>
          <cell r="F159" t="str">
            <v>B096MX229M</v>
          </cell>
          <cell r="G159" t="str">
            <v>P102ROB050</v>
          </cell>
          <cell r="H159">
            <v>501</v>
          </cell>
          <cell r="I159">
            <v>6117.21</v>
          </cell>
        </row>
        <row r="160">
          <cell r="A160" t="str">
            <v>B085JHTR6J</v>
          </cell>
          <cell r="B160" t="str">
            <v>BC.125</v>
          </cell>
          <cell r="F160" t="str">
            <v>B096SVXQDX</v>
          </cell>
          <cell r="G160" t="str">
            <v>P201UTP011</v>
          </cell>
          <cell r="H160">
            <v>11</v>
          </cell>
          <cell r="I160">
            <v>125.12</v>
          </cell>
        </row>
        <row r="161">
          <cell r="A161" t="str">
            <v>B085JHTR6Q</v>
          </cell>
          <cell r="B161" t="str">
            <v>BP.790</v>
          </cell>
          <cell r="F161" t="str">
            <v>B0978ZKW4S</v>
          </cell>
          <cell r="G161" t="str">
            <v>P205DIF100</v>
          </cell>
          <cell r="H161">
            <v>32</v>
          </cell>
          <cell r="I161">
            <v>390.72</v>
          </cell>
        </row>
        <row r="162">
          <cell r="A162" t="str">
            <v>B085JJ81R7</v>
          </cell>
          <cell r="B162" t="str">
            <v>RCO9003028</v>
          </cell>
          <cell r="F162" t="str">
            <v>B097HRQNRG</v>
          </cell>
          <cell r="G162" t="str">
            <v>P101FRI100</v>
          </cell>
          <cell r="H162">
            <v>33</v>
          </cell>
          <cell r="I162">
            <v>944.13</v>
          </cell>
        </row>
        <row r="163">
          <cell r="A163" t="str">
            <v>B085JJ8RC6</v>
          </cell>
          <cell r="B163" t="str">
            <v>BB.050</v>
          </cell>
          <cell r="F163" t="str">
            <v>B097YTGFH7</v>
          </cell>
          <cell r="G163" t="str">
            <v>P102ROB200</v>
          </cell>
          <cell r="H163">
            <v>3</v>
          </cell>
          <cell r="I163">
            <v>196.47</v>
          </cell>
        </row>
        <row r="164">
          <cell r="A164" t="str">
            <v>B085JJFLGY</v>
          </cell>
          <cell r="B164" t="str">
            <v>RCO9003022</v>
          </cell>
          <cell r="F164" t="str">
            <v>B09968BKDS</v>
          </cell>
          <cell r="G164" t="str">
            <v>P102FRU003</v>
          </cell>
          <cell r="H164">
            <v>14</v>
          </cell>
          <cell r="I164">
            <v>228.34</v>
          </cell>
        </row>
        <row r="165">
          <cell r="A165" t="str">
            <v>B085JJJR91</v>
          </cell>
          <cell r="B165" t="str">
            <v>BC.210</v>
          </cell>
          <cell r="F165" t="str">
            <v>B09B2NT2SV</v>
          </cell>
          <cell r="G165" t="str">
            <v>P102FRU150</v>
          </cell>
          <cell r="H165">
            <v>6</v>
          </cell>
          <cell r="I165">
            <v>196.2</v>
          </cell>
        </row>
        <row r="166">
          <cell r="A166" t="str">
            <v>B085JJMBM7</v>
          </cell>
          <cell r="B166" t="str">
            <v>P206VEN400</v>
          </cell>
          <cell r="F166" t="str">
            <v>B09B47S644</v>
          </cell>
          <cell r="G166" t="str">
            <v>P101CUD501</v>
          </cell>
          <cell r="H166">
            <v>1</v>
          </cell>
          <cell r="I166">
            <v>28.61</v>
          </cell>
        </row>
        <row r="167">
          <cell r="A167" t="str">
            <v>B085R2GCKX</v>
          </cell>
          <cell r="B167" t="str">
            <v>40.332</v>
          </cell>
          <cell r="F167" t="str">
            <v>B09BBFTDLJ</v>
          </cell>
          <cell r="G167" t="str">
            <v>P101TOS501</v>
          </cell>
          <cell r="H167">
            <v>1</v>
          </cell>
          <cell r="I167">
            <v>56.23</v>
          </cell>
        </row>
        <row r="168">
          <cell r="A168" t="str">
            <v>B085R2NT18</v>
          </cell>
          <cell r="B168" t="str">
            <v>3BEPI001</v>
          </cell>
          <cell r="F168" t="str">
            <v>B09BD8BG34</v>
          </cell>
          <cell r="G168" t="str">
            <v>P301PIS001</v>
          </cell>
          <cell r="H168">
            <v>5</v>
          </cell>
          <cell r="I168">
            <v>86.76</v>
          </cell>
        </row>
        <row r="169">
          <cell r="A169" t="str">
            <v>B088PL1CY6</v>
          </cell>
          <cell r="B169" t="str">
            <v>P206VEN100</v>
          </cell>
          <cell r="F169" t="str">
            <v>B09BG1GGSM</v>
          </cell>
          <cell r="G169" t="str">
            <v>P204FER003</v>
          </cell>
          <cell r="H169">
            <v>2</v>
          </cell>
          <cell r="I169">
            <v>51.28</v>
          </cell>
        </row>
        <row r="170">
          <cell r="A170" t="str">
            <v>B088RZXVDL</v>
          </cell>
          <cell r="B170" t="str">
            <v>P206ZAN020</v>
          </cell>
          <cell r="F170" t="str">
            <v>B09C2K1HQW</v>
          </cell>
          <cell r="G170" t="str">
            <v>P302MAS050</v>
          </cell>
          <cell r="H170">
            <v>11</v>
          </cell>
          <cell r="I170">
            <v>1190.25</v>
          </cell>
        </row>
        <row r="171">
          <cell r="A171" t="str">
            <v>B088V9LKW7</v>
          </cell>
          <cell r="B171" t="str">
            <v>P206VEN230</v>
          </cell>
          <cell r="F171" t="str">
            <v>B09D8G2H7Q</v>
          </cell>
          <cell r="G171" t="str">
            <v>P102SBA500</v>
          </cell>
          <cell r="H171">
            <v>6</v>
          </cell>
          <cell r="I171">
            <v>551.73</v>
          </cell>
        </row>
        <row r="172">
          <cell r="A172" t="str">
            <v>B088XJQ37J</v>
          </cell>
          <cell r="B172" t="str">
            <v>C301ABE001</v>
          </cell>
          <cell r="F172" t="str">
            <v>B09HMK8JDN</v>
          </cell>
          <cell r="G172" t="str">
            <v>P203TER001</v>
          </cell>
          <cell r="H172">
            <v>19</v>
          </cell>
          <cell r="I172">
            <v>1386.05</v>
          </cell>
        </row>
        <row r="173">
          <cell r="A173" t="str">
            <v>B089BGZSNM</v>
          </cell>
          <cell r="B173" t="str">
            <v>P101CUD001</v>
          </cell>
          <cell r="F173" t="str">
            <v>B09HQN1LQ2</v>
          </cell>
          <cell r="G173" t="str">
            <v>P203TER100</v>
          </cell>
          <cell r="H173">
            <v>7</v>
          </cell>
          <cell r="I173">
            <v>401.1</v>
          </cell>
        </row>
        <row r="174">
          <cell r="A174" t="str">
            <v>B089BKBZV3</v>
          </cell>
          <cell r="B174" t="str">
            <v>P101TOS001</v>
          </cell>
          <cell r="F174" t="str">
            <v>B09KYD9JGY</v>
          </cell>
          <cell r="G174" t="str">
            <v>P301PIS100</v>
          </cell>
          <cell r="H174">
            <v>105</v>
          </cell>
          <cell r="I174">
            <v>2143.0500000000002</v>
          </cell>
        </row>
        <row r="175">
          <cell r="A175" t="str">
            <v>B089DTP1BQ</v>
          </cell>
          <cell r="B175" t="str">
            <v>XUADA010</v>
          </cell>
          <cell r="F175" t="str">
            <v>B09L4SLDSZ</v>
          </cell>
          <cell r="G175" t="str">
            <v>P203TFO100</v>
          </cell>
          <cell r="H175">
            <v>53</v>
          </cell>
          <cell r="I175">
            <v>1299.03</v>
          </cell>
        </row>
        <row r="176">
          <cell r="A176" t="str">
            <v>B08B66J4C3</v>
          </cell>
          <cell r="B176" t="str">
            <v>P101PIA001</v>
          </cell>
          <cell r="F176" t="str">
            <v>B09LHXJXQL</v>
          </cell>
          <cell r="G176" t="str">
            <v>P102SBA007</v>
          </cell>
          <cell r="H176">
            <v>26</v>
          </cell>
          <cell r="I176">
            <v>536.78</v>
          </cell>
        </row>
        <row r="177">
          <cell r="A177" t="str">
            <v>B08B8M2B7B</v>
          </cell>
          <cell r="B177" t="str">
            <v>P102EST001</v>
          </cell>
          <cell r="F177" t="str">
            <v>B09MFYXGV9</v>
          </cell>
          <cell r="G177" t="str">
            <v>P101FRI012</v>
          </cell>
          <cell r="H177">
            <v>9</v>
          </cell>
          <cell r="I177">
            <v>1073.6300000000001</v>
          </cell>
        </row>
        <row r="178">
          <cell r="A178" t="str">
            <v>B08C7TN27W</v>
          </cell>
          <cell r="B178" t="str">
            <v>P204FER001</v>
          </cell>
          <cell r="F178" t="str">
            <v>B09MKJBD92</v>
          </cell>
          <cell r="G178" t="str">
            <v>CP.007</v>
          </cell>
          <cell r="H178">
            <v>0</v>
          </cell>
          <cell r="I178">
            <v>0</v>
          </cell>
        </row>
        <row r="179">
          <cell r="A179" t="str">
            <v>B08C7YJB5N</v>
          </cell>
          <cell r="B179" t="str">
            <v>P201UTP001</v>
          </cell>
          <cell r="F179" t="str">
            <v>B09NBXYF5J</v>
          </cell>
          <cell r="G179" t="str">
            <v>P101TOS002</v>
          </cell>
          <cell r="H179">
            <v>55</v>
          </cell>
          <cell r="I179">
            <v>1090.33</v>
          </cell>
        </row>
        <row r="180">
          <cell r="A180" t="str">
            <v>B08DHZDXVV</v>
          </cell>
          <cell r="B180" t="str">
            <v>P102SBA100</v>
          </cell>
          <cell r="F180" t="str">
            <v>B09VQLJ1WK</v>
          </cell>
          <cell r="G180" t="str">
            <v>P204FER004</v>
          </cell>
          <cell r="H180">
            <v>10</v>
          </cell>
          <cell r="I180">
            <v>140.69</v>
          </cell>
        </row>
        <row r="181">
          <cell r="A181" t="str">
            <v>B08DJ3K9J8</v>
          </cell>
          <cell r="B181" t="str">
            <v>p102rob100</v>
          </cell>
          <cell r="F181" t="str">
            <v>B09XN3Z69T</v>
          </cell>
          <cell r="G181" t="str">
            <v>P206VEN350</v>
          </cell>
          <cell r="H181">
            <v>1</v>
          </cell>
          <cell r="I181">
            <v>70.88</v>
          </cell>
        </row>
        <row r="182">
          <cell r="A182" t="str">
            <v>B08DL66NZ9</v>
          </cell>
          <cell r="B182" t="str">
            <v>P301ASC001</v>
          </cell>
          <cell r="F182" t="str">
            <v>B09XR94HF8</v>
          </cell>
          <cell r="G182" t="str">
            <v>C301ACC001</v>
          </cell>
          <cell r="H182">
            <v>1</v>
          </cell>
          <cell r="I182">
            <v>30.37</v>
          </cell>
        </row>
        <row r="183">
          <cell r="A183" t="str">
            <v>B08F5GYFKS</v>
          </cell>
          <cell r="B183" t="str">
            <v>P102FRU001</v>
          </cell>
          <cell r="F183" t="str">
            <v>B09Y9DBPK5</v>
          </cell>
          <cell r="G183" t="str">
            <v>P101CUD300</v>
          </cell>
          <cell r="H183">
            <v>13</v>
          </cell>
          <cell r="I183">
            <v>948.35</v>
          </cell>
        </row>
        <row r="184">
          <cell r="A184" t="str">
            <v>B08FDP7T13</v>
          </cell>
          <cell r="B184" t="str">
            <v>P101FOR001</v>
          </cell>
          <cell r="F184" t="str">
            <v>B09ZBHJ91Q</v>
          </cell>
          <cell r="G184" t="str">
            <v>P201UTP100</v>
          </cell>
          <cell r="H184">
            <v>208</v>
          </cell>
          <cell r="I184">
            <v>3392.48</v>
          </cell>
        </row>
        <row r="185">
          <cell r="A185" t="str">
            <v>B08FDYW72J</v>
          </cell>
          <cell r="B185" t="str">
            <v>P101CUD100</v>
          </cell>
          <cell r="F185" t="str">
            <v>B0B2F48ZMP</v>
          </cell>
          <cell r="G185" t="str">
            <v>P102GEL100</v>
          </cell>
          <cell r="H185">
            <v>23</v>
          </cell>
          <cell r="I185">
            <v>906.26</v>
          </cell>
        </row>
        <row r="186">
          <cell r="A186" t="str">
            <v>B08FF245TD</v>
          </cell>
          <cell r="B186" t="str">
            <v>P101CUD500</v>
          </cell>
          <cell r="F186" t="str">
            <v>B0B2SB1ZQL</v>
          </cell>
          <cell r="G186" t="str">
            <v>P102EST100</v>
          </cell>
          <cell r="H186">
            <v>15</v>
          </cell>
          <cell r="I186">
            <v>367.65</v>
          </cell>
        </row>
        <row r="187">
          <cell r="A187" t="str">
            <v>B08FJGGZ1D</v>
          </cell>
          <cell r="B187" t="str">
            <v>70.405</v>
          </cell>
          <cell r="F187" t="str">
            <v>B0B39H1Z8J</v>
          </cell>
          <cell r="G187" t="str">
            <v>C106CAS001</v>
          </cell>
          <cell r="H187">
            <v>1584</v>
          </cell>
          <cell r="I187">
            <v>12846.24</v>
          </cell>
        </row>
        <row r="188">
          <cell r="A188" t="str">
            <v>B08FMLPKY9</v>
          </cell>
          <cell r="B188" t="str">
            <v>P201UTP004</v>
          </cell>
          <cell r="F188" t="str">
            <v>B0B3N9ZNT2</v>
          </cell>
          <cell r="G188" t="str">
            <v>P101CUD051</v>
          </cell>
          <cell r="H188">
            <v>32</v>
          </cell>
          <cell r="I188">
            <v>1046.4000000000001</v>
          </cell>
        </row>
        <row r="189">
          <cell r="A189" t="str">
            <v>B08FMS5ZDK</v>
          </cell>
          <cell r="B189" t="str">
            <v>P201UTP002</v>
          </cell>
          <cell r="F189" t="str">
            <v>B0B5XB4X2T</v>
          </cell>
          <cell r="G189" t="str">
            <v>P102ACP100</v>
          </cell>
          <cell r="H189">
            <v>60</v>
          </cell>
          <cell r="I189">
            <v>978.6</v>
          </cell>
        </row>
        <row r="190">
          <cell r="A190" t="str">
            <v>B08GS7XW73</v>
          </cell>
          <cell r="B190" t="str">
            <v>P204FER250</v>
          </cell>
          <cell r="F190" t="str">
            <v>B0B6JKJNCP</v>
          </cell>
          <cell r="G190" t="str">
            <v>P201UTP201</v>
          </cell>
          <cell r="H190">
            <v>22</v>
          </cell>
          <cell r="I190">
            <v>358.82</v>
          </cell>
        </row>
        <row r="191">
          <cell r="A191" t="str">
            <v>B08GS96GPT</v>
          </cell>
          <cell r="B191" t="str">
            <v>P204FER100</v>
          </cell>
          <cell r="F191" t="str">
            <v>B0B6JPXDN6</v>
          </cell>
          <cell r="G191" t="str">
            <v>P201UTP200</v>
          </cell>
          <cell r="H191">
            <v>79</v>
          </cell>
          <cell r="I191">
            <v>1288.49</v>
          </cell>
        </row>
        <row r="192">
          <cell r="A192" t="str">
            <v>B08GSK6C18</v>
          </cell>
          <cell r="B192" t="str">
            <v>P204FER200</v>
          </cell>
          <cell r="F192" t="str">
            <v>B0B7WVD9L3</v>
          </cell>
          <cell r="G192" t="str">
            <v>P205DIF050</v>
          </cell>
          <cell r="H192">
            <v>7</v>
          </cell>
          <cell r="I192">
            <v>276.7</v>
          </cell>
        </row>
        <row r="193">
          <cell r="A193" t="str">
            <v>B08GY7286R</v>
          </cell>
          <cell r="B193" t="str">
            <v>P203TFO001</v>
          </cell>
          <cell r="F193" t="str">
            <v>B0B887SKJ1</v>
          </cell>
          <cell r="G193" t="str">
            <v>P102SBA008</v>
          </cell>
          <cell r="H193">
            <v>4</v>
          </cell>
          <cell r="I193">
            <v>65.239999999999995</v>
          </cell>
        </row>
        <row r="194">
          <cell r="A194" t="str">
            <v>B08HCT78N3</v>
          </cell>
          <cell r="B194" t="str">
            <v>P202ASP400</v>
          </cell>
          <cell r="F194" t="str">
            <v>B0B8DLSNJF</v>
          </cell>
          <cell r="G194" t="str">
            <v>P302VIS050</v>
          </cell>
          <cell r="H194">
            <v>828</v>
          </cell>
          <cell r="I194">
            <v>13504.68</v>
          </cell>
        </row>
        <row r="195">
          <cell r="A195" t="str">
            <v>B08HN4DPJV</v>
          </cell>
          <cell r="B195" t="str">
            <v>P201UTP003</v>
          </cell>
          <cell r="F195" t="str">
            <v>B0B8JVTQYQ</v>
          </cell>
          <cell r="G195" t="str">
            <v>P101CUD200</v>
          </cell>
          <cell r="H195">
            <v>3</v>
          </cell>
          <cell r="I195">
            <v>122.7</v>
          </cell>
        </row>
        <row r="196">
          <cell r="A196" t="str">
            <v>B08J47XH38</v>
          </cell>
          <cell r="B196" t="str">
            <v>RCORI552</v>
          </cell>
          <cell r="F196" t="str">
            <v>B0B94FL5H8</v>
          </cell>
          <cell r="G196" t="str">
            <v>PE.387</v>
          </cell>
          <cell r="H196">
            <v>27</v>
          </cell>
          <cell r="I196">
            <v>218.97</v>
          </cell>
        </row>
        <row r="197">
          <cell r="A197" t="str">
            <v>B08JM7SZ36</v>
          </cell>
          <cell r="B197" t="str">
            <v>C206UTI001</v>
          </cell>
          <cell r="F197" t="str">
            <v>B0BBH12BYN</v>
          </cell>
          <cell r="G197" t="str">
            <v>P101COS001</v>
          </cell>
          <cell r="H197">
            <v>13</v>
          </cell>
          <cell r="I197">
            <v>1278.33</v>
          </cell>
        </row>
        <row r="198">
          <cell r="A198" t="str">
            <v>B08JYDDFZ2</v>
          </cell>
          <cell r="B198" t="str">
            <v>C206UTI002</v>
          </cell>
          <cell r="F198" t="str">
            <v>B0BD4VX5JB</v>
          </cell>
          <cell r="G198" t="str">
            <v>P203PAN002</v>
          </cell>
          <cell r="H198">
            <v>52</v>
          </cell>
          <cell r="I198">
            <v>4258.28</v>
          </cell>
        </row>
        <row r="199">
          <cell r="A199" t="str">
            <v>B08JYWF3PK</v>
          </cell>
          <cell r="B199" t="str">
            <v>C102COC101</v>
          </cell>
          <cell r="F199" t="str">
            <v>B0BD83RNDG</v>
          </cell>
          <cell r="G199" t="str">
            <v>C106CAS002</v>
          </cell>
          <cell r="H199">
            <v>198</v>
          </cell>
          <cell r="I199">
            <v>2092.86</v>
          </cell>
        </row>
        <row r="200">
          <cell r="A200" t="str">
            <v>B08JZDZTPG</v>
          </cell>
          <cell r="B200" t="str">
            <v>BP.803</v>
          </cell>
          <cell r="F200" t="str">
            <v>B0BDFXPXY7</v>
          </cell>
          <cell r="G200" t="str">
            <v>P202ASP200</v>
          </cell>
          <cell r="H200">
            <v>0</v>
          </cell>
          <cell r="I200">
            <v>0</v>
          </cell>
        </row>
        <row r="201">
          <cell r="A201" t="str">
            <v>B08KSBDTQD</v>
          </cell>
          <cell r="B201" t="str">
            <v>P102ROB001</v>
          </cell>
          <cell r="F201" t="str">
            <v>B0BFS7CYLQ</v>
          </cell>
          <cell r="G201" t="str">
            <v>P101CUD052</v>
          </cell>
          <cell r="H201">
            <v>6</v>
          </cell>
          <cell r="I201">
            <v>220.8</v>
          </cell>
        </row>
        <row r="202">
          <cell r="A202" t="str">
            <v>B08KYZ2FLN</v>
          </cell>
          <cell r="B202" t="str">
            <v>P101FRI001</v>
          </cell>
          <cell r="F202" t="str">
            <v>B0BHHV552D</v>
          </cell>
          <cell r="G202" t="str">
            <v>P203TER201</v>
          </cell>
          <cell r="H202">
            <v>922</v>
          </cell>
          <cell r="I202">
            <v>15037.82</v>
          </cell>
        </row>
        <row r="203">
          <cell r="A203" t="str">
            <v>B08L9D9KR9</v>
          </cell>
          <cell r="B203" t="str">
            <v>P202VAL001</v>
          </cell>
          <cell r="F203" t="str">
            <v>B0BHTBMNX8</v>
          </cell>
          <cell r="G203" t="str">
            <v>P101CUD250</v>
          </cell>
          <cell r="H203">
            <v>1</v>
          </cell>
          <cell r="I203">
            <v>31.75</v>
          </cell>
        </row>
        <row r="204">
          <cell r="A204" t="str">
            <v>B08LDDKBYG</v>
          </cell>
          <cell r="B204" t="str">
            <v>P202VAL002</v>
          </cell>
          <cell r="F204" t="str">
            <v>B0BJ2TBPJW</v>
          </cell>
          <cell r="G204" t="str">
            <v>C206UTI004</v>
          </cell>
          <cell r="H204">
            <v>512</v>
          </cell>
          <cell r="I204">
            <v>2094.08</v>
          </cell>
        </row>
        <row r="205">
          <cell r="A205" t="str">
            <v>B08LVS1MMY</v>
          </cell>
          <cell r="B205" t="str">
            <v>P202VAL100</v>
          </cell>
          <cell r="F205" t="str">
            <v>B0BJL1Z674</v>
          </cell>
          <cell r="G205" t="str">
            <v>C102SPE001</v>
          </cell>
          <cell r="H205">
            <v>2441</v>
          </cell>
          <cell r="I205">
            <v>9812.82</v>
          </cell>
        </row>
        <row r="206">
          <cell r="A206" t="str">
            <v>B08LZN1PWY</v>
          </cell>
          <cell r="B206" t="str">
            <v>P101TEM001</v>
          </cell>
          <cell r="F206" t="str">
            <v>B0BKGZC9YH</v>
          </cell>
          <cell r="G206" t="str">
            <v>C301ABE200</v>
          </cell>
          <cell r="H206">
            <v>12</v>
          </cell>
          <cell r="I206">
            <v>78.599999999999994</v>
          </cell>
        </row>
        <row r="207">
          <cell r="A207" t="str">
            <v>B08MM2VK11</v>
          </cell>
          <cell r="B207" t="str">
            <v>P302MAS001</v>
          </cell>
          <cell r="F207" t="str">
            <v>B0BRQB2J4B</v>
          </cell>
          <cell r="G207" t="str">
            <v>PET005</v>
          </cell>
          <cell r="H207">
            <v>9</v>
          </cell>
          <cell r="I207">
            <v>36.18</v>
          </cell>
        </row>
        <row r="208">
          <cell r="A208" t="str">
            <v>B08MX1SQKC</v>
          </cell>
          <cell r="B208" t="str">
            <v>P302VIS001</v>
          </cell>
          <cell r="F208" t="str">
            <v>Totale complessivo</v>
          </cell>
          <cell r="H208">
            <v>31233</v>
          </cell>
          <cell r="I208">
            <v>477924.76000000013</v>
          </cell>
        </row>
        <row r="209">
          <cell r="A209" t="str">
            <v>B08NDZKNF5</v>
          </cell>
          <cell r="B209" t="str">
            <v>P102CON001</v>
          </cell>
        </row>
        <row r="210">
          <cell r="A210" t="str">
            <v>B08NF8TQKT</v>
          </cell>
          <cell r="B210" t="str">
            <v>P102FRU100</v>
          </cell>
        </row>
        <row r="211">
          <cell r="A211" t="str">
            <v>B08NTD853X</v>
          </cell>
          <cell r="B211" t="str">
            <v>P102SBA006</v>
          </cell>
        </row>
        <row r="212">
          <cell r="A212" t="str">
            <v>B08V4VTTQN</v>
          </cell>
          <cell r="B212" t="str">
            <v>C107UTT001</v>
          </cell>
        </row>
        <row r="213">
          <cell r="A213" t="str">
            <v>B08X4VZV3S</v>
          </cell>
          <cell r="B213" t="str">
            <v>P303BIP001</v>
          </cell>
        </row>
        <row r="214">
          <cell r="A214" t="str">
            <v>B08XQT9P5C</v>
          </cell>
          <cell r="B214" t="str">
            <v>P102GEL001</v>
          </cell>
        </row>
        <row r="215">
          <cell r="A215" t="str">
            <v>B08XVV3PVK</v>
          </cell>
          <cell r="B215" t="str">
            <v>P303MED001</v>
          </cell>
        </row>
        <row r="216">
          <cell r="A216" t="str">
            <v>B09146GTKW</v>
          </cell>
          <cell r="B216" t="str">
            <v>P302VIS002</v>
          </cell>
        </row>
        <row r="217">
          <cell r="A217" t="str">
            <v>B091C5XQZN</v>
          </cell>
          <cell r="B217" t="str">
            <v>P202ASP001</v>
          </cell>
        </row>
        <row r="218">
          <cell r="A218" t="str">
            <v>B091LRR67V</v>
          </cell>
          <cell r="B218" t="str">
            <v>P101FRI050</v>
          </cell>
        </row>
        <row r="219">
          <cell r="A219" t="str">
            <v>B091VSY78C</v>
          </cell>
          <cell r="B219" t="str">
            <v>P303BIP050</v>
          </cell>
        </row>
        <row r="220">
          <cell r="A220" t="str">
            <v>B09251R9RJ</v>
          </cell>
          <cell r="B220" t="str">
            <v>P304CAP001</v>
          </cell>
        </row>
        <row r="221">
          <cell r="A221" t="str">
            <v>B09294Z7XG</v>
          </cell>
          <cell r="B221" t="str">
            <v>P206ZAN300</v>
          </cell>
        </row>
        <row r="222">
          <cell r="A222" t="str">
            <v>B092DN1NCS</v>
          </cell>
          <cell r="B222" t="str">
            <v>P206VEN440</v>
          </cell>
        </row>
        <row r="223">
          <cell r="A223" t="str">
            <v>B092J2RHL8</v>
          </cell>
          <cell r="B223" t="str">
            <v>P206ZAN200</v>
          </cell>
        </row>
        <row r="224">
          <cell r="A224" t="str">
            <v>B092JNYG6Z</v>
          </cell>
          <cell r="B224" t="str">
            <v>P204CAL201</v>
          </cell>
        </row>
        <row r="225">
          <cell r="A225" t="str">
            <v>B092QXCQ8K</v>
          </cell>
          <cell r="B225" t="str">
            <v>P205DIF001</v>
          </cell>
        </row>
        <row r="226">
          <cell r="A226" t="str">
            <v>B09495C38F</v>
          </cell>
          <cell r="B226" t="str">
            <v>P204FER002</v>
          </cell>
        </row>
        <row r="227">
          <cell r="A227" t="str">
            <v>B0953R2W31</v>
          </cell>
          <cell r="B227" t="str">
            <v>P102ACP001</v>
          </cell>
        </row>
        <row r="228">
          <cell r="A228" t="str">
            <v>B0957PWXL8</v>
          </cell>
          <cell r="B228" t="str">
            <v>P102ACP010</v>
          </cell>
        </row>
        <row r="229">
          <cell r="A229" t="str">
            <v>B095PQJGKX</v>
          </cell>
          <cell r="B229" t="str">
            <v>C107UTT002</v>
          </cell>
        </row>
        <row r="230">
          <cell r="A230" t="str">
            <v>B095SWNCBS</v>
          </cell>
          <cell r="B230" t="str">
            <v>P101TOS500</v>
          </cell>
        </row>
        <row r="231">
          <cell r="A231" t="str">
            <v>B095WCSSLC</v>
          </cell>
          <cell r="B231" t="str">
            <v>C301ABE101</v>
          </cell>
        </row>
        <row r="232">
          <cell r="A232" t="str">
            <v>B095X9KDJR</v>
          </cell>
          <cell r="B232" t="str">
            <v>P101BOL100</v>
          </cell>
        </row>
        <row r="233">
          <cell r="A233" t="str">
            <v>B096KVY46G</v>
          </cell>
          <cell r="B233" t="str">
            <v>P303MED050</v>
          </cell>
        </row>
        <row r="234">
          <cell r="A234" t="str">
            <v>B096MX229M</v>
          </cell>
          <cell r="B234" t="str">
            <v>P102ROB050</v>
          </cell>
        </row>
        <row r="235">
          <cell r="A235" t="str">
            <v>B096SVXQDX</v>
          </cell>
          <cell r="B235" t="str">
            <v>P201UTP011</v>
          </cell>
        </row>
        <row r="236">
          <cell r="A236" t="str">
            <v>B097785V2V</v>
          </cell>
          <cell r="B236" t="str">
            <v>P202VAL110</v>
          </cell>
        </row>
        <row r="237">
          <cell r="A237" t="str">
            <v>B0978ZKW4S</v>
          </cell>
          <cell r="B237" t="str">
            <v>P205DIF100</v>
          </cell>
        </row>
        <row r="238">
          <cell r="A238" t="str">
            <v>B097HRQNRG</v>
          </cell>
          <cell r="B238" t="str">
            <v>P101FRI100</v>
          </cell>
        </row>
        <row r="239">
          <cell r="A239" t="str">
            <v>B097YTGFH7</v>
          </cell>
          <cell r="B239" t="str">
            <v>P102ROB200</v>
          </cell>
        </row>
        <row r="240">
          <cell r="A240" t="str">
            <v>B098F33WBD</v>
          </cell>
          <cell r="B240" t="str">
            <v>RCO4091819</v>
          </cell>
        </row>
        <row r="241">
          <cell r="A241" t="str">
            <v>B098QM485T</v>
          </cell>
          <cell r="B241" t="str">
            <v>P101CUD050</v>
          </cell>
        </row>
        <row r="242">
          <cell r="A242" t="str">
            <v>B098TQ6NHC</v>
          </cell>
          <cell r="B242" t="str">
            <v>P201UTP010</v>
          </cell>
        </row>
        <row r="243">
          <cell r="A243" t="str">
            <v>B09968BKDS</v>
          </cell>
          <cell r="B243" t="str">
            <v>P102FRU003</v>
          </cell>
        </row>
        <row r="244">
          <cell r="A244" t="str">
            <v>B09B15P5H1</v>
          </cell>
          <cell r="B244" t="str">
            <v>P102FRU200</v>
          </cell>
        </row>
        <row r="245">
          <cell r="A245" t="str">
            <v>B09B2NT2SV</v>
          </cell>
          <cell r="B245" t="str">
            <v>P102FRU150</v>
          </cell>
        </row>
        <row r="246">
          <cell r="A246" t="str">
            <v>B09B47S644</v>
          </cell>
          <cell r="B246" t="str">
            <v>P101CUD501</v>
          </cell>
        </row>
        <row r="247">
          <cell r="A247" t="str">
            <v>B09BBFTDLJ</v>
          </cell>
          <cell r="B247" t="str">
            <v>P101TOS501</v>
          </cell>
        </row>
        <row r="248">
          <cell r="A248" t="str">
            <v>B09BD8BG34</v>
          </cell>
          <cell r="B248" t="str">
            <v>P301PIS001</v>
          </cell>
        </row>
        <row r="249">
          <cell r="A249" t="str">
            <v>B09BG1GGSM</v>
          </cell>
          <cell r="B249" t="str">
            <v>P204FER003</v>
          </cell>
        </row>
        <row r="250">
          <cell r="A250" t="str">
            <v>B09C2K1HQW</v>
          </cell>
          <cell r="B250" t="str">
            <v>P302MAS050</v>
          </cell>
        </row>
        <row r="251">
          <cell r="A251" t="str">
            <v>B09D8G2H7Q</v>
          </cell>
          <cell r="B251" t="str">
            <v>P102SBA500</v>
          </cell>
        </row>
        <row r="252">
          <cell r="A252" t="str">
            <v>B09HMK8JDN</v>
          </cell>
          <cell r="B252" t="str">
            <v>P203TER001</v>
          </cell>
        </row>
        <row r="253">
          <cell r="A253" t="str">
            <v>B09HQN1LQ2</v>
          </cell>
          <cell r="B253" t="str">
            <v>P203TER100</v>
          </cell>
        </row>
        <row r="254">
          <cell r="A254" t="str">
            <v>B09J57VDX5</v>
          </cell>
          <cell r="B254" t="str">
            <v>P203TER200</v>
          </cell>
        </row>
        <row r="255">
          <cell r="A255" t="str">
            <v>B09KYD9JGY</v>
          </cell>
          <cell r="B255" t="str">
            <v>P301PIS100</v>
          </cell>
        </row>
        <row r="256">
          <cell r="A256" t="str">
            <v>B09L4SLDSZ</v>
          </cell>
          <cell r="B256" t="str">
            <v>P203TFO100</v>
          </cell>
        </row>
        <row r="257">
          <cell r="A257" t="str">
            <v>B09LHXJXQL</v>
          </cell>
          <cell r="B257" t="str">
            <v>P102SBA007</v>
          </cell>
        </row>
        <row r="258">
          <cell r="A258" t="str">
            <v>B09MFYXGV9</v>
          </cell>
          <cell r="B258" t="str">
            <v>P101FRI012</v>
          </cell>
        </row>
        <row r="259">
          <cell r="A259" t="str">
            <v>B09MKJBD92</v>
          </cell>
          <cell r="B259" t="str">
            <v>CP.007</v>
          </cell>
        </row>
        <row r="260">
          <cell r="A260" t="str">
            <v>B09MS5H54V</v>
          </cell>
          <cell r="B260" t="str">
            <v>P101TOS502</v>
          </cell>
        </row>
        <row r="261">
          <cell r="A261" t="str">
            <v>B09NBXYF5J</v>
          </cell>
          <cell r="B261" t="str">
            <v>P101TOS002</v>
          </cell>
        </row>
        <row r="262">
          <cell r="A262" t="str">
            <v>B09PGHNKWP</v>
          </cell>
          <cell r="B262" t="str">
            <v>AC.116</v>
          </cell>
        </row>
        <row r="263">
          <cell r="A263" t="str">
            <v>B09VQLJ1WK</v>
          </cell>
          <cell r="B263" t="str">
            <v>P204FER004</v>
          </cell>
        </row>
        <row r="264">
          <cell r="A264" t="str">
            <v>B09XN3Z69T</v>
          </cell>
          <cell r="B264" t="str">
            <v>P206VEN350</v>
          </cell>
        </row>
        <row r="265">
          <cell r="A265" t="str">
            <v>B09XR94HF8</v>
          </cell>
          <cell r="B265" t="str">
            <v>C301ACC001</v>
          </cell>
        </row>
        <row r="266">
          <cell r="A266" t="str">
            <v>B09Y9DBPK5</v>
          </cell>
          <cell r="B266" t="str">
            <v>P101CUD300</v>
          </cell>
        </row>
        <row r="267">
          <cell r="A267" t="str">
            <v>B09ZBHJ91Q</v>
          </cell>
          <cell r="B267" t="str">
            <v>P201UTP100</v>
          </cell>
        </row>
        <row r="268">
          <cell r="A268" t="str">
            <v>B0B131VWYS</v>
          </cell>
          <cell r="B268" t="str">
            <v>P201UTP020</v>
          </cell>
        </row>
        <row r="269">
          <cell r="A269" t="str">
            <v>B0B2F48ZMP</v>
          </cell>
          <cell r="B269" t="str">
            <v>P102GEL100</v>
          </cell>
        </row>
        <row r="270">
          <cell r="A270" t="str">
            <v>B0B2SB1ZQL</v>
          </cell>
          <cell r="B270" t="str">
            <v>P102EST100</v>
          </cell>
        </row>
        <row r="271">
          <cell r="A271" t="str">
            <v>B0B39H1Z8J</v>
          </cell>
          <cell r="B271" t="str">
            <v>C106CAS001</v>
          </cell>
        </row>
        <row r="272">
          <cell r="A272" t="str">
            <v>B0B3N9ZNT2</v>
          </cell>
          <cell r="B272" t="str">
            <v>P101CUD051</v>
          </cell>
        </row>
        <row r="273">
          <cell r="A273" t="str">
            <v>B0B57933BC</v>
          </cell>
          <cell r="B273" t="str">
            <v>P102FRU300</v>
          </cell>
        </row>
        <row r="274">
          <cell r="A274" t="str">
            <v>B0B57FLJFX</v>
          </cell>
          <cell r="B274" t="str">
            <v>P302VIS003</v>
          </cell>
        </row>
        <row r="275">
          <cell r="A275" t="str">
            <v>B0B5XB4X2T</v>
          </cell>
          <cell r="B275" t="str">
            <v>P102ACP100</v>
          </cell>
        </row>
        <row r="276">
          <cell r="A276" t="str">
            <v>B0B6JKJNCP</v>
          </cell>
          <cell r="B276" t="str">
            <v>P201UTP201</v>
          </cell>
        </row>
        <row r="277">
          <cell r="A277" t="str">
            <v>B0B6JPXDN6</v>
          </cell>
          <cell r="B277" t="str">
            <v>P201UTP200</v>
          </cell>
        </row>
        <row r="278">
          <cell r="A278" t="str">
            <v>B0B7WVD9L3</v>
          </cell>
          <cell r="B278" t="str">
            <v>P205DIF050</v>
          </cell>
        </row>
        <row r="279">
          <cell r="A279" t="str">
            <v>B0B887SKJ1</v>
          </cell>
          <cell r="B279" t="str">
            <v>P102SBA008</v>
          </cell>
        </row>
        <row r="280">
          <cell r="A280" t="str">
            <v>B0B8DLSNJF</v>
          </cell>
          <cell r="B280" t="str">
            <v>P302VIS050</v>
          </cell>
        </row>
        <row r="281">
          <cell r="A281" t="str">
            <v>B0B8JVTQYQ</v>
          </cell>
          <cell r="B281" t="str">
            <v>P101CUD200</v>
          </cell>
        </row>
        <row r="282">
          <cell r="A282" t="str">
            <v>B0B94FL5H8</v>
          </cell>
          <cell r="B282" t="str">
            <v>PE.387</v>
          </cell>
        </row>
        <row r="283">
          <cell r="A283" t="str">
            <v>B0BBH12BYN</v>
          </cell>
          <cell r="B283" t="str">
            <v>P101COS001</v>
          </cell>
        </row>
        <row r="284">
          <cell r="A284" t="str">
            <v>B0BD4VX5JB</v>
          </cell>
          <cell r="B284" t="str">
            <v>P203PAN002</v>
          </cell>
        </row>
        <row r="285">
          <cell r="A285" t="str">
            <v>B0BD83RNDG</v>
          </cell>
          <cell r="B285" t="str">
            <v>C106CAS002</v>
          </cell>
        </row>
        <row r="286">
          <cell r="A286" t="str">
            <v>B0BDFXPXY7</v>
          </cell>
          <cell r="B286" t="str">
            <v>P202ASP200</v>
          </cell>
        </row>
        <row r="287">
          <cell r="A287" t="str">
            <v>B0BFS7CYLQ</v>
          </cell>
          <cell r="B287" t="str">
            <v>P101CUD052</v>
          </cell>
        </row>
        <row r="288">
          <cell r="A288" t="str">
            <v>B0BHHV552D</v>
          </cell>
          <cell r="B288" t="str">
            <v>P203TER201</v>
          </cell>
        </row>
        <row r="289">
          <cell r="A289" t="str">
            <v>B0BHTBMNX8</v>
          </cell>
          <cell r="B289" t="str">
            <v>P101CUD250</v>
          </cell>
        </row>
        <row r="290">
          <cell r="A290" t="str">
            <v>B0BJ2TBPJW</v>
          </cell>
          <cell r="B290" t="str">
            <v>C206UTI004</v>
          </cell>
        </row>
        <row r="291">
          <cell r="A291" t="str">
            <v>B0BJL1Z674</v>
          </cell>
          <cell r="B291" t="str">
            <v>C102SPE001</v>
          </cell>
        </row>
        <row r="292">
          <cell r="A292" t="str">
            <v>B0BKGZC9YH</v>
          </cell>
          <cell r="B292" t="str">
            <v>C301ABE200</v>
          </cell>
        </row>
        <row r="293">
          <cell r="A293" t="str">
            <v>B0BNNH9RZQ</v>
          </cell>
          <cell r="B293" t="str">
            <v>P302VIS060</v>
          </cell>
        </row>
        <row r="294">
          <cell r="A294" t="str">
            <v>B0BQJSQ6PF</v>
          </cell>
          <cell r="B294" t="str">
            <v>P101CUD600</v>
          </cell>
        </row>
        <row r="295">
          <cell r="A295" t="str">
            <v>B0BRQB2J4B</v>
          </cell>
          <cell r="B295" t="str">
            <v>PET005</v>
          </cell>
        </row>
        <row r="296">
          <cell r="A296" t="str">
            <v>Totale complessivo</v>
          </cell>
        </row>
      </sheetData>
      <sheetData sheetId="4">
        <row r="1">
          <cell r="F1" t="str">
            <v>Codice marketplace</v>
          </cell>
          <cell r="G1" t="str">
            <v>IT</v>
          </cell>
        </row>
        <row r="3">
          <cell r="F3" t="str">
            <v>ASIN</v>
          </cell>
          <cell r="G3" t="str">
            <v>Numero del modello</v>
          </cell>
          <cell r="H3" t="str">
            <v>Somma di Unità ordinate</v>
          </cell>
          <cell r="I3" t="str">
            <v>Somma di Ricavi ordini</v>
          </cell>
        </row>
        <row r="4">
          <cell r="F4" t="str">
            <v>B0050IHH4E</v>
          </cell>
          <cell r="G4" t="str">
            <v>40.979</v>
          </cell>
          <cell r="H4">
            <v>486</v>
          </cell>
          <cell r="I4">
            <v>6983.03</v>
          </cell>
        </row>
        <row r="5">
          <cell r="F5" t="str">
            <v>B00BH202XK</v>
          </cell>
          <cell r="G5" t="str">
            <v>40.808A</v>
          </cell>
          <cell r="H5">
            <v>6</v>
          </cell>
          <cell r="I5">
            <v>83.1</v>
          </cell>
        </row>
        <row r="6">
          <cell r="F6" t="str">
            <v>B00EYDRS1I</v>
          </cell>
          <cell r="G6" t="str">
            <v>90.349</v>
          </cell>
          <cell r="H6">
            <v>36</v>
          </cell>
          <cell r="I6">
            <v>211.74</v>
          </cell>
        </row>
        <row r="7">
          <cell r="F7" t="str">
            <v>B00FFBFVG2</v>
          </cell>
          <cell r="G7" t="str">
            <v>40.100</v>
          </cell>
          <cell r="H7">
            <v>0</v>
          </cell>
          <cell r="I7">
            <v>0</v>
          </cell>
        </row>
        <row r="8">
          <cell r="F8" t="str">
            <v>B00L5GPWFG</v>
          </cell>
          <cell r="G8" t="str">
            <v>40.120</v>
          </cell>
          <cell r="H8">
            <v>6</v>
          </cell>
          <cell r="I8">
            <v>147.9</v>
          </cell>
        </row>
        <row r="9">
          <cell r="F9" t="str">
            <v>B00L5H5KUW</v>
          </cell>
          <cell r="G9" t="str">
            <v>40.121</v>
          </cell>
          <cell r="H9">
            <v>275</v>
          </cell>
          <cell r="I9">
            <v>5023.29</v>
          </cell>
        </row>
        <row r="10">
          <cell r="F10" t="str">
            <v>B00NSNZSLM</v>
          </cell>
          <cell r="G10" t="str">
            <v>90.602</v>
          </cell>
          <cell r="H10">
            <v>1</v>
          </cell>
          <cell r="I10">
            <v>20.41</v>
          </cell>
        </row>
        <row r="11">
          <cell r="F11" t="str">
            <v>B00OKE4RTM</v>
          </cell>
          <cell r="G11" t="str">
            <v>90.386</v>
          </cell>
          <cell r="H11">
            <v>2</v>
          </cell>
          <cell r="I11">
            <v>98.08</v>
          </cell>
        </row>
        <row r="12">
          <cell r="F12" t="str">
            <v>B00YH3FRV8</v>
          </cell>
          <cell r="G12" t="str">
            <v>40.998</v>
          </cell>
          <cell r="H12">
            <v>1</v>
          </cell>
          <cell r="I12">
            <v>7.43</v>
          </cell>
        </row>
        <row r="13">
          <cell r="F13" t="str">
            <v>B011LFM60E</v>
          </cell>
          <cell r="G13" t="str">
            <v>40.948T</v>
          </cell>
          <cell r="H13">
            <v>2</v>
          </cell>
          <cell r="I13">
            <v>12.96</v>
          </cell>
        </row>
        <row r="14">
          <cell r="F14" t="str">
            <v>B011LFVLW8</v>
          </cell>
          <cell r="G14" t="str">
            <v>90.620</v>
          </cell>
          <cell r="H14">
            <v>19</v>
          </cell>
          <cell r="I14">
            <v>686.19</v>
          </cell>
        </row>
        <row r="15">
          <cell r="F15" t="str">
            <v>B017IUJA50</v>
          </cell>
          <cell r="G15" t="str">
            <v>90.920G</v>
          </cell>
          <cell r="H15">
            <v>15</v>
          </cell>
          <cell r="I15">
            <v>209.45</v>
          </cell>
        </row>
        <row r="16">
          <cell r="F16" t="str">
            <v>B01CHW1L88</v>
          </cell>
          <cell r="G16" t="str">
            <v>PE.001</v>
          </cell>
          <cell r="H16">
            <v>1</v>
          </cell>
          <cell r="I16">
            <v>15.05</v>
          </cell>
        </row>
        <row r="17">
          <cell r="F17" t="str">
            <v>B01CNX6UIM</v>
          </cell>
          <cell r="G17" t="str">
            <v>PE.300</v>
          </cell>
          <cell r="H17">
            <v>0</v>
          </cell>
          <cell r="I17">
            <v>0</v>
          </cell>
        </row>
        <row r="18">
          <cell r="F18" t="str">
            <v>B01CNX71NA</v>
          </cell>
          <cell r="G18" t="str">
            <v>90.871</v>
          </cell>
          <cell r="H18">
            <v>1</v>
          </cell>
          <cell r="I18">
            <v>86.86</v>
          </cell>
        </row>
        <row r="19">
          <cell r="F19" t="str">
            <v>B01HM47LF8</v>
          </cell>
          <cell r="G19" t="str">
            <v>MD.004</v>
          </cell>
          <cell r="H19">
            <v>2</v>
          </cell>
          <cell r="I19">
            <v>7.25</v>
          </cell>
        </row>
        <row r="20">
          <cell r="F20" t="str">
            <v>B01I497WWM</v>
          </cell>
          <cell r="G20" t="str">
            <v>90.920R</v>
          </cell>
          <cell r="H20">
            <v>14</v>
          </cell>
          <cell r="I20">
            <v>260.2</v>
          </cell>
        </row>
        <row r="21">
          <cell r="F21" t="str">
            <v>B01IHGX2HQ</v>
          </cell>
          <cell r="G21" t="str">
            <v>MD.104</v>
          </cell>
          <cell r="H21">
            <v>14</v>
          </cell>
          <cell r="I21">
            <v>58.41</v>
          </cell>
        </row>
        <row r="22">
          <cell r="F22" t="str">
            <v>B01KMJ9OXW</v>
          </cell>
          <cell r="G22" t="str">
            <v>90.590Y</v>
          </cell>
          <cell r="H22">
            <v>1</v>
          </cell>
          <cell r="I22">
            <v>35.32</v>
          </cell>
        </row>
        <row r="23">
          <cell r="F23" t="str">
            <v>B01M4O6145</v>
          </cell>
          <cell r="G23" t="str">
            <v>90.071</v>
          </cell>
          <cell r="H23">
            <v>37</v>
          </cell>
          <cell r="I23">
            <v>755.17</v>
          </cell>
        </row>
        <row r="24">
          <cell r="F24" t="str">
            <v>B01MTSEGF9</v>
          </cell>
          <cell r="G24" t="str">
            <v>50.700</v>
          </cell>
          <cell r="H24">
            <v>0</v>
          </cell>
          <cell r="I24">
            <v>0</v>
          </cell>
        </row>
        <row r="25">
          <cell r="F25" t="str">
            <v>B06WGS8ZVG</v>
          </cell>
          <cell r="G25" t="str">
            <v>90.131</v>
          </cell>
          <cell r="H25">
            <v>2</v>
          </cell>
          <cell r="I25">
            <v>27.28</v>
          </cell>
        </row>
        <row r="26">
          <cell r="F26" t="str">
            <v>B06XPK3BTC</v>
          </cell>
          <cell r="G26" t="str">
            <v>40.450GO</v>
          </cell>
          <cell r="H26">
            <v>2</v>
          </cell>
          <cell r="I26">
            <v>31.65</v>
          </cell>
        </row>
        <row r="27">
          <cell r="F27" t="str">
            <v>B06XPYSCGJ</v>
          </cell>
          <cell r="G27" t="str">
            <v>40.939</v>
          </cell>
          <cell r="H27">
            <v>0</v>
          </cell>
          <cell r="I27">
            <v>0</v>
          </cell>
        </row>
        <row r="28">
          <cell r="F28" t="str">
            <v>B06XSJPGR9</v>
          </cell>
          <cell r="G28" t="str">
            <v>50.130</v>
          </cell>
          <cell r="H28">
            <v>0</v>
          </cell>
          <cell r="I28">
            <v>0</v>
          </cell>
        </row>
        <row r="29">
          <cell r="F29" t="str">
            <v>B06XYMCV3W</v>
          </cell>
          <cell r="G29" t="str">
            <v>90.485H</v>
          </cell>
          <cell r="H29">
            <v>0</v>
          </cell>
          <cell r="I29">
            <v>0</v>
          </cell>
        </row>
        <row r="30">
          <cell r="F30" t="str">
            <v>B06Y17FS6D</v>
          </cell>
          <cell r="G30" t="str">
            <v>90.550</v>
          </cell>
          <cell r="H30">
            <v>49</v>
          </cell>
          <cell r="I30">
            <v>1395.95</v>
          </cell>
        </row>
        <row r="31">
          <cell r="F31" t="str">
            <v>B06Y1997YH</v>
          </cell>
          <cell r="G31" t="str">
            <v>90.883</v>
          </cell>
          <cell r="H31">
            <v>11</v>
          </cell>
          <cell r="I31">
            <v>685.1</v>
          </cell>
        </row>
        <row r="32">
          <cell r="F32" t="str">
            <v>B073B67PLQ</v>
          </cell>
          <cell r="G32" t="str">
            <v>90.884</v>
          </cell>
          <cell r="H32">
            <v>14</v>
          </cell>
          <cell r="I32">
            <v>1136.27</v>
          </cell>
        </row>
        <row r="33">
          <cell r="F33" t="str">
            <v>B0757TJRR9</v>
          </cell>
          <cell r="G33" t="str">
            <v>40.500</v>
          </cell>
          <cell r="H33">
            <v>1</v>
          </cell>
          <cell r="I33">
            <v>26.97</v>
          </cell>
        </row>
        <row r="34">
          <cell r="F34" t="str">
            <v>B075K5C2QG</v>
          </cell>
          <cell r="G34" t="str">
            <v>RI.201</v>
          </cell>
          <cell r="H34">
            <v>2</v>
          </cell>
          <cell r="I34">
            <v>40.82</v>
          </cell>
        </row>
        <row r="35">
          <cell r="F35" t="str">
            <v>B075RF5S3N</v>
          </cell>
          <cell r="G35" t="str">
            <v>BC.160A</v>
          </cell>
          <cell r="H35">
            <v>5</v>
          </cell>
          <cell r="I35">
            <v>129.21</v>
          </cell>
        </row>
        <row r="36">
          <cell r="F36" t="str">
            <v>B075RF8FM9</v>
          </cell>
          <cell r="G36" t="str">
            <v>BC.160G</v>
          </cell>
          <cell r="H36">
            <v>0</v>
          </cell>
          <cell r="I36">
            <v>0</v>
          </cell>
        </row>
        <row r="37">
          <cell r="F37" t="str">
            <v>B076DC4VWG</v>
          </cell>
          <cell r="G37" t="str">
            <v>40.501</v>
          </cell>
          <cell r="H37">
            <v>0</v>
          </cell>
          <cell r="I37">
            <v>0</v>
          </cell>
        </row>
        <row r="38">
          <cell r="F38" t="str">
            <v>B076DCKSTJ</v>
          </cell>
          <cell r="G38" t="str">
            <v>BT.602H</v>
          </cell>
          <cell r="H38">
            <v>3</v>
          </cell>
          <cell r="I38">
            <v>62.39</v>
          </cell>
        </row>
        <row r="39">
          <cell r="F39" t="str">
            <v>B076DCL19C</v>
          </cell>
          <cell r="G39" t="str">
            <v>BP.720</v>
          </cell>
          <cell r="H39">
            <v>17</v>
          </cell>
          <cell r="I39">
            <v>814.3</v>
          </cell>
        </row>
        <row r="40">
          <cell r="F40" t="str">
            <v>B076DD26WW</v>
          </cell>
          <cell r="G40" t="str">
            <v>CA.010</v>
          </cell>
          <cell r="H40">
            <v>-1</v>
          </cell>
          <cell r="I40">
            <v>-5.12</v>
          </cell>
        </row>
        <row r="41">
          <cell r="F41" t="str">
            <v>B076Q7BR6F</v>
          </cell>
          <cell r="G41" t="str">
            <v>BC.041N</v>
          </cell>
          <cell r="H41">
            <v>34</v>
          </cell>
          <cell r="I41">
            <v>1525.2</v>
          </cell>
        </row>
        <row r="42">
          <cell r="F42" t="str">
            <v>B076QCMZX1</v>
          </cell>
          <cell r="G42" t="str">
            <v>40.821</v>
          </cell>
          <cell r="H42">
            <v>162</v>
          </cell>
          <cell r="I42">
            <v>1977.32</v>
          </cell>
        </row>
        <row r="43">
          <cell r="F43" t="str">
            <v>B076QFRRZ5</v>
          </cell>
          <cell r="G43" t="str">
            <v>40.931</v>
          </cell>
          <cell r="H43">
            <v>40</v>
          </cell>
          <cell r="I43">
            <v>573.30999999999995</v>
          </cell>
        </row>
        <row r="44">
          <cell r="F44" t="str">
            <v>B079SB5VJZ</v>
          </cell>
          <cell r="G44" t="str">
            <v>50451</v>
          </cell>
          <cell r="H44">
            <v>2</v>
          </cell>
          <cell r="I44">
            <v>91.63</v>
          </cell>
        </row>
        <row r="45">
          <cell r="F45" t="str">
            <v>B07B9CPH62</v>
          </cell>
          <cell r="G45" t="str">
            <v>BG.200Y</v>
          </cell>
          <cell r="H45">
            <v>6</v>
          </cell>
          <cell r="I45">
            <v>294.60000000000002</v>
          </cell>
        </row>
        <row r="46">
          <cell r="F46" t="str">
            <v>B07BB2DQ4V</v>
          </cell>
          <cell r="G46" t="str">
            <v>BT.150Y</v>
          </cell>
          <cell r="H46">
            <v>1</v>
          </cell>
          <cell r="I46">
            <v>33.14</v>
          </cell>
        </row>
        <row r="47">
          <cell r="F47" t="str">
            <v>B07BHCZR84</v>
          </cell>
          <cell r="G47" t="str">
            <v>BA.200Y</v>
          </cell>
          <cell r="H47">
            <v>22</v>
          </cell>
          <cell r="I47">
            <v>266.22000000000003</v>
          </cell>
        </row>
        <row r="48">
          <cell r="F48" t="str">
            <v>B07F187NFQ</v>
          </cell>
          <cell r="G48" t="str">
            <v>50.900</v>
          </cell>
          <cell r="H48">
            <v>1</v>
          </cell>
          <cell r="I48">
            <v>3.77</v>
          </cell>
        </row>
        <row r="49">
          <cell r="F49" t="str">
            <v>B07HM7P6MP</v>
          </cell>
          <cell r="G49" t="str">
            <v>RI.080</v>
          </cell>
          <cell r="H49">
            <v>10</v>
          </cell>
          <cell r="I49">
            <v>253.92</v>
          </cell>
        </row>
        <row r="50">
          <cell r="F50" t="str">
            <v>B07JGVMFY1</v>
          </cell>
          <cell r="G50" t="str">
            <v>BP.581</v>
          </cell>
          <cell r="H50">
            <v>2</v>
          </cell>
          <cell r="I50">
            <v>34.380000000000003</v>
          </cell>
        </row>
        <row r="51">
          <cell r="F51" t="str">
            <v>B07KYWNC7Z</v>
          </cell>
          <cell r="G51" t="str">
            <v>40.405</v>
          </cell>
          <cell r="H51">
            <v>25</v>
          </cell>
          <cell r="I51">
            <v>540.71</v>
          </cell>
        </row>
        <row r="52">
          <cell r="F52" t="str">
            <v>B07N4C3H3V</v>
          </cell>
          <cell r="G52" t="str">
            <v>40.405</v>
          </cell>
          <cell r="H52">
            <v>2</v>
          </cell>
          <cell r="I52">
            <v>22.14</v>
          </cell>
        </row>
        <row r="53">
          <cell r="F53" t="str">
            <v>B07NNZSW1W</v>
          </cell>
          <cell r="G53" t="str">
            <v>BT.110</v>
          </cell>
          <cell r="H53">
            <v>1</v>
          </cell>
          <cell r="I53">
            <v>19.72</v>
          </cell>
        </row>
        <row r="54">
          <cell r="F54" t="str">
            <v>B07NQ1T7YK</v>
          </cell>
          <cell r="G54" t="str">
            <v>BP.101H</v>
          </cell>
          <cell r="H54">
            <v>13</v>
          </cell>
          <cell r="I54">
            <v>182.92</v>
          </cell>
        </row>
        <row r="55">
          <cell r="F55" t="str">
            <v>B07NQC6S9V</v>
          </cell>
          <cell r="G55" t="str">
            <v>BT.651Y</v>
          </cell>
          <cell r="H55">
            <v>1</v>
          </cell>
          <cell r="I55">
            <v>36.799999999999997</v>
          </cell>
        </row>
        <row r="56">
          <cell r="F56" t="str">
            <v>B07P7L18T9</v>
          </cell>
          <cell r="G56" t="str">
            <v>40.102</v>
          </cell>
          <cell r="H56">
            <v>1</v>
          </cell>
          <cell r="I56">
            <v>13.81</v>
          </cell>
        </row>
        <row r="57">
          <cell r="F57" t="str">
            <v>B07Q38Z7CK</v>
          </cell>
          <cell r="G57" t="str">
            <v>BC.060</v>
          </cell>
          <cell r="H57">
            <v>168</v>
          </cell>
          <cell r="I57">
            <v>3399.3</v>
          </cell>
        </row>
        <row r="58">
          <cell r="F58" t="str">
            <v>B07QX1RJRH</v>
          </cell>
          <cell r="G58" t="str">
            <v>40.742</v>
          </cell>
          <cell r="H58">
            <v>2</v>
          </cell>
          <cell r="I58">
            <v>48.17</v>
          </cell>
        </row>
        <row r="59">
          <cell r="F59" t="str">
            <v>B07RRBP1YR</v>
          </cell>
          <cell r="G59" t="str">
            <v>VE.502</v>
          </cell>
          <cell r="H59">
            <v>0</v>
          </cell>
          <cell r="I59">
            <v>0</v>
          </cell>
        </row>
        <row r="60">
          <cell r="F60" t="str">
            <v>B07SSLRCT6</v>
          </cell>
          <cell r="G60" t="str">
            <v>BP.304</v>
          </cell>
          <cell r="H60">
            <v>99</v>
          </cell>
          <cell r="I60">
            <v>1371.15</v>
          </cell>
        </row>
        <row r="61">
          <cell r="F61" t="str">
            <v>B07TQVD94L</v>
          </cell>
          <cell r="G61" t="str">
            <v>BP.690</v>
          </cell>
          <cell r="H61">
            <v>6</v>
          </cell>
          <cell r="I61">
            <v>147.06</v>
          </cell>
        </row>
        <row r="62">
          <cell r="F62" t="str">
            <v>B07TSNB5WG</v>
          </cell>
          <cell r="G62" t="str">
            <v>BP.102</v>
          </cell>
          <cell r="H62">
            <v>0</v>
          </cell>
          <cell r="I62">
            <v>0</v>
          </cell>
        </row>
        <row r="63">
          <cell r="F63" t="str">
            <v>B07TSNCJ5J</v>
          </cell>
          <cell r="G63" t="str">
            <v>BP.800</v>
          </cell>
          <cell r="H63">
            <v>16</v>
          </cell>
          <cell r="I63">
            <v>167.52</v>
          </cell>
        </row>
        <row r="64">
          <cell r="F64" t="str">
            <v>B07V131F5W</v>
          </cell>
          <cell r="G64" t="str">
            <v>40.490</v>
          </cell>
          <cell r="H64">
            <v>105</v>
          </cell>
          <cell r="I64">
            <v>2591.61</v>
          </cell>
        </row>
        <row r="65">
          <cell r="F65" t="str">
            <v>B07W7S9KYM</v>
          </cell>
          <cell r="G65" t="str">
            <v>BB.200</v>
          </cell>
          <cell r="H65">
            <v>25</v>
          </cell>
          <cell r="I65">
            <v>993.72</v>
          </cell>
        </row>
        <row r="66">
          <cell r="F66" t="str">
            <v>B07Y3XHMMV</v>
          </cell>
          <cell r="G66" t="str">
            <v>BP.604</v>
          </cell>
          <cell r="H66">
            <v>4</v>
          </cell>
          <cell r="I66">
            <v>80.010000000000005</v>
          </cell>
        </row>
        <row r="67">
          <cell r="F67" t="str">
            <v>B07YBM3P68</v>
          </cell>
          <cell r="G67" t="str">
            <v>RI.096</v>
          </cell>
          <cell r="H67">
            <v>0</v>
          </cell>
          <cell r="I67">
            <v>0</v>
          </cell>
        </row>
        <row r="68">
          <cell r="F68" t="str">
            <v>B07YBNPZPJ</v>
          </cell>
          <cell r="G68" t="str">
            <v>BP.552</v>
          </cell>
          <cell r="H68">
            <v>3</v>
          </cell>
          <cell r="I68">
            <v>92.19</v>
          </cell>
        </row>
        <row r="69">
          <cell r="F69" t="str">
            <v>B07YZZZVXP</v>
          </cell>
          <cell r="G69" t="str">
            <v>MD.404</v>
          </cell>
          <cell r="H69">
            <v>-4</v>
          </cell>
          <cell r="I69">
            <v>-230.16</v>
          </cell>
        </row>
        <row r="70">
          <cell r="F70" t="str">
            <v>B07ZJMFB3R</v>
          </cell>
          <cell r="G70" t="str">
            <v>BC.510</v>
          </cell>
          <cell r="H70">
            <v>12</v>
          </cell>
          <cell r="I70">
            <v>709.12</v>
          </cell>
        </row>
        <row r="71">
          <cell r="F71" t="str">
            <v>B07ZJQTGG8</v>
          </cell>
          <cell r="G71" t="str">
            <v>50.245</v>
          </cell>
          <cell r="H71">
            <v>107</v>
          </cell>
          <cell r="I71">
            <v>1345.75</v>
          </cell>
        </row>
        <row r="72">
          <cell r="F72" t="str">
            <v>B081QRX1K7</v>
          </cell>
          <cell r="G72" t="str">
            <v>40.473</v>
          </cell>
          <cell r="H72">
            <v>3</v>
          </cell>
          <cell r="I72">
            <v>66.150000000000006</v>
          </cell>
        </row>
        <row r="73">
          <cell r="F73" t="str">
            <v>B08485QRVZ</v>
          </cell>
          <cell r="G73" t="str">
            <v>BC.261</v>
          </cell>
          <cell r="H73">
            <v>1</v>
          </cell>
          <cell r="I73">
            <v>24.88</v>
          </cell>
        </row>
        <row r="74">
          <cell r="F74" t="str">
            <v>B084C3JTC2</v>
          </cell>
          <cell r="G74" t="str">
            <v>40.406</v>
          </cell>
          <cell r="H74">
            <v>28</v>
          </cell>
          <cell r="I74">
            <v>676.38</v>
          </cell>
        </row>
        <row r="75">
          <cell r="F75" t="str">
            <v>B084PN7WPZ</v>
          </cell>
          <cell r="G75" t="str">
            <v>XUADA001</v>
          </cell>
          <cell r="H75">
            <v>5</v>
          </cell>
          <cell r="I75">
            <v>24.55</v>
          </cell>
        </row>
        <row r="76">
          <cell r="F76" t="str">
            <v>B084TG23R3</v>
          </cell>
          <cell r="G76" t="str">
            <v>C102BOT001</v>
          </cell>
          <cell r="H76">
            <v>1</v>
          </cell>
          <cell r="I76">
            <v>7.62</v>
          </cell>
        </row>
        <row r="77">
          <cell r="F77" t="str">
            <v>B084TG4594</v>
          </cell>
          <cell r="G77" t="str">
            <v>C102BOT003</v>
          </cell>
          <cell r="H77">
            <v>45</v>
          </cell>
          <cell r="I77">
            <v>281</v>
          </cell>
        </row>
        <row r="78">
          <cell r="F78" t="str">
            <v>B084TGLFLM</v>
          </cell>
          <cell r="G78" t="str">
            <v>C102BOT002</v>
          </cell>
          <cell r="H78">
            <v>29</v>
          </cell>
          <cell r="I78">
            <v>189.95</v>
          </cell>
        </row>
        <row r="79">
          <cell r="F79" t="str">
            <v>B084TGLSDV</v>
          </cell>
          <cell r="G79" t="str">
            <v>C102BOT004</v>
          </cell>
          <cell r="H79">
            <v>57</v>
          </cell>
          <cell r="I79">
            <v>357.47</v>
          </cell>
        </row>
        <row r="80">
          <cell r="F80" t="str">
            <v>B085JHSTQS</v>
          </cell>
          <cell r="G80" t="str">
            <v>P206VEN410</v>
          </cell>
          <cell r="H80">
            <v>0</v>
          </cell>
          <cell r="I80">
            <v>0</v>
          </cell>
        </row>
        <row r="81">
          <cell r="F81" t="str">
            <v>B085JHSWJH</v>
          </cell>
          <cell r="G81" t="str">
            <v>BP.802</v>
          </cell>
          <cell r="H81">
            <v>51</v>
          </cell>
          <cell r="I81">
            <v>665.8</v>
          </cell>
        </row>
        <row r="82">
          <cell r="F82" t="str">
            <v>B085JHSWJW</v>
          </cell>
          <cell r="G82" t="str">
            <v>RCOBP630</v>
          </cell>
          <cell r="H82">
            <v>1</v>
          </cell>
          <cell r="I82">
            <v>5.98</v>
          </cell>
        </row>
        <row r="83">
          <cell r="F83" t="str">
            <v>B085JHTR6Q</v>
          </cell>
          <cell r="G83" t="str">
            <v>BP.790</v>
          </cell>
          <cell r="H83">
            <v>25</v>
          </cell>
          <cell r="I83">
            <v>612.75</v>
          </cell>
        </row>
        <row r="84">
          <cell r="F84" t="str">
            <v>B085JHZT67</v>
          </cell>
          <cell r="G84" t="str">
            <v>P206VEN420</v>
          </cell>
          <cell r="H84">
            <v>5</v>
          </cell>
          <cell r="I84">
            <v>81.55</v>
          </cell>
        </row>
        <row r="85">
          <cell r="F85" t="str">
            <v>B085JJ81R7</v>
          </cell>
          <cell r="G85" t="str">
            <v>RCO9003028</v>
          </cell>
          <cell r="H85">
            <v>43</v>
          </cell>
          <cell r="I85">
            <v>278.64</v>
          </cell>
        </row>
        <row r="86">
          <cell r="F86" t="str">
            <v>B085JJ8RC6</v>
          </cell>
          <cell r="G86" t="str">
            <v>BB.050</v>
          </cell>
          <cell r="H86">
            <v>16</v>
          </cell>
          <cell r="I86">
            <v>206.03</v>
          </cell>
        </row>
        <row r="87">
          <cell r="F87" t="str">
            <v>B085JJ9J4N</v>
          </cell>
          <cell r="G87" t="str">
            <v>P206RAF200</v>
          </cell>
          <cell r="H87">
            <v>10</v>
          </cell>
          <cell r="I87">
            <v>204.1</v>
          </cell>
        </row>
        <row r="88">
          <cell r="F88" t="str">
            <v>B085JJFLGY</v>
          </cell>
          <cell r="G88" t="str">
            <v>RCO9003022</v>
          </cell>
          <cell r="H88">
            <v>54</v>
          </cell>
          <cell r="I88">
            <v>261.66000000000003</v>
          </cell>
        </row>
        <row r="89">
          <cell r="F89" t="str">
            <v>B085JJMBM7</v>
          </cell>
          <cell r="G89" t="str">
            <v>P206VEN400</v>
          </cell>
          <cell r="H89">
            <v>2</v>
          </cell>
          <cell r="I89">
            <v>28.91</v>
          </cell>
        </row>
        <row r="90">
          <cell r="F90" t="str">
            <v>B085R2GCKX</v>
          </cell>
          <cell r="G90" t="str">
            <v>40.332</v>
          </cell>
          <cell r="H90">
            <v>43</v>
          </cell>
          <cell r="I90">
            <v>712.92</v>
          </cell>
        </row>
        <row r="91">
          <cell r="F91" t="str">
            <v>B088V4DR59</v>
          </cell>
          <cell r="G91" t="str">
            <v>P206ZAN040</v>
          </cell>
          <cell r="H91">
            <v>12</v>
          </cell>
          <cell r="I91">
            <v>631.29999999999995</v>
          </cell>
        </row>
        <row r="92">
          <cell r="F92" t="str">
            <v>B088XJQ37J</v>
          </cell>
          <cell r="G92" t="str">
            <v>C301ABE001</v>
          </cell>
          <cell r="H92">
            <v>33</v>
          </cell>
          <cell r="I92">
            <v>402.93</v>
          </cell>
        </row>
        <row r="93">
          <cell r="F93" t="str">
            <v>B08B66J4C3</v>
          </cell>
          <cell r="G93" t="str">
            <v>P101PIA001</v>
          </cell>
          <cell r="H93">
            <v>0</v>
          </cell>
          <cell r="I93">
            <v>0</v>
          </cell>
        </row>
        <row r="94">
          <cell r="F94" t="str">
            <v>B08B8M2B7B</v>
          </cell>
          <cell r="G94" t="str">
            <v>P102EST001</v>
          </cell>
          <cell r="H94">
            <v>8</v>
          </cell>
          <cell r="I94">
            <v>261.60000000000002</v>
          </cell>
        </row>
        <row r="95">
          <cell r="F95" t="str">
            <v>B08C7YJB5N</v>
          </cell>
          <cell r="G95" t="str">
            <v>P201UTP001</v>
          </cell>
          <cell r="H95">
            <v>33</v>
          </cell>
          <cell r="I95">
            <v>432.96</v>
          </cell>
        </row>
        <row r="96">
          <cell r="F96" t="str">
            <v>B08DHZDXVV</v>
          </cell>
          <cell r="G96" t="str">
            <v>P102SBA100</v>
          </cell>
          <cell r="H96">
            <v>4</v>
          </cell>
          <cell r="I96">
            <v>88.2</v>
          </cell>
        </row>
        <row r="97">
          <cell r="F97" t="str">
            <v>B08DJ3K9J8</v>
          </cell>
          <cell r="G97" t="str">
            <v>p102rob100</v>
          </cell>
          <cell r="H97">
            <v>1</v>
          </cell>
          <cell r="I97">
            <v>9.75</v>
          </cell>
        </row>
        <row r="98">
          <cell r="F98" t="str">
            <v>B08FDYW72J</v>
          </cell>
          <cell r="G98" t="str">
            <v>P101CUD100</v>
          </cell>
          <cell r="H98">
            <v>6</v>
          </cell>
          <cell r="I98">
            <v>147.06</v>
          </cell>
        </row>
        <row r="99">
          <cell r="F99" t="str">
            <v>B08FF245TD</v>
          </cell>
          <cell r="G99" t="str">
            <v>P101CUD500</v>
          </cell>
          <cell r="H99">
            <v>2</v>
          </cell>
          <cell r="I99">
            <v>54.55</v>
          </cell>
        </row>
        <row r="100">
          <cell r="F100" t="str">
            <v>B08FMLPKY9</v>
          </cell>
          <cell r="G100" t="str">
            <v>P201UTP004</v>
          </cell>
          <cell r="H100">
            <v>9</v>
          </cell>
          <cell r="I100">
            <v>182.97</v>
          </cell>
        </row>
        <row r="101">
          <cell r="F101" t="str">
            <v>B08GS7XW73</v>
          </cell>
          <cell r="G101" t="str">
            <v>P204FER250</v>
          </cell>
          <cell r="H101">
            <v>30</v>
          </cell>
          <cell r="I101">
            <v>488.1</v>
          </cell>
        </row>
        <row r="102">
          <cell r="F102" t="str">
            <v>B08GSK6C18</v>
          </cell>
          <cell r="G102" t="str">
            <v>P204FER200</v>
          </cell>
          <cell r="H102">
            <v>7</v>
          </cell>
          <cell r="I102">
            <v>121.73</v>
          </cell>
        </row>
        <row r="103">
          <cell r="F103" t="str">
            <v>B08GY7286R</v>
          </cell>
          <cell r="G103" t="str">
            <v>P203TFO001</v>
          </cell>
          <cell r="H103">
            <v>191</v>
          </cell>
          <cell r="I103">
            <v>2651.93</v>
          </cell>
        </row>
        <row r="104">
          <cell r="F104" t="str">
            <v>B08HCT78N3</v>
          </cell>
          <cell r="G104" t="str">
            <v>P202ASP400</v>
          </cell>
          <cell r="H104">
            <v>17</v>
          </cell>
          <cell r="I104">
            <v>179.69</v>
          </cell>
        </row>
        <row r="105">
          <cell r="F105" t="str">
            <v>B08HN4DPJV</v>
          </cell>
          <cell r="G105" t="str">
            <v>P201UTP003</v>
          </cell>
          <cell r="H105">
            <v>1</v>
          </cell>
          <cell r="I105">
            <v>12.48</v>
          </cell>
        </row>
        <row r="106">
          <cell r="F106" t="str">
            <v>B08JYDDFZ2</v>
          </cell>
          <cell r="G106" t="str">
            <v>C206UTI002</v>
          </cell>
          <cell r="H106">
            <v>2</v>
          </cell>
          <cell r="I106">
            <v>21.14</v>
          </cell>
        </row>
        <row r="107">
          <cell r="F107" t="str">
            <v>B08JYWF3PK</v>
          </cell>
          <cell r="G107" t="str">
            <v>C102COC101</v>
          </cell>
          <cell r="H107">
            <v>63</v>
          </cell>
          <cell r="I107">
            <v>567.63</v>
          </cell>
        </row>
        <row r="108">
          <cell r="F108" t="str">
            <v>B08KYZ2FLN</v>
          </cell>
          <cell r="G108" t="str">
            <v>P101FRI001</v>
          </cell>
          <cell r="H108">
            <v>4</v>
          </cell>
          <cell r="I108">
            <v>158.49</v>
          </cell>
        </row>
        <row r="109">
          <cell r="F109" t="str">
            <v>B08L9D9KR9</v>
          </cell>
          <cell r="G109" t="str">
            <v>P202VAL001</v>
          </cell>
          <cell r="H109">
            <v>19</v>
          </cell>
          <cell r="I109">
            <v>1088.7</v>
          </cell>
        </row>
        <row r="110">
          <cell r="F110" t="str">
            <v>B08LDDKBYG</v>
          </cell>
          <cell r="G110" t="str">
            <v>P202VAL002</v>
          </cell>
          <cell r="H110">
            <v>2</v>
          </cell>
          <cell r="I110">
            <v>9.82</v>
          </cell>
        </row>
        <row r="111">
          <cell r="F111" t="str">
            <v>B08LVS1MMY</v>
          </cell>
          <cell r="G111" t="str">
            <v>P202VAL100</v>
          </cell>
          <cell r="H111">
            <v>4</v>
          </cell>
          <cell r="I111">
            <v>65.239999999999995</v>
          </cell>
        </row>
        <row r="112">
          <cell r="F112" t="str">
            <v>B08MM2VK11</v>
          </cell>
          <cell r="G112" t="str">
            <v>P302MAS001</v>
          </cell>
          <cell r="H112">
            <v>0</v>
          </cell>
          <cell r="I112">
            <v>0</v>
          </cell>
        </row>
        <row r="113">
          <cell r="F113" t="str">
            <v>B08MX1SQKC</v>
          </cell>
          <cell r="G113" t="str">
            <v>P302VIS001</v>
          </cell>
          <cell r="H113">
            <v>4</v>
          </cell>
          <cell r="I113">
            <v>52.22</v>
          </cell>
        </row>
        <row r="114">
          <cell r="F114" t="str">
            <v>B08NF8TQKT</v>
          </cell>
          <cell r="G114" t="str">
            <v>P102FRU100</v>
          </cell>
          <cell r="H114">
            <v>9</v>
          </cell>
          <cell r="I114">
            <v>203.19</v>
          </cell>
        </row>
        <row r="115">
          <cell r="F115" t="str">
            <v>B08NTD853X</v>
          </cell>
          <cell r="G115" t="str">
            <v>P102SBA006</v>
          </cell>
          <cell r="H115">
            <v>0</v>
          </cell>
          <cell r="I115">
            <v>0</v>
          </cell>
        </row>
        <row r="116">
          <cell r="F116" t="str">
            <v>B08V4VTTQN</v>
          </cell>
          <cell r="G116" t="str">
            <v>C107UTT001</v>
          </cell>
          <cell r="H116">
            <v>9</v>
          </cell>
          <cell r="I116">
            <v>45.88</v>
          </cell>
        </row>
        <row r="117">
          <cell r="F117" t="str">
            <v>B08X4VZV3S</v>
          </cell>
          <cell r="G117" t="str">
            <v>P303BIP001</v>
          </cell>
          <cell r="H117">
            <v>0</v>
          </cell>
          <cell r="I117">
            <v>0</v>
          </cell>
        </row>
        <row r="118">
          <cell r="F118" t="str">
            <v>B08XVV3PVK</v>
          </cell>
          <cell r="G118" t="str">
            <v>P303MED001</v>
          </cell>
          <cell r="H118">
            <v>2</v>
          </cell>
          <cell r="I118">
            <v>30.66</v>
          </cell>
        </row>
        <row r="119">
          <cell r="F119" t="str">
            <v>B08XWBGJHR</v>
          </cell>
          <cell r="G119" t="str">
            <v>P101PIA002</v>
          </cell>
          <cell r="H119">
            <v>0</v>
          </cell>
          <cell r="I119">
            <v>0</v>
          </cell>
        </row>
        <row r="120">
          <cell r="F120" t="str">
            <v>B08ZJHV47V</v>
          </cell>
          <cell r="G120" t="str">
            <v>P206VEN150</v>
          </cell>
          <cell r="H120">
            <v>0</v>
          </cell>
          <cell r="I120">
            <v>0</v>
          </cell>
        </row>
        <row r="121">
          <cell r="F121" t="str">
            <v>B09146GTKW</v>
          </cell>
          <cell r="G121" t="str">
            <v>P302VIS002</v>
          </cell>
          <cell r="H121">
            <v>544</v>
          </cell>
          <cell r="I121">
            <v>5723.45</v>
          </cell>
        </row>
        <row r="122">
          <cell r="F122" t="str">
            <v>B091LRR67V</v>
          </cell>
          <cell r="G122" t="str">
            <v>P101FRI050</v>
          </cell>
          <cell r="H122">
            <v>7</v>
          </cell>
          <cell r="I122">
            <v>415.55</v>
          </cell>
        </row>
        <row r="123">
          <cell r="F123" t="str">
            <v>B091VSY78C</v>
          </cell>
          <cell r="G123" t="str">
            <v>P303BIP050</v>
          </cell>
          <cell r="H123">
            <v>1</v>
          </cell>
          <cell r="I123">
            <v>18.18</v>
          </cell>
        </row>
        <row r="124">
          <cell r="F124" t="str">
            <v>B09251R9RJ</v>
          </cell>
          <cell r="G124" t="str">
            <v>P304CAP001</v>
          </cell>
          <cell r="H124">
            <v>2</v>
          </cell>
          <cell r="I124">
            <v>32.01</v>
          </cell>
        </row>
        <row r="125">
          <cell r="F125" t="str">
            <v>B09294Z7XG</v>
          </cell>
          <cell r="G125" t="str">
            <v>P206ZAN300</v>
          </cell>
          <cell r="H125">
            <v>6</v>
          </cell>
          <cell r="I125">
            <v>58.74</v>
          </cell>
        </row>
        <row r="126">
          <cell r="F126" t="str">
            <v>B0929CVW7Q</v>
          </cell>
          <cell r="G126" t="str">
            <v>P206ZAN110</v>
          </cell>
          <cell r="H126">
            <v>4</v>
          </cell>
          <cell r="I126">
            <v>81.040000000000006</v>
          </cell>
        </row>
        <row r="127">
          <cell r="F127" t="str">
            <v>B092J2RHL8</v>
          </cell>
          <cell r="G127" t="str">
            <v>P206ZAN200</v>
          </cell>
          <cell r="H127">
            <v>0</v>
          </cell>
          <cell r="I127">
            <v>0</v>
          </cell>
        </row>
        <row r="128">
          <cell r="F128" t="str">
            <v>B092QXCQ8K</v>
          </cell>
          <cell r="G128" t="str">
            <v>P205DIF001</v>
          </cell>
          <cell r="H128">
            <v>6</v>
          </cell>
          <cell r="I128">
            <v>109.67</v>
          </cell>
        </row>
        <row r="129">
          <cell r="F129" t="str">
            <v>B09495C38F</v>
          </cell>
          <cell r="G129" t="str">
            <v>P204FER002</v>
          </cell>
          <cell r="H129">
            <v>2</v>
          </cell>
          <cell r="I129">
            <v>32.619999999999997</v>
          </cell>
        </row>
        <row r="130">
          <cell r="F130" t="str">
            <v>B0953R2W31</v>
          </cell>
          <cell r="G130" t="str">
            <v>P102ACP001</v>
          </cell>
          <cell r="H130">
            <v>5</v>
          </cell>
          <cell r="I130">
            <v>93.23</v>
          </cell>
        </row>
        <row r="131">
          <cell r="F131" t="str">
            <v>B095PQJGKX</v>
          </cell>
          <cell r="G131" t="str">
            <v>C107UTT002</v>
          </cell>
          <cell r="H131">
            <v>81</v>
          </cell>
          <cell r="I131">
            <v>906.26</v>
          </cell>
        </row>
        <row r="132">
          <cell r="F132" t="str">
            <v>B095WCSSLC</v>
          </cell>
          <cell r="G132" t="str">
            <v>C301ABE101</v>
          </cell>
          <cell r="H132">
            <v>11</v>
          </cell>
          <cell r="I132">
            <v>84.03</v>
          </cell>
        </row>
        <row r="133">
          <cell r="F133" t="str">
            <v>B095X9KDJR</v>
          </cell>
          <cell r="G133" t="str">
            <v>P101BOL100</v>
          </cell>
          <cell r="H133">
            <v>1</v>
          </cell>
          <cell r="I133">
            <v>9.51</v>
          </cell>
        </row>
        <row r="134">
          <cell r="F134" t="str">
            <v>B096MX229M</v>
          </cell>
          <cell r="G134" t="str">
            <v>P102ROB050</v>
          </cell>
          <cell r="H134">
            <v>84</v>
          </cell>
          <cell r="I134">
            <v>1179.03</v>
          </cell>
        </row>
        <row r="135">
          <cell r="F135" t="str">
            <v>B096SVXQDX</v>
          </cell>
          <cell r="G135" t="str">
            <v>P201UTP011</v>
          </cell>
          <cell r="H135">
            <v>12</v>
          </cell>
          <cell r="I135">
            <v>132.43</v>
          </cell>
        </row>
        <row r="136">
          <cell r="F136" t="str">
            <v>B0978ZKW4S</v>
          </cell>
          <cell r="G136" t="str">
            <v>P205DIF100</v>
          </cell>
          <cell r="H136">
            <v>13</v>
          </cell>
          <cell r="I136">
            <v>158.72999999999999</v>
          </cell>
        </row>
        <row r="137">
          <cell r="F137" t="str">
            <v>B097F45J2B</v>
          </cell>
          <cell r="G137" t="str">
            <v>P102FRU500</v>
          </cell>
          <cell r="H137">
            <v>2</v>
          </cell>
          <cell r="I137">
            <v>65.400000000000006</v>
          </cell>
        </row>
        <row r="138">
          <cell r="F138" t="str">
            <v>B097HRQNRG</v>
          </cell>
          <cell r="G138" t="str">
            <v>P101FRI100</v>
          </cell>
          <cell r="H138">
            <v>1</v>
          </cell>
          <cell r="I138">
            <v>28.61</v>
          </cell>
        </row>
        <row r="139">
          <cell r="F139" t="str">
            <v>B097YTGFH7</v>
          </cell>
          <cell r="G139" t="str">
            <v>P102ROB200</v>
          </cell>
          <cell r="H139">
            <v>7</v>
          </cell>
          <cell r="I139">
            <v>433.99</v>
          </cell>
        </row>
        <row r="140">
          <cell r="F140" t="str">
            <v>B098F33WBD</v>
          </cell>
          <cell r="G140" t="str">
            <v>RCO4091819</v>
          </cell>
          <cell r="H140">
            <v>1</v>
          </cell>
          <cell r="I140">
            <v>2.93</v>
          </cell>
        </row>
        <row r="141">
          <cell r="F141" t="str">
            <v>B09968BKDS</v>
          </cell>
          <cell r="G141" t="str">
            <v>P102FRU003</v>
          </cell>
          <cell r="H141">
            <v>13</v>
          </cell>
          <cell r="I141">
            <v>187.88</v>
          </cell>
        </row>
        <row r="142">
          <cell r="F142" t="str">
            <v>B09B2NT2SV</v>
          </cell>
          <cell r="G142" t="str">
            <v>P102FRU150</v>
          </cell>
          <cell r="H142">
            <v>0</v>
          </cell>
          <cell r="I142">
            <v>0</v>
          </cell>
        </row>
        <row r="143">
          <cell r="F143" t="str">
            <v>B09B47S644</v>
          </cell>
          <cell r="G143" t="str">
            <v>P101CUD501</v>
          </cell>
          <cell r="H143">
            <v>4</v>
          </cell>
          <cell r="I143">
            <v>112.32</v>
          </cell>
        </row>
        <row r="144">
          <cell r="F144" t="str">
            <v>B09BD8BG34</v>
          </cell>
          <cell r="G144" t="str">
            <v>P301PIS001</v>
          </cell>
          <cell r="H144">
            <v>5</v>
          </cell>
          <cell r="I144">
            <v>79.12</v>
          </cell>
        </row>
        <row r="145">
          <cell r="F145" t="str">
            <v>B09BG1GGSM</v>
          </cell>
          <cell r="G145" t="str">
            <v>P204FER003</v>
          </cell>
          <cell r="H145">
            <v>0</v>
          </cell>
          <cell r="I145">
            <v>0</v>
          </cell>
        </row>
        <row r="146">
          <cell r="F146" t="str">
            <v>B09D8G2H7Q</v>
          </cell>
          <cell r="G146" t="str">
            <v>P102SBA500</v>
          </cell>
          <cell r="H146">
            <v>8</v>
          </cell>
          <cell r="I146">
            <v>842.72</v>
          </cell>
        </row>
        <row r="147">
          <cell r="F147" t="str">
            <v>B09HMK8JDN</v>
          </cell>
          <cell r="G147" t="str">
            <v>P203TER001</v>
          </cell>
          <cell r="H147">
            <v>4</v>
          </cell>
          <cell r="I147">
            <v>314.75</v>
          </cell>
        </row>
        <row r="148">
          <cell r="F148" t="str">
            <v>B09HQN1LQ2</v>
          </cell>
          <cell r="G148" t="str">
            <v>P203TER100</v>
          </cell>
          <cell r="H148">
            <v>1</v>
          </cell>
          <cell r="I148">
            <v>58.2</v>
          </cell>
        </row>
        <row r="149">
          <cell r="F149" t="str">
            <v>B09KYD9JGY</v>
          </cell>
          <cell r="G149" t="str">
            <v>P301PIS100</v>
          </cell>
          <cell r="H149">
            <v>21</v>
          </cell>
          <cell r="I149">
            <v>549.39</v>
          </cell>
        </row>
        <row r="150">
          <cell r="F150" t="str">
            <v>B09L4SLDSZ</v>
          </cell>
          <cell r="G150" t="str">
            <v>P203TFO100</v>
          </cell>
          <cell r="H150">
            <v>20</v>
          </cell>
          <cell r="I150">
            <v>490.2</v>
          </cell>
        </row>
        <row r="151">
          <cell r="F151" t="str">
            <v>B09LHXJXQL</v>
          </cell>
          <cell r="G151" t="str">
            <v>P102SBA007</v>
          </cell>
          <cell r="H151">
            <v>28</v>
          </cell>
          <cell r="I151">
            <v>516.37</v>
          </cell>
        </row>
        <row r="152">
          <cell r="F152" t="str">
            <v>B09MS5H54V</v>
          </cell>
          <cell r="G152" t="str">
            <v>P101TOS502</v>
          </cell>
          <cell r="H152">
            <v>1</v>
          </cell>
          <cell r="I152">
            <v>49.1</v>
          </cell>
        </row>
        <row r="153">
          <cell r="F153" t="str">
            <v>B09NBXYF5J</v>
          </cell>
          <cell r="G153" t="str">
            <v>P101TOS002</v>
          </cell>
          <cell r="H153">
            <v>0</v>
          </cell>
          <cell r="I153">
            <v>0</v>
          </cell>
        </row>
        <row r="154">
          <cell r="F154" t="str">
            <v>B09PGHNKWP</v>
          </cell>
          <cell r="G154" t="str">
            <v>AC.116</v>
          </cell>
          <cell r="H154">
            <v>2</v>
          </cell>
          <cell r="I154">
            <v>12.32</v>
          </cell>
        </row>
        <row r="155">
          <cell r="F155" t="str">
            <v>B09VQLJ1WK</v>
          </cell>
          <cell r="G155" t="str">
            <v>P204FER004</v>
          </cell>
          <cell r="H155">
            <v>8</v>
          </cell>
          <cell r="I155">
            <v>115.44</v>
          </cell>
        </row>
        <row r="156">
          <cell r="F156" t="str">
            <v>B09XR94HF8</v>
          </cell>
          <cell r="G156" t="str">
            <v>C301ACC001</v>
          </cell>
          <cell r="H156">
            <v>0</v>
          </cell>
          <cell r="I156">
            <v>0</v>
          </cell>
        </row>
        <row r="157">
          <cell r="F157" t="str">
            <v>B09Y9DBPK5</v>
          </cell>
          <cell r="G157" t="str">
            <v>P101CUD300</v>
          </cell>
          <cell r="H157">
            <v>1</v>
          </cell>
          <cell r="I157">
            <v>98.22</v>
          </cell>
        </row>
        <row r="158">
          <cell r="F158" t="str">
            <v>B09ZBHJ91Q</v>
          </cell>
          <cell r="G158" t="str">
            <v>P201UTP100</v>
          </cell>
          <cell r="H158">
            <v>92</v>
          </cell>
          <cell r="I158">
            <v>1274.2</v>
          </cell>
        </row>
        <row r="159">
          <cell r="F159" t="str">
            <v>B0B2F48ZMP</v>
          </cell>
          <cell r="G159" t="str">
            <v>P102GEL100</v>
          </cell>
          <cell r="H159">
            <v>12</v>
          </cell>
          <cell r="I159">
            <v>451.55</v>
          </cell>
        </row>
        <row r="160">
          <cell r="F160" t="str">
            <v>B0B2SB1ZQL</v>
          </cell>
          <cell r="G160" t="str">
            <v>P102EST100</v>
          </cell>
          <cell r="H160">
            <v>6</v>
          </cell>
          <cell r="I160">
            <v>154.62</v>
          </cell>
        </row>
        <row r="161">
          <cell r="F161" t="str">
            <v>B0B39H1Z8J</v>
          </cell>
          <cell r="G161" t="str">
            <v>C106CAS001</v>
          </cell>
          <cell r="H161">
            <v>222</v>
          </cell>
          <cell r="I161">
            <v>2397.59</v>
          </cell>
        </row>
        <row r="162">
          <cell r="F162" t="str">
            <v>B0B3N9ZNT2</v>
          </cell>
          <cell r="G162" t="str">
            <v>P101CUD051</v>
          </cell>
          <cell r="H162">
            <v>6</v>
          </cell>
          <cell r="I162">
            <v>196.2</v>
          </cell>
        </row>
        <row r="163">
          <cell r="F163" t="str">
            <v>B0B5XB4X2T</v>
          </cell>
          <cell r="G163" t="str">
            <v>P102ACP100</v>
          </cell>
          <cell r="H163">
            <v>7</v>
          </cell>
          <cell r="I163">
            <v>131.65</v>
          </cell>
        </row>
        <row r="164">
          <cell r="F164" t="str">
            <v>B0B6JKJNCP</v>
          </cell>
          <cell r="G164" t="str">
            <v>P201UTP201</v>
          </cell>
          <cell r="H164">
            <v>5</v>
          </cell>
          <cell r="I164">
            <v>93.85</v>
          </cell>
        </row>
        <row r="165">
          <cell r="F165" t="str">
            <v>B0B6JPXDN6</v>
          </cell>
          <cell r="G165" t="str">
            <v>P201UTP200</v>
          </cell>
          <cell r="H165">
            <v>11</v>
          </cell>
          <cell r="I165">
            <v>206.47</v>
          </cell>
        </row>
        <row r="166">
          <cell r="F166" t="str">
            <v>B0B7WVD9L3</v>
          </cell>
          <cell r="G166" t="str">
            <v>P205DIF050</v>
          </cell>
          <cell r="H166">
            <v>2</v>
          </cell>
          <cell r="I166">
            <v>87.72</v>
          </cell>
        </row>
        <row r="167">
          <cell r="F167" t="str">
            <v>B0B887SKJ1</v>
          </cell>
          <cell r="G167" t="str">
            <v>P102SBA008</v>
          </cell>
          <cell r="H167">
            <v>4</v>
          </cell>
          <cell r="I167">
            <v>52.72</v>
          </cell>
        </row>
        <row r="168">
          <cell r="F168" t="str">
            <v>B0B8DLSNJF</v>
          </cell>
          <cell r="G168" t="str">
            <v>P302VIS050</v>
          </cell>
          <cell r="H168">
            <v>100</v>
          </cell>
          <cell r="I168">
            <v>1631</v>
          </cell>
        </row>
        <row r="169">
          <cell r="F169" t="str">
            <v>B0B94FL5H8</v>
          </cell>
          <cell r="G169" t="str">
            <v>PE.387</v>
          </cell>
          <cell r="H169">
            <v>9</v>
          </cell>
          <cell r="I169">
            <v>72.989999999999995</v>
          </cell>
        </row>
        <row r="170">
          <cell r="F170" t="str">
            <v>B0BBH12BYN</v>
          </cell>
          <cell r="G170" t="str">
            <v>P101COS001</v>
          </cell>
          <cell r="H170">
            <v>57</v>
          </cell>
          <cell r="I170">
            <v>5001.34</v>
          </cell>
        </row>
        <row r="171">
          <cell r="F171" t="str">
            <v>B0BD4VX5JB</v>
          </cell>
          <cell r="G171" t="str">
            <v>P203PAN002</v>
          </cell>
          <cell r="H171">
            <v>4</v>
          </cell>
          <cell r="I171">
            <v>380.8</v>
          </cell>
        </row>
        <row r="172">
          <cell r="F172" t="str">
            <v>B0BD83RNDG</v>
          </cell>
          <cell r="G172" t="str">
            <v>C106CAS002</v>
          </cell>
          <cell r="H172">
            <v>62</v>
          </cell>
          <cell r="I172">
            <v>690.53</v>
          </cell>
        </row>
        <row r="173">
          <cell r="F173" t="str">
            <v>B0BFS7CYLQ</v>
          </cell>
          <cell r="G173" t="str">
            <v>P101CUD052</v>
          </cell>
          <cell r="H173">
            <v>2</v>
          </cell>
          <cell r="I173">
            <v>88.34</v>
          </cell>
        </row>
        <row r="174">
          <cell r="F174" t="str">
            <v>B0BHHV552D</v>
          </cell>
          <cell r="G174" t="str">
            <v>P203TER201</v>
          </cell>
          <cell r="H174">
            <v>558</v>
          </cell>
          <cell r="I174">
            <v>9074.8700000000008</v>
          </cell>
        </row>
        <row r="175">
          <cell r="F175" t="str">
            <v>B0BHTBMNX8</v>
          </cell>
          <cell r="G175" t="str">
            <v>P101CUD250</v>
          </cell>
          <cell r="H175">
            <v>0</v>
          </cell>
          <cell r="I175">
            <v>0</v>
          </cell>
        </row>
        <row r="176">
          <cell r="F176" t="str">
            <v>B0BJ2DC3KX</v>
          </cell>
          <cell r="G176" t="str">
            <v>P101FRI080</v>
          </cell>
          <cell r="H176">
            <v>1</v>
          </cell>
          <cell r="I176">
            <v>160.65</v>
          </cell>
        </row>
        <row r="177">
          <cell r="F177" t="str">
            <v>B0BJ2TBPJW</v>
          </cell>
          <cell r="G177" t="str">
            <v>C206UTI004</v>
          </cell>
          <cell r="H177">
            <v>453</v>
          </cell>
          <cell r="I177">
            <v>2224.23</v>
          </cell>
        </row>
        <row r="178">
          <cell r="F178" t="str">
            <v>B0BJL1Z674</v>
          </cell>
          <cell r="G178" t="str">
            <v>C102SPE001</v>
          </cell>
          <cell r="H178">
            <v>31</v>
          </cell>
          <cell r="I178">
            <v>172.86</v>
          </cell>
        </row>
        <row r="179">
          <cell r="F179" t="str">
            <v>B0BKGZC9YH</v>
          </cell>
          <cell r="G179" t="str">
            <v>C301ABE200</v>
          </cell>
          <cell r="H179">
            <v>9</v>
          </cell>
          <cell r="I179">
            <v>33.79</v>
          </cell>
        </row>
        <row r="180">
          <cell r="F180" t="str">
            <v>B0BNNH9RZQ</v>
          </cell>
          <cell r="G180" t="str">
            <v>P302VIS060</v>
          </cell>
          <cell r="H180">
            <v>99</v>
          </cell>
          <cell r="I180">
            <v>1096.6500000000001</v>
          </cell>
        </row>
        <row r="181">
          <cell r="F181" t="str">
            <v>B0BTHSH5MK</v>
          </cell>
          <cell r="G181" t="str">
            <v>C103ACC001</v>
          </cell>
          <cell r="H181">
            <v>168</v>
          </cell>
          <cell r="I181">
            <v>1493.58</v>
          </cell>
        </row>
        <row r="182">
          <cell r="F182" t="str">
            <v>B0BVBY1RWS</v>
          </cell>
          <cell r="G182" t="str">
            <v>P206VEN550</v>
          </cell>
          <cell r="H182">
            <v>3</v>
          </cell>
          <cell r="I182">
            <v>122.7</v>
          </cell>
        </row>
        <row r="183">
          <cell r="F183" t="str">
            <v>B0BVZG7FPY</v>
          </cell>
          <cell r="G183" t="str">
            <v>P206VEN600</v>
          </cell>
          <cell r="H183">
            <v>12</v>
          </cell>
          <cell r="I183">
            <v>464.74</v>
          </cell>
        </row>
        <row r="184">
          <cell r="F184" t="str">
            <v>B0BWS8WNS9</v>
          </cell>
          <cell r="G184" t="str">
            <v>P206ZAN250</v>
          </cell>
          <cell r="H184">
            <v>2</v>
          </cell>
          <cell r="I184">
            <v>50.2</v>
          </cell>
        </row>
        <row r="185">
          <cell r="F185" t="str">
            <v>B0BWSFLRWN</v>
          </cell>
          <cell r="G185" t="str">
            <v>P206VEN151</v>
          </cell>
          <cell r="H185">
            <v>1</v>
          </cell>
          <cell r="I185">
            <v>39.58</v>
          </cell>
        </row>
        <row r="186">
          <cell r="F186" t="str">
            <v>B0BYZTG56X</v>
          </cell>
          <cell r="G186" t="str">
            <v>P201UTP101</v>
          </cell>
          <cell r="H186">
            <v>5</v>
          </cell>
          <cell r="I186">
            <v>143.05000000000001</v>
          </cell>
        </row>
        <row r="187">
          <cell r="F187" t="str">
            <v>B0C154W8S4</v>
          </cell>
          <cell r="G187" t="str">
            <v>P206VEN450</v>
          </cell>
          <cell r="H187">
            <v>11</v>
          </cell>
          <cell r="I187">
            <v>188.32</v>
          </cell>
        </row>
        <row r="188">
          <cell r="F188" t="str">
            <v>B0C28S79G8</v>
          </cell>
          <cell r="G188" t="str">
            <v>P206VEN430</v>
          </cell>
          <cell r="H188">
            <v>1</v>
          </cell>
          <cell r="I188">
            <v>18.47</v>
          </cell>
        </row>
        <row r="189">
          <cell r="F189" t="str">
            <v>B0C94Q6QZ9</v>
          </cell>
          <cell r="G189" t="str">
            <v>P101TOS100</v>
          </cell>
          <cell r="H189">
            <v>21</v>
          </cell>
          <cell r="I189">
            <v>489.7</v>
          </cell>
        </row>
        <row r="190">
          <cell r="F190" t="str">
            <v>B0C9V6YP8X</v>
          </cell>
          <cell r="G190" t="str">
            <v>C301ABE002</v>
          </cell>
          <cell r="H190">
            <v>24</v>
          </cell>
          <cell r="I190">
            <v>122.81</v>
          </cell>
        </row>
        <row r="191">
          <cell r="F191" t="str">
            <v>B0CC5QZ9CJ</v>
          </cell>
          <cell r="G191" t="str">
            <v>C206UTI006</v>
          </cell>
          <cell r="H191">
            <v>1</v>
          </cell>
          <cell r="I191">
            <v>6.55</v>
          </cell>
        </row>
        <row r="192">
          <cell r="F192" t="str">
            <v>B0CFB71DMN</v>
          </cell>
          <cell r="G192" t="str">
            <v>C203PUL004</v>
          </cell>
          <cell r="H192">
            <v>199</v>
          </cell>
          <cell r="I192">
            <v>1134.1099999999999</v>
          </cell>
        </row>
        <row r="193">
          <cell r="F193" t="str">
            <v>B0CHF7YW6B</v>
          </cell>
          <cell r="G193" t="str">
            <v>P203PAN010</v>
          </cell>
          <cell r="H193">
            <v>51</v>
          </cell>
          <cell r="I193">
            <v>1652.69</v>
          </cell>
        </row>
        <row r="194">
          <cell r="F194" t="str">
            <v>B0CHFQXMZX</v>
          </cell>
          <cell r="G194" t="str">
            <v>P203PAN001</v>
          </cell>
          <cell r="H194">
            <v>85</v>
          </cell>
          <cell r="I194">
            <v>1342.61</v>
          </cell>
        </row>
        <row r="195">
          <cell r="F195" t="str">
            <v>B0CHWMFNNT</v>
          </cell>
          <cell r="G195" t="str">
            <v>P202ASP250</v>
          </cell>
          <cell r="H195">
            <v>5</v>
          </cell>
          <cell r="I195">
            <v>204.5</v>
          </cell>
        </row>
        <row r="196">
          <cell r="F196" t="str">
            <v>B0CLVR5JN6</v>
          </cell>
          <cell r="G196" t="str">
            <v>P201UTP112</v>
          </cell>
          <cell r="H196">
            <v>95</v>
          </cell>
          <cell r="I196">
            <v>1549.45</v>
          </cell>
        </row>
        <row r="197">
          <cell r="F197" t="str">
            <v>B0CLVS3FH6</v>
          </cell>
          <cell r="G197" t="str">
            <v>P201UTP111</v>
          </cell>
          <cell r="H197">
            <v>324</v>
          </cell>
          <cell r="I197">
            <v>5284.44</v>
          </cell>
        </row>
        <row r="198">
          <cell r="F198" t="str">
            <v>B0CLY2CF4T</v>
          </cell>
          <cell r="G198" t="str">
            <v>P201UTP113</v>
          </cell>
          <cell r="H198">
            <v>137</v>
          </cell>
          <cell r="I198">
            <v>2234.4699999999998</v>
          </cell>
        </row>
        <row r="199">
          <cell r="F199" t="str">
            <v>B0CMHZ2WNV</v>
          </cell>
          <cell r="G199" t="str">
            <v>P101FRI051</v>
          </cell>
          <cell r="H199">
            <v>0</v>
          </cell>
          <cell r="I199">
            <v>0</v>
          </cell>
        </row>
        <row r="200">
          <cell r="F200" t="str">
            <v>B0CPFRMPTM</v>
          </cell>
          <cell r="G200" t="str">
            <v>P101CAF001</v>
          </cell>
          <cell r="H200">
            <v>40</v>
          </cell>
          <cell r="I200">
            <v>1210</v>
          </cell>
        </row>
        <row r="201">
          <cell r="F201" t="str">
            <v>B0CXJCJF5B</v>
          </cell>
          <cell r="G201" t="str">
            <v>P101PIA003</v>
          </cell>
          <cell r="H201">
            <v>8</v>
          </cell>
          <cell r="I201">
            <v>117.36</v>
          </cell>
        </row>
        <row r="202">
          <cell r="F202" t="str">
            <v>Totale complessivo</v>
          </cell>
          <cell r="H202">
            <v>6632</v>
          </cell>
          <cell r="I202">
            <v>104761.64000000001</v>
          </cell>
        </row>
      </sheetData>
      <sheetData sheetId="5">
        <row r="1">
          <cell r="E1" t="str">
            <v>sales-channel</v>
          </cell>
          <cell r="F1" t="str">
            <v>Amazon.it</v>
          </cell>
        </row>
        <row r="3">
          <cell r="E3" t="str">
            <v>Etichette di riga</v>
          </cell>
          <cell r="F3" t="str">
            <v>Somma di quantity</v>
          </cell>
          <cell r="G3" t="str">
            <v>Somma di item-price</v>
          </cell>
        </row>
        <row r="4">
          <cell r="E4" t="str">
            <v>B0050IHH4E</v>
          </cell>
          <cell r="F4">
            <v>3</v>
          </cell>
          <cell r="G4">
            <v>60.699999999999996</v>
          </cell>
        </row>
        <row r="5">
          <cell r="E5" t="str">
            <v>B00FAJUDU8</v>
          </cell>
          <cell r="F5">
            <v>27</v>
          </cell>
          <cell r="G5">
            <v>822.29999999999961</v>
          </cell>
        </row>
        <row r="6">
          <cell r="E6" t="str">
            <v>B00NSNZSLM</v>
          </cell>
          <cell r="F6">
            <v>48</v>
          </cell>
          <cell r="G6">
            <v>1440.2000000000007</v>
          </cell>
        </row>
        <row r="7">
          <cell r="E7" t="str">
            <v>B01CNX704K</v>
          </cell>
          <cell r="F7">
            <v>6</v>
          </cell>
          <cell r="G7">
            <v>281.39999999999998</v>
          </cell>
        </row>
        <row r="8">
          <cell r="E8" t="str">
            <v>B01I497WWM</v>
          </cell>
          <cell r="F8">
            <v>534</v>
          </cell>
          <cell r="G8">
            <v>10674.529999999895</v>
          </cell>
        </row>
        <row r="9">
          <cell r="E9" t="str">
            <v>B01KMJ9OXW</v>
          </cell>
          <cell r="F9">
            <v>317</v>
          </cell>
          <cell r="G9">
            <v>11062.429999999938</v>
          </cell>
        </row>
        <row r="10">
          <cell r="E10" t="str">
            <v>B01MTSEGF9</v>
          </cell>
          <cell r="F10">
            <v>8</v>
          </cell>
          <cell r="G10">
            <v>432.79999999999995</v>
          </cell>
        </row>
        <row r="11">
          <cell r="E11" t="str">
            <v>B06Y195DJN</v>
          </cell>
          <cell r="F11">
            <v>18</v>
          </cell>
          <cell r="G11">
            <v>898.1999999999997</v>
          </cell>
        </row>
        <row r="12">
          <cell r="E12" t="str">
            <v>B0757TJRR9</v>
          </cell>
          <cell r="F12">
            <v>385</v>
          </cell>
          <cell r="G12">
            <v>12660.569999999912</v>
          </cell>
        </row>
        <row r="13">
          <cell r="E13" t="str">
            <v>B076D74TC7</v>
          </cell>
          <cell r="F13">
            <v>1</v>
          </cell>
          <cell r="G13">
            <v>36.99</v>
          </cell>
        </row>
        <row r="14">
          <cell r="E14" t="str">
            <v>B076DCKSTJ</v>
          </cell>
          <cell r="F14">
            <v>35</v>
          </cell>
          <cell r="G14">
            <v>871.49999999999955</v>
          </cell>
        </row>
        <row r="15">
          <cell r="E15" t="str">
            <v>B07BB2DQ4V</v>
          </cell>
          <cell r="F15">
            <v>8</v>
          </cell>
          <cell r="G15">
            <v>377.39999999999992</v>
          </cell>
        </row>
        <row r="16">
          <cell r="E16" t="str">
            <v>B07HM7P6MP</v>
          </cell>
          <cell r="F16">
            <v>17</v>
          </cell>
          <cell r="G16">
            <v>542.9899999999999</v>
          </cell>
        </row>
        <row r="17">
          <cell r="E17" t="str">
            <v>B07N4C3H3V</v>
          </cell>
          <cell r="F17">
            <v>44</v>
          </cell>
          <cell r="G17">
            <v>652.90999999999951</v>
          </cell>
        </row>
        <row r="18">
          <cell r="E18" t="str">
            <v>B07NQ2VYGD</v>
          </cell>
          <cell r="F18">
            <v>229</v>
          </cell>
          <cell r="G18">
            <v>6838.119999999979</v>
          </cell>
        </row>
        <row r="19">
          <cell r="E19" t="str">
            <v>B07NQC6S9V</v>
          </cell>
          <cell r="F19">
            <v>16</v>
          </cell>
          <cell r="G19">
            <v>798.39999999999975</v>
          </cell>
        </row>
        <row r="20">
          <cell r="E20" t="str">
            <v>B07P7GGGQM</v>
          </cell>
          <cell r="F20">
            <v>19</v>
          </cell>
          <cell r="G20">
            <v>1138.0999999999999</v>
          </cell>
        </row>
        <row r="21">
          <cell r="E21" t="str">
            <v>B07TVSJDCL</v>
          </cell>
          <cell r="F21">
            <v>1</v>
          </cell>
          <cell r="G21">
            <v>15.9</v>
          </cell>
        </row>
        <row r="22">
          <cell r="E22" t="str">
            <v>B07V131F5W</v>
          </cell>
          <cell r="F22">
            <v>104</v>
          </cell>
          <cell r="G22">
            <v>3109.6000000000017</v>
          </cell>
        </row>
        <row r="23">
          <cell r="E23" t="str">
            <v>B07YBN2FS3</v>
          </cell>
          <cell r="F23">
            <v>26</v>
          </cell>
          <cell r="G23">
            <v>2077.400000000001</v>
          </cell>
        </row>
        <row r="24">
          <cell r="E24" t="str">
            <v>B07YBNB2QY</v>
          </cell>
          <cell r="F24">
            <v>3</v>
          </cell>
          <cell r="G24">
            <v>149.69999999999999</v>
          </cell>
        </row>
        <row r="25">
          <cell r="E25" t="str">
            <v>B0823CVGHX</v>
          </cell>
          <cell r="F25">
            <v>29</v>
          </cell>
          <cell r="G25">
            <v>1737.1000000000008</v>
          </cell>
        </row>
        <row r="26">
          <cell r="E26" t="str">
            <v>B08485QRVZ</v>
          </cell>
          <cell r="F26">
            <v>36</v>
          </cell>
          <cell r="G26">
            <v>1101.6199999999997</v>
          </cell>
        </row>
        <row r="27">
          <cell r="E27" t="str">
            <v>B085JHTR6Q</v>
          </cell>
          <cell r="F27">
            <v>1</v>
          </cell>
          <cell r="G27">
            <v>29.9</v>
          </cell>
        </row>
        <row r="28">
          <cell r="E28" t="str">
            <v>B08FDYW72J</v>
          </cell>
          <cell r="F28">
            <v>2</v>
          </cell>
          <cell r="G28">
            <v>74.8</v>
          </cell>
        </row>
        <row r="29">
          <cell r="E29" t="str">
            <v>B08GY7286R</v>
          </cell>
          <cell r="F29">
            <v>94</v>
          </cell>
          <cell r="G29">
            <v>2171.3700000000031</v>
          </cell>
        </row>
        <row r="30">
          <cell r="E30" t="str">
            <v>B08JM7SZ36</v>
          </cell>
          <cell r="F30">
            <v>21</v>
          </cell>
          <cell r="G30">
            <v>842.89999999999975</v>
          </cell>
        </row>
        <row r="31">
          <cell r="E31" t="str">
            <v>B08JYDDFZ2</v>
          </cell>
          <cell r="F31">
            <v>66</v>
          </cell>
          <cell r="G31">
            <v>1051.3999999999994</v>
          </cell>
        </row>
        <row r="32">
          <cell r="E32" t="str">
            <v>B08KSBDTQD</v>
          </cell>
          <cell r="F32">
            <v>21</v>
          </cell>
          <cell r="G32">
            <v>837.89999999999975</v>
          </cell>
        </row>
        <row r="33">
          <cell r="E33" t="str">
            <v>B08L9D9KR9</v>
          </cell>
          <cell r="F33">
            <v>5</v>
          </cell>
          <cell r="G33">
            <v>349.5</v>
          </cell>
        </row>
        <row r="34">
          <cell r="E34" t="str">
            <v>B08LZN1PWY</v>
          </cell>
          <cell r="F34">
            <v>23</v>
          </cell>
          <cell r="G34">
            <v>1820.7000000000005</v>
          </cell>
        </row>
        <row r="35">
          <cell r="E35" t="str">
            <v>B096MX229M</v>
          </cell>
          <cell r="F35">
            <v>70</v>
          </cell>
          <cell r="G35">
            <v>1052.9999999999991</v>
          </cell>
        </row>
        <row r="36">
          <cell r="E36" t="str">
            <v>B097HRQNRG</v>
          </cell>
          <cell r="F36">
            <v>8</v>
          </cell>
          <cell r="G36">
            <v>291.2</v>
          </cell>
        </row>
        <row r="37">
          <cell r="E37" t="str">
            <v>B09ZBHJ91Q</v>
          </cell>
          <cell r="F37">
            <v>1</v>
          </cell>
          <cell r="G37">
            <v>24.9</v>
          </cell>
        </row>
        <row r="38">
          <cell r="E38" t="str">
            <v>B0B6JPXDN6</v>
          </cell>
          <cell r="F38">
            <v>14</v>
          </cell>
          <cell r="G38">
            <v>348.6</v>
          </cell>
        </row>
        <row r="39">
          <cell r="E39" t="str">
            <v>B0B8DLSNJF</v>
          </cell>
          <cell r="F39">
            <v>17</v>
          </cell>
          <cell r="G39">
            <v>418.80999999999989</v>
          </cell>
        </row>
        <row r="40">
          <cell r="E40" t="str">
            <v>Totale complessivo</v>
          </cell>
          <cell r="F40">
            <v>2257</v>
          </cell>
          <cell r="G40">
            <v>67095.83999999972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or_02_2023"/>
      <sheetName val="vendor_02_2024"/>
      <sheetName val="seller_02_2024"/>
      <sheetName val="v_02_2023"/>
      <sheetName val="v_02_2024"/>
      <sheetName val="s_02_2024"/>
      <sheetName val="pivot"/>
      <sheetName val="complessivo"/>
      <sheetName val="IT"/>
    </sheetNames>
    <sheetDataSet>
      <sheetData sheetId="0"/>
      <sheetData sheetId="1"/>
      <sheetData sheetId="2"/>
      <sheetData sheetId="3">
        <row r="1">
          <cell r="F1" t="str">
            <v>Codice marketplace</v>
          </cell>
          <cell r="G1" t="str">
            <v>IT</v>
          </cell>
        </row>
        <row r="3">
          <cell r="F3" t="str">
            <v>ASIN</v>
          </cell>
          <cell r="G3" t="str">
            <v>Numero del modello</v>
          </cell>
          <cell r="H3" t="str">
            <v>Somma di Unità ordinate</v>
          </cell>
          <cell r="I3" t="str">
            <v>Somma di Ricavi ordini</v>
          </cell>
        </row>
        <row r="4">
          <cell r="F4" t="str">
            <v>B0050IHH4E</v>
          </cell>
          <cell r="G4" t="str">
            <v>40.979</v>
          </cell>
          <cell r="H4">
            <v>24</v>
          </cell>
          <cell r="I4">
            <v>312.72000000000003</v>
          </cell>
        </row>
        <row r="5">
          <cell r="F5" t="str">
            <v>B00BH202XK</v>
          </cell>
          <cell r="G5" t="str">
            <v>40.808A</v>
          </cell>
          <cell r="H5">
            <v>2</v>
          </cell>
          <cell r="I5">
            <v>35.729999999999997</v>
          </cell>
        </row>
        <row r="6">
          <cell r="F6" t="str">
            <v>B00CMAD2FG</v>
          </cell>
          <cell r="G6" t="str">
            <v>HK-NV009W</v>
          </cell>
          <cell r="H6">
            <v>1</v>
          </cell>
          <cell r="I6">
            <v>19.87</v>
          </cell>
        </row>
        <row r="7">
          <cell r="F7" t="str">
            <v>B00EYDRS1I</v>
          </cell>
          <cell r="G7" t="str">
            <v>90.349</v>
          </cell>
          <cell r="H7">
            <v>159</v>
          </cell>
          <cell r="I7">
            <v>878.28</v>
          </cell>
        </row>
        <row r="8">
          <cell r="F8" t="str">
            <v>B00FAJUDU8</v>
          </cell>
          <cell r="G8" t="str">
            <v>40.967N</v>
          </cell>
          <cell r="H8">
            <v>92</v>
          </cell>
          <cell r="I8">
            <v>1877.72</v>
          </cell>
        </row>
        <row r="9">
          <cell r="F9" t="str">
            <v>B00FFBFVG2</v>
          </cell>
          <cell r="G9" t="str">
            <v>40.100</v>
          </cell>
          <cell r="H9">
            <v>3</v>
          </cell>
          <cell r="I9">
            <v>18.989999999999998</v>
          </cell>
        </row>
        <row r="10">
          <cell r="F10" t="str">
            <v>B00J7MNQFS</v>
          </cell>
          <cell r="G10" t="str">
            <v>40.994</v>
          </cell>
          <cell r="H10">
            <v>3</v>
          </cell>
          <cell r="I10">
            <v>49.83</v>
          </cell>
        </row>
        <row r="11">
          <cell r="F11" t="str">
            <v>B00L5GPWFG</v>
          </cell>
          <cell r="G11" t="str">
            <v>40.120</v>
          </cell>
          <cell r="H11">
            <v>2</v>
          </cell>
          <cell r="I11">
            <v>49.02</v>
          </cell>
        </row>
        <row r="12">
          <cell r="F12" t="str">
            <v>B00L5H5KUW</v>
          </cell>
          <cell r="G12" t="str">
            <v>40.121</v>
          </cell>
          <cell r="H12">
            <v>202</v>
          </cell>
          <cell r="I12">
            <v>3294.62</v>
          </cell>
        </row>
        <row r="13">
          <cell r="F13" t="str">
            <v>B00NSNZSLM</v>
          </cell>
          <cell r="G13" t="str">
            <v>90.602</v>
          </cell>
          <cell r="H13">
            <v>515</v>
          </cell>
          <cell r="I13">
            <v>10511.15</v>
          </cell>
        </row>
        <row r="14">
          <cell r="F14" t="str">
            <v>B00OKE4RTM</v>
          </cell>
          <cell r="G14" t="str">
            <v>90.386</v>
          </cell>
          <cell r="H14">
            <v>1</v>
          </cell>
          <cell r="I14">
            <v>53.22</v>
          </cell>
        </row>
        <row r="15">
          <cell r="F15" t="str">
            <v>B00OLZPU5K</v>
          </cell>
          <cell r="G15" t="str">
            <v>40.947</v>
          </cell>
          <cell r="H15">
            <v>3</v>
          </cell>
          <cell r="I15">
            <v>31.71</v>
          </cell>
        </row>
        <row r="16">
          <cell r="F16" t="str">
            <v>B00YAIEPNQ</v>
          </cell>
          <cell r="G16" t="str">
            <v>90.605</v>
          </cell>
          <cell r="H16">
            <v>1</v>
          </cell>
          <cell r="I16">
            <v>20.41</v>
          </cell>
        </row>
        <row r="17">
          <cell r="F17" t="str">
            <v>B00YCPX8R6</v>
          </cell>
          <cell r="G17" t="str">
            <v>40.969</v>
          </cell>
          <cell r="H17">
            <v>34</v>
          </cell>
          <cell r="I17">
            <v>192.44</v>
          </cell>
        </row>
        <row r="18">
          <cell r="F18" t="str">
            <v>B011LFVLW8</v>
          </cell>
          <cell r="G18" t="str">
            <v>90.620</v>
          </cell>
          <cell r="H18">
            <v>103</v>
          </cell>
          <cell r="I18">
            <v>2946.83</v>
          </cell>
        </row>
        <row r="19">
          <cell r="F19" t="str">
            <v>B017IUJA50</v>
          </cell>
          <cell r="G19" t="str">
            <v>90.920G</v>
          </cell>
          <cell r="H19">
            <v>323</v>
          </cell>
          <cell r="I19">
            <v>5211.46</v>
          </cell>
        </row>
        <row r="20">
          <cell r="F20" t="str">
            <v>B01CA687DI</v>
          </cell>
          <cell r="G20" t="str">
            <v>90.514</v>
          </cell>
          <cell r="H20">
            <v>0</v>
          </cell>
          <cell r="I20">
            <v>0</v>
          </cell>
        </row>
        <row r="21">
          <cell r="F21" t="str">
            <v>B01CNX71NA</v>
          </cell>
          <cell r="G21" t="str">
            <v>90.871</v>
          </cell>
          <cell r="H21">
            <v>4</v>
          </cell>
          <cell r="I21">
            <v>320.64999999999998</v>
          </cell>
        </row>
        <row r="22">
          <cell r="F22" t="str">
            <v>B01HGS9EPA</v>
          </cell>
          <cell r="G22" t="str">
            <v>40.531</v>
          </cell>
          <cell r="H22">
            <v>-1</v>
          </cell>
          <cell r="I22">
            <v>-17.09</v>
          </cell>
        </row>
        <row r="23">
          <cell r="F23" t="str">
            <v>B01HM47LF8</v>
          </cell>
          <cell r="G23" t="str">
            <v>MD.004</v>
          </cell>
          <cell r="H23">
            <v>9</v>
          </cell>
          <cell r="I23">
            <v>30.95</v>
          </cell>
        </row>
        <row r="24">
          <cell r="F24" t="str">
            <v>B01I497WWM</v>
          </cell>
          <cell r="G24" t="str">
            <v>90.920R</v>
          </cell>
          <cell r="H24">
            <v>2222</v>
          </cell>
          <cell r="I24">
            <v>30066.66</v>
          </cell>
        </row>
        <row r="25">
          <cell r="F25" t="str">
            <v>B01IHGX2HQ</v>
          </cell>
          <cell r="G25" t="str">
            <v>MD.104</v>
          </cell>
          <cell r="H25">
            <v>2</v>
          </cell>
          <cell r="I25">
            <v>11.51</v>
          </cell>
        </row>
        <row r="26">
          <cell r="F26" t="str">
            <v>B01II660SS</v>
          </cell>
          <cell r="G26" t="str">
            <v>MD.213</v>
          </cell>
          <cell r="H26">
            <v>12</v>
          </cell>
          <cell r="I26">
            <v>98.96</v>
          </cell>
        </row>
        <row r="27">
          <cell r="F27" t="str">
            <v>B01ITBZK38</v>
          </cell>
          <cell r="G27" t="str">
            <v>PO.002</v>
          </cell>
          <cell r="H27">
            <v>1</v>
          </cell>
          <cell r="I27">
            <v>18.29</v>
          </cell>
        </row>
        <row r="28">
          <cell r="F28" t="str">
            <v>B01KMJ9OXW</v>
          </cell>
          <cell r="G28" t="str">
            <v>90.590Y</v>
          </cell>
          <cell r="H28">
            <v>327</v>
          </cell>
          <cell r="I28">
            <v>9421.49</v>
          </cell>
        </row>
        <row r="29">
          <cell r="F29" t="str">
            <v>B01M4O6145</v>
          </cell>
          <cell r="G29" t="str">
            <v>90.071</v>
          </cell>
          <cell r="H29">
            <v>65</v>
          </cell>
          <cell r="I29">
            <v>1379.23</v>
          </cell>
        </row>
        <row r="30">
          <cell r="F30" t="str">
            <v>B01MTSEGF9</v>
          </cell>
          <cell r="G30" t="str">
            <v>50.700</v>
          </cell>
          <cell r="H30">
            <v>227</v>
          </cell>
          <cell r="I30">
            <v>6496.29</v>
          </cell>
        </row>
        <row r="31">
          <cell r="F31" t="str">
            <v>B01N5R491F</v>
          </cell>
          <cell r="G31" t="str">
            <v>PE.376</v>
          </cell>
          <cell r="H31">
            <v>18</v>
          </cell>
          <cell r="I31">
            <v>166.49</v>
          </cell>
        </row>
        <row r="32">
          <cell r="F32" t="str">
            <v>B01N6SQYFM</v>
          </cell>
          <cell r="G32" t="str">
            <v>PE.377</v>
          </cell>
          <cell r="H32">
            <v>9</v>
          </cell>
          <cell r="I32">
            <v>83.45</v>
          </cell>
        </row>
        <row r="33">
          <cell r="F33" t="str">
            <v>B06WGS8ZVG</v>
          </cell>
          <cell r="G33" t="str">
            <v>90.131</v>
          </cell>
          <cell r="H33">
            <v>4</v>
          </cell>
          <cell r="I33">
            <v>43.35</v>
          </cell>
        </row>
        <row r="34">
          <cell r="F34" t="str">
            <v>B06XPK3BTC</v>
          </cell>
          <cell r="G34" t="str">
            <v>40.450GO</v>
          </cell>
          <cell r="H34">
            <v>8</v>
          </cell>
          <cell r="I34">
            <v>122.46</v>
          </cell>
        </row>
        <row r="35">
          <cell r="F35" t="str">
            <v>B06XPYSCGJ</v>
          </cell>
          <cell r="G35" t="str">
            <v>40.939</v>
          </cell>
          <cell r="H35">
            <v>1</v>
          </cell>
          <cell r="I35">
            <v>6.75</v>
          </cell>
        </row>
        <row r="36">
          <cell r="F36" t="str">
            <v>B06Y17FS6D</v>
          </cell>
          <cell r="G36" t="str">
            <v>90.550</v>
          </cell>
          <cell r="H36">
            <v>165</v>
          </cell>
          <cell r="I36">
            <v>4246.18</v>
          </cell>
        </row>
        <row r="37">
          <cell r="F37" t="str">
            <v>B06Y1997YH</v>
          </cell>
          <cell r="G37" t="str">
            <v>90.883</v>
          </cell>
          <cell r="H37">
            <v>61</v>
          </cell>
          <cell r="I37">
            <v>3495.3</v>
          </cell>
        </row>
        <row r="38">
          <cell r="F38" t="str">
            <v>B073B57HQH</v>
          </cell>
          <cell r="G38" t="str">
            <v>90.886</v>
          </cell>
          <cell r="H38">
            <v>8</v>
          </cell>
          <cell r="I38">
            <v>809.04</v>
          </cell>
        </row>
        <row r="39">
          <cell r="F39" t="str">
            <v>B073B67PLQ</v>
          </cell>
          <cell r="G39" t="str">
            <v>90.884</v>
          </cell>
          <cell r="H39">
            <v>43</v>
          </cell>
          <cell r="I39">
            <v>3168.67</v>
          </cell>
        </row>
        <row r="40">
          <cell r="F40" t="str">
            <v>B0757TJRR9</v>
          </cell>
          <cell r="G40" t="str">
            <v>40.500</v>
          </cell>
          <cell r="H40">
            <v>382</v>
          </cell>
          <cell r="I40">
            <v>10284.5</v>
          </cell>
        </row>
        <row r="41">
          <cell r="F41" t="str">
            <v>B075K5C2QG</v>
          </cell>
          <cell r="G41" t="str">
            <v>RI.201</v>
          </cell>
          <cell r="H41">
            <v>-1</v>
          </cell>
          <cell r="I41">
            <v>-14.75</v>
          </cell>
        </row>
        <row r="42">
          <cell r="F42" t="str">
            <v>B075RF5S3N</v>
          </cell>
          <cell r="G42" t="str">
            <v>BC.160A</v>
          </cell>
          <cell r="H42">
            <v>14</v>
          </cell>
          <cell r="I42">
            <v>332.32</v>
          </cell>
        </row>
        <row r="43">
          <cell r="F43" t="str">
            <v>B075RF8FM9</v>
          </cell>
          <cell r="G43" t="str">
            <v>BC.160G</v>
          </cell>
          <cell r="H43">
            <v>1</v>
          </cell>
          <cell r="I43">
            <v>26.89</v>
          </cell>
        </row>
        <row r="44">
          <cell r="F44" t="str">
            <v>B0763R9MPM</v>
          </cell>
          <cell r="G44" t="str">
            <v>BP.600</v>
          </cell>
          <cell r="H44">
            <v>0</v>
          </cell>
          <cell r="I44">
            <v>0</v>
          </cell>
        </row>
        <row r="45">
          <cell r="F45" t="str">
            <v>B076DC4VWG</v>
          </cell>
          <cell r="G45" t="str">
            <v>40.501</v>
          </cell>
          <cell r="H45">
            <v>3</v>
          </cell>
          <cell r="I45">
            <v>54.5</v>
          </cell>
        </row>
        <row r="46">
          <cell r="F46" t="str">
            <v>B076DCKSTJ</v>
          </cell>
          <cell r="G46" t="str">
            <v>BT.602H</v>
          </cell>
          <cell r="H46">
            <v>277</v>
          </cell>
          <cell r="I46">
            <v>5653.57</v>
          </cell>
        </row>
        <row r="47">
          <cell r="F47" t="str">
            <v>B076DCL19C</v>
          </cell>
          <cell r="G47" t="str">
            <v>BP.720</v>
          </cell>
          <cell r="H47">
            <v>13</v>
          </cell>
          <cell r="I47">
            <v>744.9</v>
          </cell>
        </row>
        <row r="48">
          <cell r="F48" t="str">
            <v>B076DD26WW</v>
          </cell>
          <cell r="G48" t="str">
            <v>CA.010</v>
          </cell>
          <cell r="H48">
            <v>1</v>
          </cell>
          <cell r="I48">
            <v>6.68</v>
          </cell>
        </row>
        <row r="49">
          <cell r="F49" t="str">
            <v>B076DDBK1G</v>
          </cell>
          <cell r="G49" t="str">
            <v>BB.104</v>
          </cell>
          <cell r="H49">
            <v>0</v>
          </cell>
          <cell r="I49">
            <v>0</v>
          </cell>
        </row>
        <row r="50">
          <cell r="F50" t="str">
            <v>B076Q7BR6F</v>
          </cell>
          <cell r="G50" t="str">
            <v>BC.041N</v>
          </cell>
          <cell r="H50">
            <v>132</v>
          </cell>
          <cell r="I50">
            <v>5435.2</v>
          </cell>
        </row>
        <row r="51">
          <cell r="F51" t="str">
            <v>B076QDRTK6</v>
          </cell>
          <cell r="G51" t="str">
            <v>40.915</v>
          </cell>
          <cell r="H51">
            <v>14</v>
          </cell>
          <cell r="I51">
            <v>71.680000000000007</v>
          </cell>
        </row>
        <row r="52">
          <cell r="F52" t="str">
            <v>B076QFRRZ5</v>
          </cell>
          <cell r="G52" t="str">
            <v>40.931</v>
          </cell>
          <cell r="H52">
            <v>149</v>
          </cell>
          <cell r="I52">
            <v>2062.9</v>
          </cell>
        </row>
        <row r="53">
          <cell r="F53" t="str">
            <v>B079SB5VJZ</v>
          </cell>
          <cell r="G53" t="str">
            <v>50451</v>
          </cell>
          <cell r="H53">
            <v>337</v>
          </cell>
          <cell r="I53">
            <v>11019.9</v>
          </cell>
        </row>
        <row r="54">
          <cell r="F54" t="str">
            <v>B07B7YLZ6Z</v>
          </cell>
          <cell r="G54" t="str">
            <v>BF.550</v>
          </cell>
          <cell r="H54">
            <v>0</v>
          </cell>
          <cell r="I54">
            <v>0</v>
          </cell>
        </row>
        <row r="55">
          <cell r="F55" t="str">
            <v>B07B9CPH62</v>
          </cell>
          <cell r="G55" t="str">
            <v>BG.200Y</v>
          </cell>
          <cell r="H55">
            <v>24</v>
          </cell>
          <cell r="I55">
            <v>1178.4000000000001</v>
          </cell>
        </row>
        <row r="56">
          <cell r="F56" t="str">
            <v>B07BB2DQ4V</v>
          </cell>
          <cell r="G56" t="str">
            <v>BT.150Y</v>
          </cell>
          <cell r="H56">
            <v>13</v>
          </cell>
          <cell r="I56">
            <v>318.63</v>
          </cell>
        </row>
        <row r="57">
          <cell r="F57" t="str">
            <v>B07BHCZR84</v>
          </cell>
          <cell r="G57" t="str">
            <v>BA.200Y</v>
          </cell>
          <cell r="H57">
            <v>2</v>
          </cell>
          <cell r="I57">
            <v>32.619999999999997</v>
          </cell>
        </row>
        <row r="58">
          <cell r="F58" t="str">
            <v>B07BHTW4X8</v>
          </cell>
          <cell r="G58" t="str">
            <v>VE.402</v>
          </cell>
          <cell r="H58">
            <v>-3</v>
          </cell>
          <cell r="I58">
            <v>-24.33</v>
          </cell>
        </row>
        <row r="59">
          <cell r="F59" t="str">
            <v>B07HHDSJHM</v>
          </cell>
          <cell r="G59" t="str">
            <v>BI.504</v>
          </cell>
          <cell r="H59">
            <v>1</v>
          </cell>
          <cell r="I59">
            <v>4.0199999999999996</v>
          </cell>
        </row>
        <row r="60">
          <cell r="F60" t="str">
            <v>B07HM7P6MP</v>
          </cell>
          <cell r="G60" t="str">
            <v>RI.080</v>
          </cell>
          <cell r="H60">
            <v>28</v>
          </cell>
          <cell r="I60">
            <v>674.22</v>
          </cell>
        </row>
        <row r="61">
          <cell r="F61" t="str">
            <v>B07J25HN6L</v>
          </cell>
          <cell r="G61" t="str">
            <v>ri.093</v>
          </cell>
          <cell r="H61">
            <v>0</v>
          </cell>
          <cell r="I61">
            <v>0</v>
          </cell>
        </row>
        <row r="62">
          <cell r="F62" t="str">
            <v>B07J26M3W1</v>
          </cell>
          <cell r="G62" t="str">
            <v>ri.423</v>
          </cell>
          <cell r="H62">
            <v>0</v>
          </cell>
          <cell r="I62">
            <v>0</v>
          </cell>
        </row>
        <row r="63">
          <cell r="F63" t="str">
            <v>B07JGVMFY1</v>
          </cell>
          <cell r="G63" t="str">
            <v>BP.581</v>
          </cell>
          <cell r="H63">
            <v>7</v>
          </cell>
          <cell r="I63">
            <v>107.31</v>
          </cell>
        </row>
        <row r="64">
          <cell r="F64" t="str">
            <v>B07KYWNC7Z</v>
          </cell>
          <cell r="G64" t="str">
            <v>40.405</v>
          </cell>
          <cell r="H64">
            <v>108</v>
          </cell>
          <cell r="I64">
            <v>2118.9699999999998</v>
          </cell>
        </row>
        <row r="65">
          <cell r="F65" t="str">
            <v>B07N4C3H3V</v>
          </cell>
          <cell r="G65" t="str">
            <v>40.405</v>
          </cell>
          <cell r="H65">
            <v>50</v>
          </cell>
          <cell r="I65">
            <v>597.21</v>
          </cell>
        </row>
        <row r="66">
          <cell r="F66" t="str">
            <v>B07NNZSW1W</v>
          </cell>
          <cell r="G66" t="str">
            <v>BT.110</v>
          </cell>
          <cell r="H66">
            <v>3</v>
          </cell>
          <cell r="I66">
            <v>71.39</v>
          </cell>
        </row>
        <row r="67">
          <cell r="F67" t="str">
            <v>B07NQ1T7YK</v>
          </cell>
          <cell r="G67" t="str">
            <v>BP.101H</v>
          </cell>
          <cell r="H67">
            <v>261</v>
          </cell>
          <cell r="I67">
            <v>3186.81</v>
          </cell>
        </row>
        <row r="68">
          <cell r="F68" t="str">
            <v>B07NQ2ZBPV</v>
          </cell>
          <cell r="G68" t="str">
            <v>BT.300</v>
          </cell>
          <cell r="H68">
            <v>0</v>
          </cell>
          <cell r="I68">
            <v>0</v>
          </cell>
        </row>
        <row r="69">
          <cell r="F69" t="str">
            <v>B07NQ9JF3Z</v>
          </cell>
          <cell r="G69" t="str">
            <v>BT.604</v>
          </cell>
          <cell r="H69">
            <v>0</v>
          </cell>
          <cell r="I69">
            <v>0</v>
          </cell>
        </row>
        <row r="70">
          <cell r="F70" t="str">
            <v>B07NQC6S9V</v>
          </cell>
          <cell r="G70" t="str">
            <v>BT.651Y</v>
          </cell>
          <cell r="H70">
            <v>28</v>
          </cell>
          <cell r="I70">
            <v>1331.46</v>
          </cell>
        </row>
        <row r="71">
          <cell r="F71" t="str">
            <v>B07P7GH655</v>
          </cell>
          <cell r="G71" t="str">
            <v>BT.450</v>
          </cell>
          <cell r="H71">
            <v>0</v>
          </cell>
          <cell r="I71">
            <v>0</v>
          </cell>
        </row>
        <row r="72">
          <cell r="F72" t="str">
            <v>B07Q38Z7CK</v>
          </cell>
          <cell r="G72" t="str">
            <v>BC.060</v>
          </cell>
          <cell r="H72">
            <v>320</v>
          </cell>
          <cell r="I72">
            <v>6561.22</v>
          </cell>
        </row>
        <row r="73">
          <cell r="F73" t="str">
            <v>B07QX1RJRH</v>
          </cell>
          <cell r="G73" t="str">
            <v>40.742</v>
          </cell>
          <cell r="H73">
            <v>2</v>
          </cell>
          <cell r="I73">
            <v>43.7</v>
          </cell>
        </row>
        <row r="74">
          <cell r="F74" t="str">
            <v>B07QY47V9Y</v>
          </cell>
          <cell r="G74" t="str">
            <v>40.453</v>
          </cell>
          <cell r="H74">
            <v>3</v>
          </cell>
          <cell r="I74">
            <v>58.77</v>
          </cell>
        </row>
        <row r="75">
          <cell r="F75" t="str">
            <v>B07RQ7FRCS</v>
          </cell>
          <cell r="G75" t="str">
            <v>BB.002</v>
          </cell>
          <cell r="H75">
            <v>1</v>
          </cell>
          <cell r="I75">
            <v>16.23</v>
          </cell>
        </row>
        <row r="76">
          <cell r="F76" t="str">
            <v>B07RRBP1YR</v>
          </cell>
          <cell r="G76" t="str">
            <v>VE.502</v>
          </cell>
          <cell r="H76">
            <v>2</v>
          </cell>
          <cell r="I76">
            <v>162.30000000000001</v>
          </cell>
        </row>
        <row r="77">
          <cell r="F77" t="str">
            <v>B07RVKV56Z</v>
          </cell>
          <cell r="G77" t="str">
            <v>CA.013</v>
          </cell>
          <cell r="H77">
            <v>-2</v>
          </cell>
          <cell r="I77">
            <v>-21.14</v>
          </cell>
        </row>
        <row r="78">
          <cell r="F78" t="str">
            <v>B07SSLRCT6</v>
          </cell>
          <cell r="G78" t="str">
            <v>BP.304</v>
          </cell>
          <cell r="H78">
            <v>21</v>
          </cell>
          <cell r="I78">
            <v>342.51</v>
          </cell>
        </row>
        <row r="79">
          <cell r="F79" t="str">
            <v>B07TJGZNPN</v>
          </cell>
          <cell r="G79" t="str">
            <v>BP.654</v>
          </cell>
          <cell r="H79">
            <v>18</v>
          </cell>
          <cell r="I79">
            <v>233.76</v>
          </cell>
        </row>
        <row r="80">
          <cell r="F80" t="str">
            <v>B07TQVD94L</v>
          </cell>
          <cell r="G80" t="str">
            <v>BP.690</v>
          </cell>
          <cell r="H80">
            <v>60</v>
          </cell>
          <cell r="I80">
            <v>1470.6</v>
          </cell>
        </row>
        <row r="81">
          <cell r="F81" t="str">
            <v>B07TSNB5WG</v>
          </cell>
          <cell r="G81" t="str">
            <v>BP.102</v>
          </cell>
          <cell r="H81">
            <v>655</v>
          </cell>
          <cell r="I81">
            <v>7997.55</v>
          </cell>
        </row>
        <row r="82">
          <cell r="F82" t="str">
            <v>B07TSNCJ5J</v>
          </cell>
          <cell r="G82" t="str">
            <v>BP.800</v>
          </cell>
          <cell r="H82">
            <v>46</v>
          </cell>
          <cell r="I82">
            <v>516.88</v>
          </cell>
        </row>
        <row r="83">
          <cell r="F83" t="str">
            <v>B07TVTGQ5B</v>
          </cell>
          <cell r="G83" t="str">
            <v>40.918</v>
          </cell>
          <cell r="H83">
            <v>4</v>
          </cell>
          <cell r="I83">
            <v>43.88</v>
          </cell>
        </row>
        <row r="84">
          <cell r="F84" t="str">
            <v>B07TWX2L8N</v>
          </cell>
          <cell r="G84" t="str">
            <v>40.361</v>
          </cell>
          <cell r="H84">
            <v>11</v>
          </cell>
          <cell r="I84">
            <v>89.21</v>
          </cell>
        </row>
        <row r="85">
          <cell r="F85" t="str">
            <v>B07V131F5W</v>
          </cell>
          <cell r="G85" t="str">
            <v>40.490</v>
          </cell>
          <cell r="H85">
            <v>291</v>
          </cell>
          <cell r="I85">
            <v>6114.61</v>
          </cell>
        </row>
        <row r="86">
          <cell r="F86" t="str">
            <v>B07W7S9KYM</v>
          </cell>
          <cell r="G86" t="str">
            <v>BB.200</v>
          </cell>
          <cell r="H86">
            <v>12</v>
          </cell>
          <cell r="I86">
            <v>523.25</v>
          </cell>
        </row>
        <row r="87">
          <cell r="F87" t="str">
            <v>B07XYJ64GP</v>
          </cell>
          <cell r="G87" t="str">
            <v>RI.064</v>
          </cell>
          <cell r="H87">
            <v>0</v>
          </cell>
          <cell r="I87">
            <v>0</v>
          </cell>
        </row>
        <row r="88">
          <cell r="F88" t="str">
            <v>B07Y3XHMMV</v>
          </cell>
          <cell r="G88" t="str">
            <v>BP.604</v>
          </cell>
          <cell r="H88">
            <v>4</v>
          </cell>
          <cell r="I88">
            <v>81.55</v>
          </cell>
        </row>
        <row r="89">
          <cell r="F89" t="str">
            <v>B07YBM3P68</v>
          </cell>
          <cell r="G89" t="str">
            <v>RI.096</v>
          </cell>
          <cell r="H89">
            <v>0</v>
          </cell>
          <cell r="I89">
            <v>0</v>
          </cell>
        </row>
        <row r="90">
          <cell r="F90" t="str">
            <v>B07YBNPZPJ</v>
          </cell>
          <cell r="G90" t="str">
            <v>BP.552</v>
          </cell>
          <cell r="H90">
            <v>16</v>
          </cell>
          <cell r="I90">
            <v>382.95</v>
          </cell>
        </row>
        <row r="91">
          <cell r="F91" t="str">
            <v>B07YZZZVXP</v>
          </cell>
          <cell r="G91" t="str">
            <v>MD.404</v>
          </cell>
          <cell r="H91">
            <v>59</v>
          </cell>
          <cell r="I91">
            <v>3622.01</v>
          </cell>
        </row>
        <row r="92">
          <cell r="F92" t="str">
            <v>B07ZJMFB3R</v>
          </cell>
          <cell r="G92" t="str">
            <v>BC.510</v>
          </cell>
          <cell r="H92">
            <v>15</v>
          </cell>
          <cell r="I92">
            <v>847.2</v>
          </cell>
        </row>
        <row r="93">
          <cell r="F93" t="str">
            <v>B07ZJQTGG8</v>
          </cell>
          <cell r="G93" t="str">
            <v>50.245</v>
          </cell>
          <cell r="H93">
            <v>2063</v>
          </cell>
          <cell r="I93">
            <v>25188.39</v>
          </cell>
        </row>
        <row r="94">
          <cell r="F94" t="str">
            <v>B081QRX1K7</v>
          </cell>
          <cell r="G94" t="str">
            <v>40.473</v>
          </cell>
          <cell r="H94">
            <v>5</v>
          </cell>
          <cell r="I94">
            <v>89.99</v>
          </cell>
        </row>
        <row r="95">
          <cell r="F95" t="str">
            <v>B08485QRVZ</v>
          </cell>
          <cell r="G95" t="str">
            <v>BC.261</v>
          </cell>
          <cell r="H95">
            <v>664</v>
          </cell>
          <cell r="I95">
            <v>13551.02</v>
          </cell>
        </row>
        <row r="96">
          <cell r="F96" t="str">
            <v>B084C3JTC2</v>
          </cell>
          <cell r="G96" t="str">
            <v>40.406</v>
          </cell>
          <cell r="H96">
            <v>100</v>
          </cell>
          <cell r="I96">
            <v>2451</v>
          </cell>
        </row>
        <row r="97">
          <cell r="F97" t="str">
            <v>B084HK5BF8</v>
          </cell>
          <cell r="G97" t="str">
            <v>RI.424</v>
          </cell>
          <cell r="H97">
            <v>0</v>
          </cell>
          <cell r="I97">
            <v>0</v>
          </cell>
        </row>
        <row r="98">
          <cell r="F98" t="str">
            <v>B084PN7WPZ</v>
          </cell>
          <cell r="G98" t="str">
            <v>XUADA001</v>
          </cell>
          <cell r="H98">
            <v>38</v>
          </cell>
          <cell r="I98">
            <v>213.74</v>
          </cell>
        </row>
        <row r="99">
          <cell r="F99" t="str">
            <v>B084TG23R3</v>
          </cell>
          <cell r="G99" t="str">
            <v>C102BOT001</v>
          </cell>
          <cell r="H99">
            <v>52</v>
          </cell>
          <cell r="I99">
            <v>381.98</v>
          </cell>
        </row>
        <row r="100">
          <cell r="F100" t="str">
            <v>B084TG4594</v>
          </cell>
          <cell r="G100" t="str">
            <v>C102BOT003</v>
          </cell>
          <cell r="H100">
            <v>136</v>
          </cell>
          <cell r="I100">
            <v>484.94</v>
          </cell>
        </row>
        <row r="101">
          <cell r="F101" t="str">
            <v>B084TGLFLM</v>
          </cell>
          <cell r="G101" t="str">
            <v>C102BOT002</v>
          </cell>
          <cell r="H101">
            <v>347</v>
          </cell>
          <cell r="I101">
            <v>1277.2</v>
          </cell>
        </row>
        <row r="102">
          <cell r="F102" t="str">
            <v>B084TGLSDV</v>
          </cell>
          <cell r="G102" t="str">
            <v>C102BOT004</v>
          </cell>
          <cell r="H102">
            <v>259</v>
          </cell>
          <cell r="I102">
            <v>952.03</v>
          </cell>
        </row>
        <row r="103">
          <cell r="F103" t="str">
            <v>B085JHSWJH</v>
          </cell>
          <cell r="G103" t="str">
            <v>BP.802</v>
          </cell>
          <cell r="H103">
            <v>26</v>
          </cell>
          <cell r="I103">
            <v>410.65</v>
          </cell>
        </row>
        <row r="104">
          <cell r="F104" t="str">
            <v>B085JHTR6J</v>
          </cell>
          <cell r="G104" t="str">
            <v>BC.125</v>
          </cell>
          <cell r="H104">
            <v>41</v>
          </cell>
          <cell r="I104">
            <v>674.59</v>
          </cell>
        </row>
        <row r="105">
          <cell r="F105" t="str">
            <v>B085JHTR6Q</v>
          </cell>
          <cell r="G105" t="str">
            <v>BP.790</v>
          </cell>
          <cell r="H105">
            <v>46</v>
          </cell>
          <cell r="I105">
            <v>1127.46</v>
          </cell>
        </row>
        <row r="106">
          <cell r="F106" t="str">
            <v>B085JJ81R7</v>
          </cell>
          <cell r="G106" t="str">
            <v>RCO9003028</v>
          </cell>
          <cell r="H106">
            <v>139</v>
          </cell>
          <cell r="I106">
            <v>967.96</v>
          </cell>
        </row>
        <row r="107">
          <cell r="F107" t="str">
            <v>B085JJ8RC6</v>
          </cell>
          <cell r="G107" t="str">
            <v>BB.050</v>
          </cell>
          <cell r="H107">
            <v>846</v>
          </cell>
          <cell r="I107">
            <v>10327.56</v>
          </cell>
        </row>
        <row r="108">
          <cell r="F108" t="str">
            <v>B085JJFLGY</v>
          </cell>
          <cell r="G108" t="str">
            <v>RCO9003022</v>
          </cell>
          <cell r="H108">
            <v>150</v>
          </cell>
          <cell r="I108">
            <v>726</v>
          </cell>
        </row>
        <row r="109">
          <cell r="F109" t="str">
            <v>B085JJMBM7</v>
          </cell>
          <cell r="G109" t="str">
            <v>P206VEN400</v>
          </cell>
          <cell r="H109">
            <v>4</v>
          </cell>
          <cell r="I109">
            <v>46.72</v>
          </cell>
        </row>
        <row r="110">
          <cell r="F110" t="str">
            <v>B085R2GCKX</v>
          </cell>
          <cell r="G110" t="str">
            <v>40.332</v>
          </cell>
          <cell r="H110">
            <v>254</v>
          </cell>
          <cell r="I110">
            <v>3726.18</v>
          </cell>
        </row>
        <row r="111">
          <cell r="F111" t="str">
            <v>B088XJQ37J</v>
          </cell>
          <cell r="G111" t="str">
            <v>C301ABE001</v>
          </cell>
          <cell r="H111">
            <v>125</v>
          </cell>
          <cell r="I111">
            <v>1321.25</v>
          </cell>
        </row>
        <row r="112">
          <cell r="F112" t="str">
            <v>B089BKBZV3</v>
          </cell>
          <cell r="G112" t="str">
            <v>P101TOS001</v>
          </cell>
          <cell r="H112">
            <v>7</v>
          </cell>
          <cell r="I112">
            <v>146.4</v>
          </cell>
        </row>
        <row r="113">
          <cell r="F113" t="str">
            <v>B08B66J4C3</v>
          </cell>
          <cell r="G113" t="str">
            <v>P101PIA001</v>
          </cell>
          <cell r="H113">
            <v>482</v>
          </cell>
          <cell r="I113">
            <v>5885.22</v>
          </cell>
        </row>
        <row r="114">
          <cell r="F114" t="str">
            <v>B08B8M2B7B</v>
          </cell>
          <cell r="G114" t="str">
            <v>P102EST001</v>
          </cell>
          <cell r="H114">
            <v>3</v>
          </cell>
          <cell r="I114">
            <v>94.03</v>
          </cell>
        </row>
        <row r="115">
          <cell r="F115" t="str">
            <v>B08C7YJB5N</v>
          </cell>
          <cell r="G115" t="str">
            <v>P201UTP001</v>
          </cell>
          <cell r="H115">
            <v>89</v>
          </cell>
          <cell r="I115">
            <v>801.33</v>
          </cell>
        </row>
        <row r="116">
          <cell r="F116" t="str">
            <v>B08DHZDXVV</v>
          </cell>
          <cell r="G116" t="str">
            <v>P102SBA100</v>
          </cell>
          <cell r="H116">
            <v>3</v>
          </cell>
          <cell r="I116">
            <v>48.32</v>
          </cell>
        </row>
        <row r="117">
          <cell r="F117" t="str">
            <v>B08DJ3K9J8</v>
          </cell>
          <cell r="G117" t="str">
            <v>p102rob100</v>
          </cell>
          <cell r="H117">
            <v>3</v>
          </cell>
          <cell r="I117">
            <v>33.31</v>
          </cell>
        </row>
        <row r="118">
          <cell r="F118" t="str">
            <v>B08F5GYFKS</v>
          </cell>
          <cell r="G118" t="str">
            <v>P102FRU001</v>
          </cell>
          <cell r="H118">
            <v>1</v>
          </cell>
          <cell r="I118">
            <v>12.21</v>
          </cell>
        </row>
        <row r="119">
          <cell r="F119" t="str">
            <v>B08FDYW72J</v>
          </cell>
          <cell r="G119" t="str">
            <v>P101CUD100</v>
          </cell>
          <cell r="H119">
            <v>27</v>
          </cell>
          <cell r="I119">
            <v>687.26</v>
          </cell>
        </row>
        <row r="120">
          <cell r="F120" t="str">
            <v>B08FF245TD</v>
          </cell>
          <cell r="G120" t="str">
            <v>P101CUD500</v>
          </cell>
          <cell r="H120">
            <v>4</v>
          </cell>
          <cell r="I120">
            <v>117.13</v>
          </cell>
        </row>
        <row r="121">
          <cell r="F121" t="str">
            <v>B08FJGGZ1D</v>
          </cell>
          <cell r="G121" t="str">
            <v>70.405</v>
          </cell>
          <cell r="H121">
            <v>28</v>
          </cell>
          <cell r="I121">
            <v>351.76</v>
          </cell>
        </row>
        <row r="122">
          <cell r="F122" t="str">
            <v>B08FMLPKY9</v>
          </cell>
          <cell r="G122" t="str">
            <v>P201UTP004</v>
          </cell>
          <cell r="H122">
            <v>83</v>
          </cell>
          <cell r="I122">
            <v>1552.45</v>
          </cell>
        </row>
        <row r="123">
          <cell r="F123" t="str">
            <v>B08GS7XW73</v>
          </cell>
          <cell r="G123" t="str">
            <v>P204FER250</v>
          </cell>
          <cell r="H123">
            <v>131</v>
          </cell>
          <cell r="I123">
            <v>2111.81</v>
          </cell>
        </row>
        <row r="124">
          <cell r="F124" t="str">
            <v>B08GSK6C18</v>
          </cell>
          <cell r="G124" t="str">
            <v>P204FER200</v>
          </cell>
          <cell r="H124">
            <v>10</v>
          </cell>
          <cell r="I124">
            <v>180.58</v>
          </cell>
        </row>
        <row r="125">
          <cell r="F125" t="str">
            <v>B08GY7286R</v>
          </cell>
          <cell r="G125" t="str">
            <v>P203TFO001</v>
          </cell>
          <cell r="H125">
            <v>748</v>
          </cell>
          <cell r="I125">
            <v>14353</v>
          </cell>
        </row>
        <row r="126">
          <cell r="F126" t="str">
            <v>B08HCT78N3</v>
          </cell>
          <cell r="G126" t="str">
            <v>P202ASP400</v>
          </cell>
          <cell r="H126">
            <v>47</v>
          </cell>
          <cell r="I126">
            <v>766.57</v>
          </cell>
        </row>
        <row r="127">
          <cell r="F127" t="str">
            <v>B08HN4DPJV</v>
          </cell>
          <cell r="G127" t="str">
            <v>P201UTP003</v>
          </cell>
          <cell r="H127">
            <v>14</v>
          </cell>
          <cell r="I127">
            <v>191.03</v>
          </cell>
        </row>
        <row r="128">
          <cell r="F128" t="str">
            <v>B08JYDDFZ2</v>
          </cell>
          <cell r="G128" t="str">
            <v>C206UTI002</v>
          </cell>
          <cell r="H128">
            <v>520</v>
          </cell>
          <cell r="I128">
            <v>4600.0600000000004</v>
          </cell>
        </row>
        <row r="129">
          <cell r="F129" t="str">
            <v>B08JYWF3PK</v>
          </cell>
          <cell r="G129" t="str">
            <v>C102COC101</v>
          </cell>
          <cell r="H129">
            <v>738</v>
          </cell>
          <cell r="I129">
            <v>5387.4</v>
          </cell>
        </row>
        <row r="130">
          <cell r="F130" t="str">
            <v>B08JZDZTPG</v>
          </cell>
          <cell r="G130" t="str">
            <v>BP.803</v>
          </cell>
          <cell r="H130">
            <v>14</v>
          </cell>
          <cell r="I130">
            <v>188.83</v>
          </cell>
        </row>
        <row r="131">
          <cell r="F131" t="str">
            <v>B08KYZ2FLN</v>
          </cell>
          <cell r="G131" t="str">
            <v>P101FRI001</v>
          </cell>
          <cell r="H131">
            <v>6</v>
          </cell>
          <cell r="I131">
            <v>358.93</v>
          </cell>
        </row>
        <row r="132">
          <cell r="F132" t="str">
            <v>B08L9D9KR9</v>
          </cell>
          <cell r="G132" t="str">
            <v>P202VAL001</v>
          </cell>
          <cell r="H132">
            <v>129</v>
          </cell>
          <cell r="I132">
            <v>6333.63</v>
          </cell>
        </row>
        <row r="133">
          <cell r="F133" t="str">
            <v>B08LDDKBYG</v>
          </cell>
          <cell r="G133" t="str">
            <v>P202VAL002</v>
          </cell>
          <cell r="H133">
            <v>11</v>
          </cell>
          <cell r="I133">
            <v>44.22</v>
          </cell>
        </row>
        <row r="134">
          <cell r="F134" t="str">
            <v>B08LVS1MMY</v>
          </cell>
          <cell r="G134" t="str">
            <v>P202VAL100</v>
          </cell>
          <cell r="H134">
            <v>2</v>
          </cell>
          <cell r="I134">
            <v>32.619999999999997</v>
          </cell>
        </row>
        <row r="135">
          <cell r="F135" t="str">
            <v>B08MM2VK11</v>
          </cell>
          <cell r="G135" t="str">
            <v>P302MAS001</v>
          </cell>
          <cell r="H135">
            <v>1</v>
          </cell>
          <cell r="I135">
            <v>29.32</v>
          </cell>
        </row>
        <row r="136">
          <cell r="F136" t="str">
            <v>B08MX1SQKC</v>
          </cell>
          <cell r="G136" t="str">
            <v>P302VIS001</v>
          </cell>
          <cell r="H136">
            <v>115</v>
          </cell>
          <cell r="I136">
            <v>1404.15</v>
          </cell>
        </row>
        <row r="137">
          <cell r="F137" t="str">
            <v>B08NF8TQKT</v>
          </cell>
          <cell r="G137" t="str">
            <v>P102FRU100</v>
          </cell>
          <cell r="H137">
            <v>12</v>
          </cell>
          <cell r="I137">
            <v>266.54000000000002</v>
          </cell>
        </row>
        <row r="138">
          <cell r="F138" t="str">
            <v>B08V4VTTQN</v>
          </cell>
          <cell r="G138" t="str">
            <v>C107UTT001</v>
          </cell>
          <cell r="H138">
            <v>6</v>
          </cell>
          <cell r="I138">
            <v>40.840000000000003</v>
          </cell>
        </row>
        <row r="139">
          <cell r="F139" t="str">
            <v>B08XVV3PVK</v>
          </cell>
          <cell r="G139" t="str">
            <v>P303MED001</v>
          </cell>
          <cell r="H139">
            <v>0</v>
          </cell>
          <cell r="I139">
            <v>0</v>
          </cell>
        </row>
        <row r="140">
          <cell r="F140" t="str">
            <v>B08XWBGJHR</v>
          </cell>
          <cell r="G140" t="str">
            <v>P101PIA002</v>
          </cell>
          <cell r="H140">
            <v>0</v>
          </cell>
          <cell r="I140">
            <v>0</v>
          </cell>
        </row>
        <row r="141">
          <cell r="F141" t="str">
            <v>B09146GTKW</v>
          </cell>
          <cell r="G141" t="str">
            <v>P302VIS002</v>
          </cell>
          <cell r="H141">
            <v>936</v>
          </cell>
          <cell r="I141">
            <v>7590.96</v>
          </cell>
        </row>
        <row r="142">
          <cell r="F142" t="str">
            <v>B091C5XQZN</v>
          </cell>
          <cell r="G142" t="str">
            <v>P202ASP001</v>
          </cell>
          <cell r="H142">
            <v>1</v>
          </cell>
          <cell r="I142">
            <v>65.489999999999995</v>
          </cell>
        </row>
        <row r="143">
          <cell r="F143" t="str">
            <v>B091LRR67V</v>
          </cell>
          <cell r="G143" t="str">
            <v>P101FRI050</v>
          </cell>
          <cell r="H143">
            <v>61</v>
          </cell>
          <cell r="I143">
            <v>3994.89</v>
          </cell>
        </row>
        <row r="144">
          <cell r="F144" t="str">
            <v>B091VSY78C</v>
          </cell>
          <cell r="G144" t="str">
            <v>P303BIP050</v>
          </cell>
          <cell r="H144">
            <v>1</v>
          </cell>
          <cell r="I144">
            <v>20.41</v>
          </cell>
        </row>
        <row r="145">
          <cell r="F145" t="str">
            <v>B09251R9RJ</v>
          </cell>
          <cell r="G145" t="str">
            <v>P304CAP001</v>
          </cell>
          <cell r="H145">
            <v>5</v>
          </cell>
          <cell r="I145">
            <v>81.55</v>
          </cell>
        </row>
        <row r="146">
          <cell r="F146" t="str">
            <v>B0929CVW7Q</v>
          </cell>
          <cell r="G146" t="str">
            <v>P206ZAN110</v>
          </cell>
          <cell r="H146">
            <v>4</v>
          </cell>
          <cell r="I146">
            <v>48.84</v>
          </cell>
        </row>
        <row r="147">
          <cell r="F147" t="str">
            <v>B092J2RHL8</v>
          </cell>
          <cell r="G147" t="str">
            <v>P206ZAN200</v>
          </cell>
          <cell r="H147">
            <v>8</v>
          </cell>
          <cell r="I147">
            <v>64.88</v>
          </cell>
        </row>
        <row r="148">
          <cell r="F148" t="str">
            <v>B092JNYG6Z</v>
          </cell>
          <cell r="G148" t="str">
            <v>P204CAL201</v>
          </cell>
          <cell r="H148">
            <v>1</v>
          </cell>
          <cell r="I148">
            <v>8.11</v>
          </cell>
        </row>
        <row r="149">
          <cell r="F149" t="str">
            <v>B092QXCQ8K</v>
          </cell>
          <cell r="G149" t="str">
            <v>P205DIF001</v>
          </cell>
          <cell r="H149">
            <v>33</v>
          </cell>
          <cell r="I149">
            <v>483.66</v>
          </cell>
        </row>
        <row r="150">
          <cell r="F150" t="str">
            <v>B09495C38F</v>
          </cell>
          <cell r="G150" t="str">
            <v>P204FER002</v>
          </cell>
          <cell r="H150">
            <v>199</v>
          </cell>
          <cell r="I150">
            <v>3072.76</v>
          </cell>
        </row>
        <row r="151">
          <cell r="F151" t="str">
            <v>B0953R2W31</v>
          </cell>
          <cell r="G151" t="str">
            <v>P102ACP001</v>
          </cell>
          <cell r="H151">
            <v>72</v>
          </cell>
          <cell r="I151">
            <v>878.14</v>
          </cell>
        </row>
        <row r="152">
          <cell r="F152" t="str">
            <v>B095PQJGKX</v>
          </cell>
          <cell r="G152" t="str">
            <v>C107UTT002</v>
          </cell>
          <cell r="H152">
            <v>444</v>
          </cell>
          <cell r="I152">
            <v>3600.84</v>
          </cell>
        </row>
        <row r="153">
          <cell r="F153" t="str">
            <v>B095WCSSLC</v>
          </cell>
          <cell r="G153" t="str">
            <v>C301ABE101</v>
          </cell>
          <cell r="H153">
            <v>51</v>
          </cell>
          <cell r="I153">
            <v>372.3</v>
          </cell>
        </row>
        <row r="154">
          <cell r="F154" t="str">
            <v>B095X9KDJR</v>
          </cell>
          <cell r="G154" t="str">
            <v>P101BOL100</v>
          </cell>
          <cell r="H154">
            <v>67</v>
          </cell>
          <cell r="I154">
            <v>1092.77</v>
          </cell>
        </row>
        <row r="155">
          <cell r="F155" t="str">
            <v>B096KVY46G</v>
          </cell>
          <cell r="G155" t="str">
            <v>P303MED050</v>
          </cell>
          <cell r="H155">
            <v>57</v>
          </cell>
          <cell r="I155">
            <v>493.55</v>
          </cell>
        </row>
        <row r="156">
          <cell r="F156" t="str">
            <v>B096MX229M</v>
          </cell>
          <cell r="G156" t="str">
            <v>P102ROB050</v>
          </cell>
          <cell r="H156">
            <v>396</v>
          </cell>
          <cell r="I156">
            <v>4835.16</v>
          </cell>
        </row>
        <row r="157">
          <cell r="F157" t="str">
            <v>B096SVXQDX</v>
          </cell>
          <cell r="G157" t="str">
            <v>P201UTP011</v>
          </cell>
          <cell r="H157">
            <v>9</v>
          </cell>
          <cell r="I157">
            <v>94.5</v>
          </cell>
        </row>
        <row r="158">
          <cell r="F158" t="str">
            <v>B0978ZKW4S</v>
          </cell>
          <cell r="G158" t="str">
            <v>P205DIF100</v>
          </cell>
          <cell r="H158">
            <v>31</v>
          </cell>
          <cell r="I158">
            <v>372.63</v>
          </cell>
        </row>
        <row r="159">
          <cell r="F159" t="str">
            <v>B097HRQNRG</v>
          </cell>
          <cell r="G159" t="str">
            <v>P101FRI100</v>
          </cell>
          <cell r="H159">
            <v>34</v>
          </cell>
          <cell r="I159">
            <v>972.74</v>
          </cell>
        </row>
        <row r="160">
          <cell r="F160" t="str">
            <v>B097YTGFH7</v>
          </cell>
          <cell r="G160" t="str">
            <v>P102ROB200</v>
          </cell>
          <cell r="H160">
            <v>1</v>
          </cell>
          <cell r="I160">
            <v>65.489999999999995</v>
          </cell>
        </row>
        <row r="161">
          <cell r="F161" t="str">
            <v>B098F33WBD</v>
          </cell>
          <cell r="G161" t="str">
            <v>RCO4091819</v>
          </cell>
          <cell r="H161">
            <v>1</v>
          </cell>
          <cell r="I161">
            <v>4.0199999999999996</v>
          </cell>
        </row>
        <row r="162">
          <cell r="F162" t="str">
            <v>B09968BKDS</v>
          </cell>
          <cell r="G162" t="str">
            <v>P102FRU003</v>
          </cell>
          <cell r="H162">
            <v>4</v>
          </cell>
          <cell r="I162">
            <v>58.55</v>
          </cell>
        </row>
        <row r="163">
          <cell r="F163" t="str">
            <v>B09B2NT2SV</v>
          </cell>
          <cell r="G163" t="str">
            <v>P102FRU150</v>
          </cell>
          <cell r="H163">
            <v>2</v>
          </cell>
          <cell r="I163">
            <v>65.400000000000006</v>
          </cell>
        </row>
        <row r="164">
          <cell r="F164" t="str">
            <v>B09B47S644</v>
          </cell>
          <cell r="G164" t="str">
            <v>P101CUD501</v>
          </cell>
          <cell r="H164">
            <v>1</v>
          </cell>
          <cell r="I164">
            <v>28.61</v>
          </cell>
        </row>
        <row r="165">
          <cell r="F165" t="str">
            <v>B09BD8BG34</v>
          </cell>
          <cell r="G165" t="str">
            <v>P301PIS001</v>
          </cell>
          <cell r="H165">
            <v>181</v>
          </cell>
          <cell r="I165">
            <v>1913.17</v>
          </cell>
        </row>
        <row r="166">
          <cell r="F166" t="str">
            <v>B09BG1GGSM</v>
          </cell>
          <cell r="G166" t="str">
            <v>P204FER003</v>
          </cell>
          <cell r="H166">
            <v>3</v>
          </cell>
          <cell r="I166">
            <v>72.06</v>
          </cell>
        </row>
        <row r="167">
          <cell r="F167" t="str">
            <v>B09C2K1HQW</v>
          </cell>
          <cell r="G167" t="str">
            <v>P302MAS050</v>
          </cell>
          <cell r="H167">
            <v>1</v>
          </cell>
          <cell r="I167">
            <v>106.36</v>
          </cell>
        </row>
        <row r="168">
          <cell r="F168" t="str">
            <v>B09D8G2H7Q</v>
          </cell>
          <cell r="G168" t="str">
            <v>P102SBA500</v>
          </cell>
          <cell r="H168">
            <v>15</v>
          </cell>
          <cell r="I168">
            <v>1322.86</v>
          </cell>
        </row>
        <row r="169">
          <cell r="F169" t="str">
            <v>B09HMK8JDN</v>
          </cell>
          <cell r="G169" t="str">
            <v>P203TER001</v>
          </cell>
          <cell r="H169">
            <v>10</v>
          </cell>
          <cell r="I169">
            <v>729.5</v>
          </cell>
        </row>
        <row r="170">
          <cell r="F170" t="str">
            <v>B09HQN1LQ2</v>
          </cell>
          <cell r="G170" t="str">
            <v>P203TER100</v>
          </cell>
          <cell r="H170">
            <v>1</v>
          </cell>
          <cell r="I170">
            <v>57.3</v>
          </cell>
        </row>
        <row r="171">
          <cell r="F171" t="str">
            <v>B09KYD9JGY</v>
          </cell>
          <cell r="G171" t="str">
            <v>P301PIS100</v>
          </cell>
          <cell r="H171">
            <v>78</v>
          </cell>
          <cell r="I171">
            <v>1591.98</v>
          </cell>
        </row>
        <row r="172">
          <cell r="F172" t="str">
            <v>B09L4SLDSZ</v>
          </cell>
          <cell r="G172" t="str">
            <v>P203TFO100</v>
          </cell>
          <cell r="H172">
            <v>48</v>
          </cell>
          <cell r="I172">
            <v>1176.48</v>
          </cell>
        </row>
        <row r="173">
          <cell r="F173" t="str">
            <v>B09LHXJXQL</v>
          </cell>
          <cell r="G173" t="str">
            <v>P102SBA007</v>
          </cell>
          <cell r="H173">
            <v>16</v>
          </cell>
          <cell r="I173">
            <v>324.88</v>
          </cell>
        </row>
        <row r="174">
          <cell r="F174" t="str">
            <v>B09MFYXGV9</v>
          </cell>
          <cell r="G174" t="str">
            <v>P101FRI012</v>
          </cell>
          <cell r="H174">
            <v>4</v>
          </cell>
          <cell r="I174">
            <v>488.52</v>
          </cell>
        </row>
        <row r="175">
          <cell r="F175" t="str">
            <v>B09MKJBD92</v>
          </cell>
          <cell r="G175" t="str">
            <v>CP.007</v>
          </cell>
          <cell r="H175">
            <v>-1</v>
          </cell>
          <cell r="I175">
            <v>-4.0199999999999996</v>
          </cell>
        </row>
        <row r="176">
          <cell r="F176" t="str">
            <v>B09MS5H54V</v>
          </cell>
          <cell r="G176" t="str">
            <v>P101TOS502</v>
          </cell>
          <cell r="H176">
            <v>1</v>
          </cell>
          <cell r="I176">
            <v>56.5</v>
          </cell>
        </row>
        <row r="177">
          <cell r="F177" t="str">
            <v>B09NBXYF5J</v>
          </cell>
          <cell r="G177" t="str">
            <v>P101TOS002</v>
          </cell>
          <cell r="H177">
            <v>24</v>
          </cell>
          <cell r="I177">
            <v>519.37</v>
          </cell>
        </row>
        <row r="178">
          <cell r="F178" t="str">
            <v>B09VQLJ1WK</v>
          </cell>
          <cell r="G178" t="str">
            <v>P204FER004</v>
          </cell>
          <cell r="H178">
            <v>1</v>
          </cell>
          <cell r="I178">
            <v>22.13</v>
          </cell>
        </row>
        <row r="179">
          <cell r="F179" t="str">
            <v>B09XR94HF8</v>
          </cell>
          <cell r="G179" t="str">
            <v>C301ACC001</v>
          </cell>
          <cell r="H179">
            <v>1</v>
          </cell>
          <cell r="I179">
            <v>30.37</v>
          </cell>
        </row>
        <row r="180">
          <cell r="F180" t="str">
            <v>B09Y9DBPK5</v>
          </cell>
          <cell r="G180" t="str">
            <v>P101CUD300</v>
          </cell>
          <cell r="H180">
            <v>10</v>
          </cell>
          <cell r="I180">
            <v>729.5</v>
          </cell>
        </row>
        <row r="181">
          <cell r="F181" t="str">
            <v>B09ZBHJ91Q</v>
          </cell>
          <cell r="G181" t="str">
            <v>P201UTP100</v>
          </cell>
          <cell r="H181">
            <v>77</v>
          </cell>
          <cell r="I181">
            <v>944.27</v>
          </cell>
        </row>
        <row r="182">
          <cell r="F182" t="str">
            <v>B0B2F48ZMP</v>
          </cell>
          <cell r="G182" t="str">
            <v>P102GEL100</v>
          </cell>
          <cell r="H182">
            <v>13</v>
          </cell>
          <cell r="I182">
            <v>499.72</v>
          </cell>
        </row>
        <row r="183">
          <cell r="F183" t="str">
            <v>B0B2SB1ZQL</v>
          </cell>
          <cell r="G183" t="str">
            <v>P102EST100</v>
          </cell>
          <cell r="H183">
            <v>7</v>
          </cell>
          <cell r="I183">
            <v>169.11</v>
          </cell>
        </row>
        <row r="184">
          <cell r="F184" t="str">
            <v>B0B39H1Z8J</v>
          </cell>
          <cell r="G184" t="str">
            <v>C106CAS001</v>
          </cell>
          <cell r="H184">
            <v>1038</v>
          </cell>
          <cell r="I184">
            <v>8418.18</v>
          </cell>
        </row>
        <row r="185">
          <cell r="F185" t="str">
            <v>B0B3N9ZNT2</v>
          </cell>
          <cell r="G185" t="str">
            <v>P101CUD051</v>
          </cell>
          <cell r="H185">
            <v>17</v>
          </cell>
          <cell r="I185">
            <v>555.9</v>
          </cell>
        </row>
        <row r="186">
          <cell r="F186" t="str">
            <v>B0B5XB4X2T</v>
          </cell>
          <cell r="G186" t="str">
            <v>P102ACP100</v>
          </cell>
          <cell r="H186">
            <v>69</v>
          </cell>
          <cell r="I186">
            <v>1125.3900000000001</v>
          </cell>
        </row>
        <row r="187">
          <cell r="F187" t="str">
            <v>B0B6JKJNCP</v>
          </cell>
          <cell r="G187" t="str">
            <v>P201UTP201</v>
          </cell>
          <cell r="H187">
            <v>13</v>
          </cell>
          <cell r="I187">
            <v>212.03</v>
          </cell>
        </row>
        <row r="188">
          <cell r="F188" t="str">
            <v>B0B6JPXDN6</v>
          </cell>
          <cell r="G188" t="str">
            <v>P201UTP200</v>
          </cell>
          <cell r="H188">
            <v>54</v>
          </cell>
          <cell r="I188">
            <v>880.74</v>
          </cell>
        </row>
        <row r="189">
          <cell r="F189" t="str">
            <v>B0B7WVD9L3</v>
          </cell>
          <cell r="G189" t="str">
            <v>P205DIF050</v>
          </cell>
          <cell r="H189">
            <v>2</v>
          </cell>
          <cell r="I189">
            <v>78.63</v>
          </cell>
        </row>
        <row r="190">
          <cell r="F190" t="str">
            <v>B0B887SKJ1</v>
          </cell>
          <cell r="G190" t="str">
            <v>P102SBA008</v>
          </cell>
          <cell r="H190">
            <v>3</v>
          </cell>
          <cell r="I190">
            <v>48.93</v>
          </cell>
        </row>
        <row r="191">
          <cell r="F191" t="str">
            <v>B0B8DLSNJF</v>
          </cell>
          <cell r="G191" t="str">
            <v>P302VIS050</v>
          </cell>
          <cell r="H191">
            <v>47</v>
          </cell>
          <cell r="I191">
            <v>766.57</v>
          </cell>
        </row>
        <row r="192">
          <cell r="F192" t="str">
            <v>B0B94FL5H8</v>
          </cell>
          <cell r="G192" t="str">
            <v>PE.387</v>
          </cell>
          <cell r="H192">
            <v>30</v>
          </cell>
          <cell r="I192">
            <v>243.3</v>
          </cell>
        </row>
        <row r="193">
          <cell r="F193" t="str">
            <v>B0BBH12BYN</v>
          </cell>
          <cell r="G193" t="str">
            <v>P101COS001</v>
          </cell>
          <cell r="H193">
            <v>9</v>
          </cell>
          <cell r="I193">
            <v>810.72</v>
          </cell>
        </row>
        <row r="194">
          <cell r="F194" t="str">
            <v>B0BD4VX5JB</v>
          </cell>
          <cell r="G194" t="str">
            <v>P203PAN002</v>
          </cell>
          <cell r="H194">
            <v>32</v>
          </cell>
          <cell r="I194">
            <v>2620.48</v>
          </cell>
        </row>
        <row r="195">
          <cell r="F195" t="str">
            <v>B0BD83RNDG</v>
          </cell>
          <cell r="G195" t="str">
            <v>C106CAS002</v>
          </cell>
          <cell r="H195">
            <v>174</v>
          </cell>
          <cell r="I195">
            <v>1839.18</v>
          </cell>
        </row>
        <row r="196">
          <cell r="F196" t="str">
            <v>B0BFS7CYLQ</v>
          </cell>
          <cell r="G196" t="str">
            <v>P101CUD052</v>
          </cell>
          <cell r="H196">
            <v>5</v>
          </cell>
          <cell r="I196">
            <v>184</v>
          </cell>
        </row>
        <row r="197">
          <cell r="F197" t="str">
            <v>B0BHHV552D</v>
          </cell>
          <cell r="G197" t="str">
            <v>P203TER201</v>
          </cell>
          <cell r="H197">
            <v>-2</v>
          </cell>
          <cell r="I197">
            <v>-32.619999999999997</v>
          </cell>
        </row>
        <row r="198">
          <cell r="F198" t="str">
            <v>B0BHTBMNX8</v>
          </cell>
          <cell r="G198" t="str">
            <v>P101CUD250</v>
          </cell>
          <cell r="H198">
            <v>6</v>
          </cell>
          <cell r="I198">
            <v>164.54</v>
          </cell>
        </row>
        <row r="199">
          <cell r="F199" t="str">
            <v>B0BJ2DC3KX</v>
          </cell>
          <cell r="G199" t="str">
            <v>P101FRI080</v>
          </cell>
          <cell r="H199">
            <v>1</v>
          </cell>
          <cell r="I199">
            <v>141.35</v>
          </cell>
        </row>
        <row r="200">
          <cell r="F200" t="str">
            <v>B0BJ2TBPJW</v>
          </cell>
          <cell r="G200" t="str">
            <v>C206UTI004</v>
          </cell>
          <cell r="H200">
            <v>395</v>
          </cell>
          <cell r="I200">
            <v>1615.55</v>
          </cell>
        </row>
        <row r="201">
          <cell r="F201" t="str">
            <v>B0BJL1Z674</v>
          </cell>
          <cell r="G201" t="str">
            <v>C102SPE001</v>
          </cell>
          <cell r="H201">
            <v>9</v>
          </cell>
          <cell r="I201">
            <v>36.18</v>
          </cell>
        </row>
        <row r="202">
          <cell r="F202" t="str">
            <v>B0BKGZC9YH</v>
          </cell>
          <cell r="G202" t="str">
            <v>C301ABE200</v>
          </cell>
          <cell r="H202">
            <v>7</v>
          </cell>
          <cell r="I202">
            <v>45.85</v>
          </cell>
        </row>
        <row r="203">
          <cell r="F203" t="str">
            <v>B0BNNH9RZQ</v>
          </cell>
          <cell r="G203" t="str">
            <v>P302VIS060</v>
          </cell>
          <cell r="H203">
            <v>46</v>
          </cell>
          <cell r="I203">
            <v>486.22</v>
          </cell>
        </row>
        <row r="204">
          <cell r="F204" t="str">
            <v>B0BRQB2J4B</v>
          </cell>
          <cell r="G204" t="str">
            <v>PET005</v>
          </cell>
          <cell r="H204">
            <v>39</v>
          </cell>
          <cell r="I204">
            <v>156.78</v>
          </cell>
        </row>
        <row r="205">
          <cell r="F205" t="str">
            <v>Totale complessivo</v>
          </cell>
          <cell r="H205">
            <v>21467</v>
          </cell>
          <cell r="I205">
            <v>329286.4899999997</v>
          </cell>
        </row>
      </sheetData>
      <sheetData sheetId="4">
        <row r="1">
          <cell r="F1" t="str">
            <v>Codice marketplace</v>
          </cell>
          <cell r="G1" t="str">
            <v>IT</v>
          </cell>
        </row>
        <row r="3">
          <cell r="F3" t="str">
            <v>ASIN</v>
          </cell>
          <cell r="G3" t="str">
            <v>Numero del modello</v>
          </cell>
          <cell r="H3" t="str">
            <v>Somma di Unità ordinate</v>
          </cell>
          <cell r="I3" t="str">
            <v>Somma di Ricavi ordini</v>
          </cell>
        </row>
        <row r="4">
          <cell r="F4" t="str">
            <v>B0050IHH4E</v>
          </cell>
          <cell r="G4" t="str">
            <v>40.979</v>
          </cell>
          <cell r="H4">
            <v>311</v>
          </cell>
          <cell r="I4">
            <v>4876.26</v>
          </cell>
        </row>
        <row r="5">
          <cell r="F5" t="str">
            <v>B00BH202XK</v>
          </cell>
          <cell r="G5" t="str">
            <v>40.808A</v>
          </cell>
          <cell r="H5">
            <v>1</v>
          </cell>
          <cell r="I5">
            <v>13.85</v>
          </cell>
        </row>
        <row r="6">
          <cell r="F6" t="str">
            <v>B00EYDRS1I</v>
          </cell>
          <cell r="G6" t="str">
            <v>90.349</v>
          </cell>
          <cell r="H6">
            <v>17</v>
          </cell>
          <cell r="I6">
            <v>102.19</v>
          </cell>
        </row>
        <row r="7">
          <cell r="F7" t="str">
            <v>B00FFBFVG2</v>
          </cell>
          <cell r="G7" t="str">
            <v>40.100</v>
          </cell>
          <cell r="H7">
            <v>0</v>
          </cell>
          <cell r="I7">
            <v>0</v>
          </cell>
        </row>
        <row r="8">
          <cell r="F8" t="str">
            <v>B00J7MNQFS</v>
          </cell>
          <cell r="G8" t="str">
            <v>40.994</v>
          </cell>
          <cell r="H8">
            <v>3</v>
          </cell>
          <cell r="I8">
            <v>61.3</v>
          </cell>
        </row>
        <row r="9">
          <cell r="F9" t="str">
            <v>B00L5GPWFG</v>
          </cell>
          <cell r="G9" t="str">
            <v>40.120</v>
          </cell>
          <cell r="H9">
            <v>3</v>
          </cell>
          <cell r="I9">
            <v>73.53</v>
          </cell>
        </row>
        <row r="10">
          <cell r="F10" t="str">
            <v>B00L5H5KUW</v>
          </cell>
          <cell r="G10" t="str">
            <v>40.121</v>
          </cell>
          <cell r="H10">
            <v>424</v>
          </cell>
          <cell r="I10">
            <v>7577.95</v>
          </cell>
        </row>
        <row r="11">
          <cell r="F11" t="str">
            <v>B00NSNZSLM</v>
          </cell>
          <cell r="G11" t="str">
            <v>90.602</v>
          </cell>
          <cell r="H11">
            <v>0</v>
          </cell>
          <cell r="I11">
            <v>0</v>
          </cell>
        </row>
        <row r="12">
          <cell r="F12" t="str">
            <v>B00OKE4RTM</v>
          </cell>
          <cell r="G12" t="str">
            <v>90.386</v>
          </cell>
          <cell r="H12">
            <v>3</v>
          </cell>
          <cell r="I12">
            <v>147.35</v>
          </cell>
        </row>
        <row r="13">
          <cell r="F13" t="str">
            <v>B00OLZPU5K</v>
          </cell>
          <cell r="G13" t="str">
            <v>40.947</v>
          </cell>
          <cell r="H13">
            <v>1</v>
          </cell>
          <cell r="I13">
            <v>10.57</v>
          </cell>
        </row>
        <row r="14">
          <cell r="F14" t="str">
            <v>B011LFVLW8</v>
          </cell>
          <cell r="G14" t="str">
            <v>90.620</v>
          </cell>
          <cell r="H14">
            <v>24</v>
          </cell>
          <cell r="I14">
            <v>784.8</v>
          </cell>
        </row>
        <row r="15">
          <cell r="F15" t="str">
            <v>B011LH9V8M</v>
          </cell>
          <cell r="G15" t="str">
            <v>40.958V</v>
          </cell>
          <cell r="H15">
            <v>1</v>
          </cell>
          <cell r="I15">
            <v>6.73</v>
          </cell>
        </row>
        <row r="16">
          <cell r="F16" t="str">
            <v>B016MWFVIU</v>
          </cell>
          <cell r="G16" t="str">
            <v>40.761</v>
          </cell>
          <cell r="H16">
            <v>1</v>
          </cell>
          <cell r="I16">
            <v>16.309999999999999</v>
          </cell>
        </row>
        <row r="17">
          <cell r="F17" t="str">
            <v>B017IUJA50</v>
          </cell>
          <cell r="G17" t="str">
            <v>90.920G</v>
          </cell>
          <cell r="H17">
            <v>274</v>
          </cell>
          <cell r="I17">
            <v>4464.6099999999997</v>
          </cell>
        </row>
        <row r="18">
          <cell r="F18" t="str">
            <v>B01CHW1L88</v>
          </cell>
          <cell r="G18" t="str">
            <v>PE.001</v>
          </cell>
          <cell r="H18">
            <v>1</v>
          </cell>
          <cell r="I18">
            <v>9.5399999999999991</v>
          </cell>
        </row>
        <row r="19">
          <cell r="F19" t="str">
            <v>B01CNX71NA</v>
          </cell>
          <cell r="G19" t="str">
            <v>90.871</v>
          </cell>
          <cell r="H19">
            <v>5</v>
          </cell>
          <cell r="I19">
            <v>572.22</v>
          </cell>
        </row>
        <row r="20">
          <cell r="F20" t="str">
            <v>B01HM47LF8</v>
          </cell>
          <cell r="G20" t="str">
            <v>MD.004</v>
          </cell>
          <cell r="H20">
            <v>2</v>
          </cell>
          <cell r="I20">
            <v>6.98</v>
          </cell>
        </row>
        <row r="21">
          <cell r="F21" t="str">
            <v>B01I497WWM</v>
          </cell>
          <cell r="G21" t="str">
            <v>90.920R</v>
          </cell>
          <cell r="H21">
            <v>2</v>
          </cell>
          <cell r="I21">
            <v>32.619999999999997</v>
          </cell>
        </row>
        <row r="22">
          <cell r="F22" t="str">
            <v>B01IHGX2HQ</v>
          </cell>
          <cell r="G22" t="str">
            <v>MD.104</v>
          </cell>
          <cell r="H22">
            <v>13</v>
          </cell>
          <cell r="I22">
            <v>50.63</v>
          </cell>
        </row>
        <row r="23">
          <cell r="F23" t="str">
            <v>B01II7S968</v>
          </cell>
          <cell r="G23" t="str">
            <v>MD.217</v>
          </cell>
          <cell r="H23">
            <v>3</v>
          </cell>
          <cell r="I23">
            <v>18.149999999999999</v>
          </cell>
        </row>
        <row r="24">
          <cell r="F24" t="str">
            <v>B01KMJ9OXW</v>
          </cell>
          <cell r="G24" t="str">
            <v>90.590Y</v>
          </cell>
          <cell r="H24">
            <v>0</v>
          </cell>
          <cell r="I24">
            <v>0</v>
          </cell>
        </row>
        <row r="25">
          <cell r="F25" t="str">
            <v>B01M4O6145</v>
          </cell>
          <cell r="G25" t="str">
            <v>90.071</v>
          </cell>
          <cell r="H25">
            <v>43</v>
          </cell>
          <cell r="I25">
            <v>877.63</v>
          </cell>
        </row>
        <row r="26">
          <cell r="F26" t="str">
            <v>B01MTSEGF9</v>
          </cell>
          <cell r="G26" t="str">
            <v>50.700</v>
          </cell>
          <cell r="H26">
            <v>0</v>
          </cell>
          <cell r="I26">
            <v>0</v>
          </cell>
        </row>
        <row r="27">
          <cell r="F27" t="str">
            <v>B06XPK3BTC</v>
          </cell>
          <cell r="G27" t="str">
            <v>40.450GO</v>
          </cell>
          <cell r="H27">
            <v>2</v>
          </cell>
          <cell r="I27">
            <v>29.04</v>
          </cell>
        </row>
        <row r="28">
          <cell r="F28" t="str">
            <v>B06XPYSCGJ</v>
          </cell>
          <cell r="G28" t="str">
            <v>40.939</v>
          </cell>
          <cell r="H28">
            <v>3</v>
          </cell>
          <cell r="I28">
            <v>11.67</v>
          </cell>
        </row>
        <row r="29">
          <cell r="F29" t="str">
            <v>B06Y17FS6D</v>
          </cell>
          <cell r="G29" t="str">
            <v>90.550</v>
          </cell>
          <cell r="H29">
            <v>197</v>
          </cell>
          <cell r="I29">
            <v>5475.75</v>
          </cell>
        </row>
        <row r="30">
          <cell r="F30" t="str">
            <v>B06Y1997YH</v>
          </cell>
          <cell r="G30" t="str">
            <v>90.883</v>
          </cell>
          <cell r="H30">
            <v>30</v>
          </cell>
          <cell r="I30">
            <v>1743.72</v>
          </cell>
        </row>
        <row r="31">
          <cell r="F31" t="str">
            <v>B073B57HQH</v>
          </cell>
          <cell r="G31" t="str">
            <v>90.886</v>
          </cell>
          <cell r="H31">
            <v>0</v>
          </cell>
          <cell r="I31">
            <v>0</v>
          </cell>
        </row>
        <row r="32">
          <cell r="F32" t="str">
            <v>B073B67PLQ</v>
          </cell>
          <cell r="G32" t="str">
            <v>90.884</v>
          </cell>
          <cell r="H32">
            <v>21</v>
          </cell>
          <cell r="I32">
            <v>1715.37</v>
          </cell>
        </row>
        <row r="33">
          <cell r="F33" t="str">
            <v>B0757TJRR9</v>
          </cell>
          <cell r="G33" t="str">
            <v>40.500</v>
          </cell>
          <cell r="H33">
            <v>0</v>
          </cell>
          <cell r="I33">
            <v>0</v>
          </cell>
        </row>
        <row r="34">
          <cell r="F34" t="str">
            <v>B075K5C2QG</v>
          </cell>
          <cell r="G34" t="str">
            <v>RI.201</v>
          </cell>
          <cell r="H34">
            <v>2</v>
          </cell>
          <cell r="I34">
            <v>39.33</v>
          </cell>
        </row>
        <row r="35">
          <cell r="F35" t="str">
            <v>B075RF5S3N</v>
          </cell>
          <cell r="G35" t="str">
            <v>BC.160A</v>
          </cell>
          <cell r="H35">
            <v>8</v>
          </cell>
          <cell r="I35">
            <v>187.22</v>
          </cell>
        </row>
        <row r="36">
          <cell r="F36" t="str">
            <v>B076DC4VWG</v>
          </cell>
          <cell r="G36" t="str">
            <v>40.501</v>
          </cell>
          <cell r="H36">
            <v>2</v>
          </cell>
          <cell r="I36">
            <v>49.02</v>
          </cell>
        </row>
        <row r="37">
          <cell r="F37" t="str">
            <v>B076DCF8PV</v>
          </cell>
          <cell r="G37" t="str">
            <v>BB.102</v>
          </cell>
          <cell r="H37">
            <v>1</v>
          </cell>
          <cell r="I37">
            <v>20.41</v>
          </cell>
        </row>
        <row r="38">
          <cell r="F38" t="str">
            <v>B076DCKSTJ</v>
          </cell>
          <cell r="G38" t="str">
            <v>BT.602H</v>
          </cell>
          <cell r="H38">
            <v>4</v>
          </cell>
          <cell r="I38">
            <v>81.64</v>
          </cell>
        </row>
        <row r="39">
          <cell r="F39" t="str">
            <v>B076DCL19C</v>
          </cell>
          <cell r="G39" t="str">
            <v>BP.720</v>
          </cell>
          <cell r="H39">
            <v>19</v>
          </cell>
          <cell r="I39">
            <v>910.1</v>
          </cell>
        </row>
        <row r="40">
          <cell r="F40" t="str">
            <v>B076Q7BR6F</v>
          </cell>
          <cell r="G40" t="str">
            <v>BC.041N</v>
          </cell>
          <cell r="H40">
            <v>14</v>
          </cell>
          <cell r="I40">
            <v>584.30999999999995</v>
          </cell>
        </row>
        <row r="41">
          <cell r="F41" t="str">
            <v>B076QCMZX1</v>
          </cell>
          <cell r="G41" t="str">
            <v>40.821</v>
          </cell>
          <cell r="H41">
            <v>103</v>
          </cell>
          <cell r="I41">
            <v>1257.6300000000001</v>
          </cell>
        </row>
        <row r="42">
          <cell r="F42" t="str">
            <v>B076QFRRZ5</v>
          </cell>
          <cell r="G42" t="str">
            <v>40.931</v>
          </cell>
          <cell r="H42">
            <v>57</v>
          </cell>
          <cell r="I42">
            <v>818.58</v>
          </cell>
        </row>
        <row r="43">
          <cell r="F43" t="str">
            <v>B079SB5VJZ</v>
          </cell>
          <cell r="G43" t="str">
            <v>50451</v>
          </cell>
          <cell r="H43">
            <v>13</v>
          </cell>
          <cell r="I43">
            <v>572.62</v>
          </cell>
        </row>
        <row r="44">
          <cell r="F44" t="str">
            <v>B07B9CPH62</v>
          </cell>
          <cell r="G44" t="str">
            <v>BG.200Y</v>
          </cell>
          <cell r="H44">
            <v>2</v>
          </cell>
          <cell r="I44">
            <v>98.2</v>
          </cell>
        </row>
        <row r="45">
          <cell r="F45" t="str">
            <v>B07BHCZR84</v>
          </cell>
          <cell r="G45" t="str">
            <v>BA.200Y</v>
          </cell>
          <cell r="H45">
            <v>47</v>
          </cell>
          <cell r="I45">
            <v>573.23</v>
          </cell>
        </row>
        <row r="46">
          <cell r="F46" t="str">
            <v>B07F187NFQ</v>
          </cell>
          <cell r="G46" t="str">
            <v>50.900</v>
          </cell>
          <cell r="H46">
            <v>8</v>
          </cell>
          <cell r="I46">
            <v>29.05</v>
          </cell>
        </row>
        <row r="47">
          <cell r="F47" t="str">
            <v>B07HHDSJHM</v>
          </cell>
          <cell r="G47" t="str">
            <v>BI.504</v>
          </cell>
          <cell r="H47">
            <v>0</v>
          </cell>
          <cell r="I47">
            <v>0</v>
          </cell>
        </row>
        <row r="48">
          <cell r="F48" t="str">
            <v>B07HM7P6MP</v>
          </cell>
          <cell r="G48" t="str">
            <v>RI.080</v>
          </cell>
          <cell r="H48">
            <v>0</v>
          </cell>
          <cell r="I48">
            <v>0</v>
          </cell>
        </row>
        <row r="49">
          <cell r="F49" t="str">
            <v>B07JGVMFY1</v>
          </cell>
          <cell r="G49" t="str">
            <v>BP.581</v>
          </cell>
          <cell r="H49">
            <v>3</v>
          </cell>
          <cell r="I49">
            <v>44.01</v>
          </cell>
        </row>
        <row r="50">
          <cell r="F50" t="str">
            <v>B07KYWNC7Z</v>
          </cell>
          <cell r="G50" t="str">
            <v>40.405</v>
          </cell>
          <cell r="H50">
            <v>21</v>
          </cell>
          <cell r="I50">
            <v>464.25</v>
          </cell>
        </row>
        <row r="51">
          <cell r="F51" t="str">
            <v>B07N4C3H3V</v>
          </cell>
          <cell r="G51" t="str">
            <v>40.405</v>
          </cell>
          <cell r="H51">
            <v>-15</v>
          </cell>
          <cell r="I51">
            <v>-173.9</v>
          </cell>
        </row>
        <row r="52">
          <cell r="F52" t="str">
            <v>B07NNZSW1W</v>
          </cell>
          <cell r="G52" t="str">
            <v>BT.110</v>
          </cell>
          <cell r="H52">
            <v>4</v>
          </cell>
          <cell r="I52">
            <v>67.67</v>
          </cell>
        </row>
        <row r="53">
          <cell r="F53" t="str">
            <v>B07NQ1T7YK</v>
          </cell>
          <cell r="G53" t="str">
            <v>BP.101H</v>
          </cell>
          <cell r="H53">
            <v>215</v>
          </cell>
          <cell r="I53">
            <v>2737.71</v>
          </cell>
        </row>
        <row r="54">
          <cell r="F54" t="str">
            <v>B07NQC6S9V</v>
          </cell>
          <cell r="G54" t="str">
            <v>BT.651Y</v>
          </cell>
          <cell r="H54">
            <v>9</v>
          </cell>
          <cell r="I54">
            <v>331.2</v>
          </cell>
        </row>
        <row r="55">
          <cell r="F55" t="str">
            <v>B07P7L18T9</v>
          </cell>
          <cell r="G55" t="str">
            <v>40.102</v>
          </cell>
          <cell r="H55">
            <v>2</v>
          </cell>
          <cell r="I55">
            <v>29.58</v>
          </cell>
        </row>
        <row r="56">
          <cell r="F56" t="str">
            <v>B07Q38Z7CK</v>
          </cell>
          <cell r="G56" t="str">
            <v>BC.060</v>
          </cell>
          <cell r="H56">
            <v>59</v>
          </cell>
          <cell r="I56">
            <v>1245.32</v>
          </cell>
        </row>
        <row r="57">
          <cell r="F57" t="str">
            <v>B07QX1RJRH</v>
          </cell>
          <cell r="G57" t="str">
            <v>40.742</v>
          </cell>
          <cell r="H57">
            <v>4</v>
          </cell>
          <cell r="I57">
            <v>95.19</v>
          </cell>
        </row>
        <row r="58">
          <cell r="F58" t="str">
            <v>B07SSLRCT6</v>
          </cell>
          <cell r="G58" t="str">
            <v>BP.304</v>
          </cell>
          <cell r="H58">
            <v>97</v>
          </cell>
          <cell r="I58">
            <v>1343.45</v>
          </cell>
        </row>
        <row r="59">
          <cell r="F59" t="str">
            <v>B07TQVD94L</v>
          </cell>
          <cell r="G59" t="str">
            <v>BP.690</v>
          </cell>
          <cell r="H59">
            <v>42</v>
          </cell>
          <cell r="I59">
            <v>1029.42</v>
          </cell>
        </row>
        <row r="60">
          <cell r="F60" t="str">
            <v>B07TSNB5WG</v>
          </cell>
          <cell r="G60" t="str">
            <v>BP.102</v>
          </cell>
          <cell r="H60">
            <v>0</v>
          </cell>
          <cell r="I60">
            <v>0</v>
          </cell>
        </row>
        <row r="61">
          <cell r="F61" t="str">
            <v>B07TSNCJ5J</v>
          </cell>
          <cell r="G61" t="str">
            <v>BP.800</v>
          </cell>
          <cell r="H61">
            <v>31</v>
          </cell>
          <cell r="I61">
            <v>339.39</v>
          </cell>
        </row>
        <row r="62">
          <cell r="F62" t="str">
            <v>B07TWX2L8N</v>
          </cell>
          <cell r="G62" t="str">
            <v>40.361</v>
          </cell>
          <cell r="H62">
            <v>8</v>
          </cell>
          <cell r="I62">
            <v>43.28</v>
          </cell>
        </row>
        <row r="63">
          <cell r="F63" t="str">
            <v>B07V131F5W</v>
          </cell>
          <cell r="G63" t="str">
            <v>40.490</v>
          </cell>
          <cell r="H63">
            <v>11</v>
          </cell>
          <cell r="I63">
            <v>268.77</v>
          </cell>
        </row>
        <row r="64">
          <cell r="F64" t="str">
            <v>B07W7S9KYM</v>
          </cell>
          <cell r="G64" t="str">
            <v>BB.200</v>
          </cell>
          <cell r="H64">
            <v>27</v>
          </cell>
          <cell r="I64">
            <v>1070.5</v>
          </cell>
        </row>
        <row r="65">
          <cell r="F65" t="str">
            <v>B07Y3XHMMV</v>
          </cell>
          <cell r="G65" t="str">
            <v>BP.604</v>
          </cell>
          <cell r="H65">
            <v>2</v>
          </cell>
          <cell r="I65">
            <v>38.74</v>
          </cell>
        </row>
        <row r="66">
          <cell r="F66" t="str">
            <v>B07YBM3P68</v>
          </cell>
          <cell r="G66" t="str">
            <v>RI.096</v>
          </cell>
          <cell r="H66">
            <v>0</v>
          </cell>
          <cell r="I66">
            <v>0</v>
          </cell>
        </row>
        <row r="67">
          <cell r="F67" t="str">
            <v>B07YBNPZPJ</v>
          </cell>
          <cell r="G67" t="str">
            <v>BP.552</v>
          </cell>
          <cell r="H67">
            <v>9</v>
          </cell>
          <cell r="I67">
            <v>207.39</v>
          </cell>
        </row>
        <row r="68">
          <cell r="F68" t="str">
            <v>B07YZZZVXP</v>
          </cell>
          <cell r="G68" t="str">
            <v>MD.404</v>
          </cell>
          <cell r="H68">
            <v>-6</v>
          </cell>
          <cell r="I68">
            <v>-377.07</v>
          </cell>
        </row>
        <row r="69">
          <cell r="F69" t="str">
            <v>B07ZJMFB3R</v>
          </cell>
          <cell r="G69" t="str">
            <v>BC.510</v>
          </cell>
          <cell r="H69">
            <v>27</v>
          </cell>
          <cell r="I69">
            <v>1547.1</v>
          </cell>
        </row>
        <row r="70">
          <cell r="F70" t="str">
            <v>B07ZJQTGG8</v>
          </cell>
          <cell r="G70" t="str">
            <v>50.245</v>
          </cell>
          <cell r="H70">
            <v>638</v>
          </cell>
          <cell r="I70">
            <v>8094.4</v>
          </cell>
        </row>
        <row r="71">
          <cell r="F71" t="str">
            <v>B081QRX1K7</v>
          </cell>
          <cell r="G71" t="str">
            <v>40.473</v>
          </cell>
          <cell r="H71">
            <v>4</v>
          </cell>
          <cell r="I71">
            <v>92.26</v>
          </cell>
        </row>
        <row r="72">
          <cell r="F72" t="str">
            <v>B08485QRVZ</v>
          </cell>
          <cell r="G72" t="str">
            <v>BC.261</v>
          </cell>
          <cell r="H72">
            <v>0</v>
          </cell>
          <cell r="I72">
            <v>0</v>
          </cell>
        </row>
        <row r="73">
          <cell r="F73" t="str">
            <v>B084C3JTC2</v>
          </cell>
          <cell r="G73" t="str">
            <v>40.406</v>
          </cell>
          <cell r="H73">
            <v>11</v>
          </cell>
          <cell r="I73">
            <v>277.98</v>
          </cell>
        </row>
        <row r="74">
          <cell r="F74" t="str">
            <v>B084PN7WPZ</v>
          </cell>
          <cell r="G74" t="str">
            <v>XUADA001</v>
          </cell>
          <cell r="H74">
            <v>7</v>
          </cell>
          <cell r="I74">
            <v>34.369999999999997</v>
          </cell>
        </row>
        <row r="75">
          <cell r="F75" t="str">
            <v>B084TG23R3</v>
          </cell>
          <cell r="G75" t="str">
            <v>C102BOT001</v>
          </cell>
          <cell r="H75">
            <v>0</v>
          </cell>
          <cell r="I75">
            <v>0</v>
          </cell>
        </row>
        <row r="76">
          <cell r="F76" t="str">
            <v>B084TG4594</v>
          </cell>
          <cell r="G76" t="str">
            <v>C102BOT003</v>
          </cell>
          <cell r="H76">
            <v>16</v>
          </cell>
          <cell r="I76">
            <v>104.8</v>
          </cell>
        </row>
        <row r="77">
          <cell r="F77" t="str">
            <v>B084TGLFLM</v>
          </cell>
          <cell r="G77" t="str">
            <v>C102BOT002</v>
          </cell>
          <cell r="H77">
            <v>30</v>
          </cell>
          <cell r="I77">
            <v>196.5</v>
          </cell>
        </row>
        <row r="78">
          <cell r="F78" t="str">
            <v>B084TGLSDV</v>
          </cell>
          <cell r="G78" t="str">
            <v>C102BOT004</v>
          </cell>
          <cell r="H78">
            <v>118</v>
          </cell>
          <cell r="I78">
            <v>694.56</v>
          </cell>
        </row>
        <row r="79">
          <cell r="F79" t="str">
            <v>B085JHSTQS</v>
          </cell>
          <cell r="G79" t="str">
            <v>P206VEN410</v>
          </cell>
          <cell r="H79">
            <v>0</v>
          </cell>
          <cell r="I79">
            <v>0</v>
          </cell>
        </row>
        <row r="80">
          <cell r="F80" t="str">
            <v>B085JHSWJH</v>
          </cell>
          <cell r="G80" t="str">
            <v>BP.802</v>
          </cell>
          <cell r="H80">
            <v>15</v>
          </cell>
          <cell r="I80">
            <v>218.39</v>
          </cell>
        </row>
        <row r="81">
          <cell r="F81" t="str">
            <v>B085JHSWJW</v>
          </cell>
          <cell r="G81" t="str">
            <v>RCOBP630</v>
          </cell>
          <cell r="H81">
            <v>3</v>
          </cell>
          <cell r="I81">
            <v>21.44</v>
          </cell>
        </row>
        <row r="82">
          <cell r="F82" t="str">
            <v>B085JHTR6Q</v>
          </cell>
          <cell r="G82" t="str">
            <v>BP.790</v>
          </cell>
          <cell r="H82">
            <v>9</v>
          </cell>
          <cell r="I82">
            <v>220.36</v>
          </cell>
        </row>
        <row r="83">
          <cell r="F83" t="str">
            <v>B085JHZT67</v>
          </cell>
          <cell r="G83" t="str">
            <v>P206VEN420</v>
          </cell>
          <cell r="H83">
            <v>6</v>
          </cell>
          <cell r="I83">
            <v>97.86</v>
          </cell>
        </row>
        <row r="84">
          <cell r="F84" t="str">
            <v>B085JJ81R7</v>
          </cell>
          <cell r="G84" t="str">
            <v>RCO9003028</v>
          </cell>
          <cell r="H84">
            <v>66</v>
          </cell>
          <cell r="I84">
            <v>427.54</v>
          </cell>
        </row>
        <row r="85">
          <cell r="F85" t="str">
            <v>B085JJ8RC6</v>
          </cell>
          <cell r="G85" t="str">
            <v>BB.050</v>
          </cell>
          <cell r="H85">
            <v>4</v>
          </cell>
          <cell r="I85">
            <v>58.68</v>
          </cell>
        </row>
        <row r="86">
          <cell r="F86" t="str">
            <v>B085JJ9J4N</v>
          </cell>
          <cell r="G86" t="str">
            <v>P206RAF200</v>
          </cell>
          <cell r="H86">
            <v>2</v>
          </cell>
          <cell r="I86">
            <v>40.82</v>
          </cell>
        </row>
        <row r="87">
          <cell r="F87" t="str">
            <v>B085JJFLGY</v>
          </cell>
          <cell r="G87" t="str">
            <v>RCO9003022</v>
          </cell>
          <cell r="H87">
            <v>19</v>
          </cell>
          <cell r="I87">
            <v>123.39</v>
          </cell>
        </row>
        <row r="88">
          <cell r="F88" t="str">
            <v>B085R2GCKX</v>
          </cell>
          <cell r="G88" t="str">
            <v>40.332</v>
          </cell>
          <cell r="H88">
            <v>207</v>
          </cell>
          <cell r="I88">
            <v>2982.05</v>
          </cell>
        </row>
        <row r="89">
          <cell r="F89" t="str">
            <v>B088PKV3VL</v>
          </cell>
          <cell r="G89" t="str">
            <v>P206VEN300</v>
          </cell>
          <cell r="H89">
            <v>-1</v>
          </cell>
          <cell r="I89">
            <v>-32.700000000000003</v>
          </cell>
        </row>
        <row r="90">
          <cell r="F90" t="str">
            <v>B088V4DR59</v>
          </cell>
          <cell r="G90" t="str">
            <v>P206ZAN040</v>
          </cell>
          <cell r="H90">
            <v>4</v>
          </cell>
          <cell r="I90">
            <v>206.9</v>
          </cell>
        </row>
        <row r="91">
          <cell r="F91" t="str">
            <v>B088XJQ37J</v>
          </cell>
          <cell r="G91" t="str">
            <v>C301ABE001</v>
          </cell>
          <cell r="H91">
            <v>32</v>
          </cell>
          <cell r="I91">
            <v>390.72</v>
          </cell>
        </row>
        <row r="92">
          <cell r="F92" t="str">
            <v>B08B66J4C3</v>
          </cell>
          <cell r="G92" t="str">
            <v>P101PIA001</v>
          </cell>
          <cell r="H92">
            <v>0</v>
          </cell>
          <cell r="I92">
            <v>0</v>
          </cell>
        </row>
        <row r="93">
          <cell r="F93" t="str">
            <v>B08B8M2B7B</v>
          </cell>
          <cell r="G93" t="str">
            <v>P102EST001</v>
          </cell>
          <cell r="H93">
            <v>15</v>
          </cell>
          <cell r="I93">
            <v>490.5</v>
          </cell>
        </row>
        <row r="94">
          <cell r="F94" t="str">
            <v>B08C7YJB5N</v>
          </cell>
          <cell r="G94" t="str">
            <v>P201UTP001</v>
          </cell>
          <cell r="H94">
            <v>3</v>
          </cell>
          <cell r="I94">
            <v>31.71</v>
          </cell>
        </row>
        <row r="95">
          <cell r="F95" t="str">
            <v>B08DHZDXVV</v>
          </cell>
          <cell r="G95" t="str">
            <v>P102SBA100</v>
          </cell>
          <cell r="H95">
            <v>2</v>
          </cell>
          <cell r="I95">
            <v>44.1</v>
          </cell>
        </row>
        <row r="96">
          <cell r="F96" t="str">
            <v>B08DJ3K9J8</v>
          </cell>
          <cell r="G96" t="str">
            <v>p102rob100</v>
          </cell>
          <cell r="H96">
            <v>5</v>
          </cell>
          <cell r="I96">
            <v>48.75</v>
          </cell>
        </row>
        <row r="97">
          <cell r="F97" t="str">
            <v>B08FDYW72J</v>
          </cell>
          <cell r="G97" t="str">
            <v>P101CUD100</v>
          </cell>
          <cell r="H97">
            <v>16</v>
          </cell>
          <cell r="I97">
            <v>392.16</v>
          </cell>
        </row>
        <row r="98">
          <cell r="F98" t="str">
            <v>B08FF245TD</v>
          </cell>
          <cell r="G98" t="str">
            <v>P101CUD500</v>
          </cell>
          <cell r="H98">
            <v>2</v>
          </cell>
          <cell r="I98">
            <v>55.74</v>
          </cell>
        </row>
        <row r="99">
          <cell r="F99" t="str">
            <v>B08FJGGZ1D</v>
          </cell>
          <cell r="G99" t="str">
            <v>70.405</v>
          </cell>
          <cell r="H99">
            <v>0</v>
          </cell>
          <cell r="I99">
            <v>0</v>
          </cell>
        </row>
        <row r="100">
          <cell r="F100" t="str">
            <v>B08FMLPKY9</v>
          </cell>
          <cell r="G100" t="str">
            <v>P201UTP004</v>
          </cell>
          <cell r="H100">
            <v>13</v>
          </cell>
          <cell r="I100">
            <v>264.29000000000002</v>
          </cell>
        </row>
        <row r="101">
          <cell r="F101" t="str">
            <v>B08GS7XW73</v>
          </cell>
          <cell r="G101" t="str">
            <v>P204FER250</v>
          </cell>
          <cell r="H101">
            <v>32</v>
          </cell>
          <cell r="I101">
            <v>521.91999999999996</v>
          </cell>
        </row>
        <row r="102">
          <cell r="F102" t="str">
            <v>B08GSK6C18</v>
          </cell>
          <cell r="G102" t="str">
            <v>P204FER200</v>
          </cell>
          <cell r="H102">
            <v>20</v>
          </cell>
          <cell r="I102">
            <v>326.2</v>
          </cell>
        </row>
        <row r="103">
          <cell r="F103" t="str">
            <v>B08GY7286R</v>
          </cell>
          <cell r="G103" t="str">
            <v>P203TFO001</v>
          </cell>
          <cell r="H103">
            <v>25</v>
          </cell>
          <cell r="I103">
            <v>356.5</v>
          </cell>
        </row>
        <row r="104">
          <cell r="F104" t="str">
            <v>B08HCT78N3</v>
          </cell>
          <cell r="G104" t="str">
            <v>P202ASP400</v>
          </cell>
          <cell r="H104">
            <v>44</v>
          </cell>
          <cell r="I104">
            <v>465.08</v>
          </cell>
        </row>
        <row r="105">
          <cell r="F105" t="str">
            <v>B08HN4DPJV</v>
          </cell>
          <cell r="G105" t="str">
            <v>P201UTP003</v>
          </cell>
          <cell r="H105">
            <v>2</v>
          </cell>
          <cell r="I105">
            <v>28.25</v>
          </cell>
        </row>
        <row r="106">
          <cell r="F106" t="str">
            <v>B08JYDDFZ2</v>
          </cell>
          <cell r="G106" t="str">
            <v>C206UTI002</v>
          </cell>
          <cell r="H106">
            <v>1</v>
          </cell>
          <cell r="I106">
            <v>13.85</v>
          </cell>
        </row>
        <row r="107">
          <cell r="F107" t="str">
            <v>B08JYWF3PK</v>
          </cell>
          <cell r="G107" t="str">
            <v>C102COC101</v>
          </cell>
          <cell r="H107">
            <v>85</v>
          </cell>
          <cell r="I107">
            <v>765.85</v>
          </cell>
        </row>
        <row r="108">
          <cell r="F108" t="str">
            <v>B08KYZ2FLN</v>
          </cell>
          <cell r="G108" t="str">
            <v>P101FRI001</v>
          </cell>
          <cell r="H108">
            <v>6</v>
          </cell>
          <cell r="I108">
            <v>261.24</v>
          </cell>
        </row>
        <row r="109">
          <cell r="F109" t="str">
            <v>B08L9D9KR9</v>
          </cell>
          <cell r="G109" t="str">
            <v>P202VAL001</v>
          </cell>
          <cell r="H109">
            <v>28</v>
          </cell>
          <cell r="I109">
            <v>1604.4</v>
          </cell>
        </row>
        <row r="110">
          <cell r="F110" t="str">
            <v>B08LDDKBYG</v>
          </cell>
          <cell r="G110" t="str">
            <v>P202VAL002</v>
          </cell>
          <cell r="H110">
            <v>1</v>
          </cell>
          <cell r="I110">
            <v>4.91</v>
          </cell>
        </row>
        <row r="111">
          <cell r="F111" t="str">
            <v>B08LVS1MMY</v>
          </cell>
          <cell r="G111" t="str">
            <v>P202VAL100</v>
          </cell>
          <cell r="H111">
            <v>4</v>
          </cell>
          <cell r="I111">
            <v>65.239999999999995</v>
          </cell>
        </row>
        <row r="112">
          <cell r="F112" t="str">
            <v>B08MM2VK11</v>
          </cell>
          <cell r="G112" t="str">
            <v>P302MAS001</v>
          </cell>
          <cell r="H112">
            <v>2</v>
          </cell>
          <cell r="I112">
            <v>55.32</v>
          </cell>
        </row>
        <row r="113">
          <cell r="F113" t="str">
            <v>B08MX1SQKC</v>
          </cell>
          <cell r="G113" t="str">
            <v>P302VIS001</v>
          </cell>
          <cell r="H113">
            <v>4</v>
          </cell>
          <cell r="I113">
            <v>55.4</v>
          </cell>
        </row>
        <row r="114">
          <cell r="F114" t="str">
            <v>B08NF8TQKT</v>
          </cell>
          <cell r="G114" t="str">
            <v>P102FRU100</v>
          </cell>
          <cell r="H114">
            <v>8</v>
          </cell>
          <cell r="I114">
            <v>174.99</v>
          </cell>
        </row>
        <row r="115">
          <cell r="F115" t="str">
            <v>B08NTD853X</v>
          </cell>
          <cell r="G115" t="str">
            <v>P102SBA006</v>
          </cell>
          <cell r="H115">
            <v>0</v>
          </cell>
          <cell r="I115">
            <v>0</v>
          </cell>
        </row>
        <row r="116">
          <cell r="F116" t="str">
            <v>B08X4VZV3S</v>
          </cell>
          <cell r="G116" t="str">
            <v>P303BIP001</v>
          </cell>
          <cell r="H116">
            <v>0</v>
          </cell>
          <cell r="I116">
            <v>0</v>
          </cell>
        </row>
        <row r="117">
          <cell r="F117" t="str">
            <v>B09146GTKW</v>
          </cell>
          <cell r="G117" t="str">
            <v>P302VIS002</v>
          </cell>
          <cell r="H117">
            <v>421</v>
          </cell>
          <cell r="I117">
            <v>4828.53</v>
          </cell>
        </row>
        <row r="118">
          <cell r="F118" t="str">
            <v>B091LRR67V</v>
          </cell>
          <cell r="G118" t="str">
            <v>P101FRI050</v>
          </cell>
          <cell r="H118">
            <v>6</v>
          </cell>
          <cell r="I118">
            <v>347.46</v>
          </cell>
        </row>
        <row r="119">
          <cell r="F119" t="str">
            <v>B09251R9RJ</v>
          </cell>
          <cell r="G119" t="str">
            <v>P304CAP001</v>
          </cell>
          <cell r="H119">
            <v>0</v>
          </cell>
          <cell r="I119">
            <v>0</v>
          </cell>
        </row>
        <row r="120">
          <cell r="F120" t="str">
            <v>B09294Z7XG</v>
          </cell>
          <cell r="G120" t="str">
            <v>P206ZAN300</v>
          </cell>
          <cell r="H120">
            <v>7</v>
          </cell>
          <cell r="I120">
            <v>73.53</v>
          </cell>
        </row>
        <row r="121">
          <cell r="F121" t="str">
            <v>B092DN1NCS</v>
          </cell>
          <cell r="G121" t="str">
            <v>P206VEN440</v>
          </cell>
          <cell r="H121">
            <v>1</v>
          </cell>
          <cell r="I121">
            <v>7.21</v>
          </cell>
        </row>
        <row r="122">
          <cell r="F122" t="str">
            <v>B092J2RHL8</v>
          </cell>
          <cell r="G122" t="str">
            <v>P206ZAN200</v>
          </cell>
          <cell r="H122">
            <v>2</v>
          </cell>
          <cell r="I122">
            <v>16.38</v>
          </cell>
        </row>
        <row r="123">
          <cell r="F123" t="str">
            <v>B092QXCQ8K</v>
          </cell>
          <cell r="G123" t="str">
            <v>P205DIF001</v>
          </cell>
          <cell r="H123">
            <v>6</v>
          </cell>
          <cell r="I123">
            <v>104.26</v>
          </cell>
        </row>
        <row r="124">
          <cell r="F124" t="str">
            <v>B09495C38F</v>
          </cell>
          <cell r="G124" t="str">
            <v>P204FER002</v>
          </cell>
          <cell r="H124">
            <v>53</v>
          </cell>
          <cell r="I124">
            <v>864.43</v>
          </cell>
        </row>
        <row r="125">
          <cell r="F125" t="str">
            <v>B0953R2W31</v>
          </cell>
          <cell r="G125" t="str">
            <v>P102ACP001</v>
          </cell>
          <cell r="H125">
            <v>10</v>
          </cell>
          <cell r="I125">
            <v>138.18</v>
          </cell>
        </row>
        <row r="126">
          <cell r="F126" t="str">
            <v>B095PQJGKX</v>
          </cell>
          <cell r="G126" t="str">
            <v>C107UTT002</v>
          </cell>
          <cell r="H126">
            <v>95</v>
          </cell>
          <cell r="I126">
            <v>1060.56</v>
          </cell>
        </row>
        <row r="127">
          <cell r="F127" t="str">
            <v>B095WCSSLC</v>
          </cell>
          <cell r="G127" t="str">
            <v>C301ABE101</v>
          </cell>
          <cell r="H127">
            <v>11</v>
          </cell>
          <cell r="I127">
            <v>89.1</v>
          </cell>
        </row>
        <row r="128">
          <cell r="F128" t="str">
            <v>B095X9KDJR</v>
          </cell>
          <cell r="G128" t="str">
            <v>P101BOL100</v>
          </cell>
          <cell r="H128">
            <v>0</v>
          </cell>
          <cell r="I128">
            <v>0</v>
          </cell>
        </row>
        <row r="129">
          <cell r="F129" t="str">
            <v>B096KVY46G</v>
          </cell>
          <cell r="G129" t="str">
            <v>P303MED050</v>
          </cell>
          <cell r="H129">
            <v>2</v>
          </cell>
          <cell r="I129">
            <v>19.3</v>
          </cell>
        </row>
        <row r="130">
          <cell r="F130" t="str">
            <v>B096MX229M</v>
          </cell>
          <cell r="G130" t="str">
            <v>P102ROB050</v>
          </cell>
          <cell r="H130">
            <v>44</v>
          </cell>
          <cell r="I130">
            <v>540.46</v>
          </cell>
        </row>
        <row r="131">
          <cell r="F131" t="str">
            <v>B096SVXQDX</v>
          </cell>
          <cell r="G131" t="str">
            <v>P201UTP011</v>
          </cell>
          <cell r="H131">
            <v>0</v>
          </cell>
          <cell r="I131">
            <v>0</v>
          </cell>
        </row>
        <row r="132">
          <cell r="F132" t="str">
            <v>B0978ZKW4S</v>
          </cell>
          <cell r="G132" t="str">
            <v>P205DIF100</v>
          </cell>
          <cell r="H132">
            <v>25</v>
          </cell>
          <cell r="I132">
            <v>305.25</v>
          </cell>
        </row>
        <row r="133">
          <cell r="F133" t="str">
            <v>B097F45J2B</v>
          </cell>
          <cell r="G133" t="str">
            <v>P102FRU500</v>
          </cell>
          <cell r="H133">
            <v>3</v>
          </cell>
          <cell r="I133">
            <v>88.7</v>
          </cell>
        </row>
        <row r="134">
          <cell r="F134" t="str">
            <v>B097HRQNRG</v>
          </cell>
          <cell r="G134" t="str">
            <v>P101FRI100</v>
          </cell>
          <cell r="H134">
            <v>21</v>
          </cell>
          <cell r="I134">
            <v>600.80999999999995</v>
          </cell>
        </row>
        <row r="135">
          <cell r="F135" t="str">
            <v>B097YTGFH7</v>
          </cell>
          <cell r="G135" t="str">
            <v>P102ROB200</v>
          </cell>
          <cell r="H135">
            <v>2</v>
          </cell>
          <cell r="I135">
            <v>135.21</v>
          </cell>
        </row>
        <row r="136">
          <cell r="F136" t="str">
            <v>B09968BKDS</v>
          </cell>
          <cell r="G136" t="str">
            <v>P102FRU003</v>
          </cell>
          <cell r="H136">
            <v>40</v>
          </cell>
          <cell r="I136">
            <v>560.5</v>
          </cell>
        </row>
        <row r="137">
          <cell r="F137" t="str">
            <v>B09B2NT2SV</v>
          </cell>
          <cell r="G137" t="str">
            <v>P102FRU150</v>
          </cell>
          <cell r="H137">
            <v>2</v>
          </cell>
          <cell r="I137">
            <v>65.400000000000006</v>
          </cell>
        </row>
        <row r="138">
          <cell r="F138" t="str">
            <v>B09B47S644</v>
          </cell>
          <cell r="G138" t="str">
            <v>P101CUD501</v>
          </cell>
          <cell r="H138">
            <v>6</v>
          </cell>
          <cell r="I138">
            <v>159.9</v>
          </cell>
        </row>
        <row r="139">
          <cell r="F139" t="str">
            <v>B09BBFTDLJ</v>
          </cell>
          <cell r="G139" t="str">
            <v>P101TOS501</v>
          </cell>
          <cell r="H139">
            <v>3</v>
          </cell>
          <cell r="I139">
            <v>171.9</v>
          </cell>
        </row>
        <row r="140">
          <cell r="F140" t="str">
            <v>B09BD8BG34</v>
          </cell>
          <cell r="G140" t="str">
            <v>P301PIS001</v>
          </cell>
          <cell r="H140">
            <v>10</v>
          </cell>
          <cell r="I140">
            <v>160.85</v>
          </cell>
        </row>
        <row r="141">
          <cell r="F141" t="str">
            <v>B09BG1GGSM</v>
          </cell>
          <cell r="G141" t="str">
            <v>P204FER003</v>
          </cell>
          <cell r="H141">
            <v>5</v>
          </cell>
          <cell r="I141">
            <v>107.37</v>
          </cell>
        </row>
        <row r="142">
          <cell r="F142" t="str">
            <v>B09D8G2H7Q</v>
          </cell>
          <cell r="G142" t="str">
            <v>P102SBA500</v>
          </cell>
          <cell r="H142">
            <v>4</v>
          </cell>
          <cell r="I142">
            <v>421.36</v>
          </cell>
        </row>
        <row r="143">
          <cell r="F143" t="str">
            <v>B09HMK8JDN</v>
          </cell>
          <cell r="G143" t="str">
            <v>P203TER001</v>
          </cell>
          <cell r="H143">
            <v>4</v>
          </cell>
          <cell r="I143">
            <v>302.36</v>
          </cell>
        </row>
        <row r="144">
          <cell r="F144" t="str">
            <v>B09HQN1LQ2</v>
          </cell>
          <cell r="G144" t="str">
            <v>P203TER100</v>
          </cell>
          <cell r="H144">
            <v>1</v>
          </cell>
          <cell r="I144">
            <v>54.86</v>
          </cell>
        </row>
        <row r="145">
          <cell r="F145" t="str">
            <v>B09KYD9JGY</v>
          </cell>
          <cell r="G145" t="str">
            <v>P301PIS100</v>
          </cell>
          <cell r="H145">
            <v>31</v>
          </cell>
          <cell r="I145">
            <v>734.95</v>
          </cell>
        </row>
        <row r="146">
          <cell r="F146" t="str">
            <v>B09L4SLDSZ</v>
          </cell>
          <cell r="G146" t="str">
            <v>P203TFO100</v>
          </cell>
          <cell r="H146">
            <v>18</v>
          </cell>
          <cell r="I146">
            <v>440.56</v>
          </cell>
        </row>
        <row r="147">
          <cell r="F147" t="str">
            <v>B09LHXJXQL</v>
          </cell>
          <cell r="G147" t="str">
            <v>P102SBA007</v>
          </cell>
          <cell r="H147">
            <v>16</v>
          </cell>
          <cell r="I147">
            <v>278.51</v>
          </cell>
        </row>
        <row r="148">
          <cell r="F148" t="str">
            <v>B09MFYXGV9</v>
          </cell>
          <cell r="G148" t="str">
            <v>P101FRI012</v>
          </cell>
          <cell r="H148">
            <v>1</v>
          </cell>
          <cell r="I148">
            <v>138.52000000000001</v>
          </cell>
        </row>
        <row r="149">
          <cell r="F149" t="str">
            <v>B09MS5H54V</v>
          </cell>
          <cell r="G149" t="str">
            <v>P101TOS502</v>
          </cell>
          <cell r="H149">
            <v>2</v>
          </cell>
          <cell r="I149">
            <v>98.2</v>
          </cell>
        </row>
        <row r="150">
          <cell r="F150" t="str">
            <v>B09NBXYF5J</v>
          </cell>
          <cell r="G150" t="str">
            <v>P101TOS002</v>
          </cell>
          <cell r="H150">
            <v>0</v>
          </cell>
          <cell r="I150">
            <v>0</v>
          </cell>
        </row>
        <row r="151">
          <cell r="F151" t="str">
            <v>B09VQLJ1WK</v>
          </cell>
          <cell r="G151" t="str">
            <v>P204FER004</v>
          </cell>
          <cell r="H151">
            <v>5</v>
          </cell>
          <cell r="I151">
            <v>76.66</v>
          </cell>
        </row>
        <row r="152">
          <cell r="F152" t="str">
            <v>B09ZBHJ91Q</v>
          </cell>
          <cell r="G152" t="str">
            <v>P201UTP100</v>
          </cell>
          <cell r="H152">
            <v>46</v>
          </cell>
          <cell r="I152">
            <v>637.1</v>
          </cell>
        </row>
        <row r="153">
          <cell r="F153" t="str">
            <v>B0B131VWYS</v>
          </cell>
          <cell r="G153" t="str">
            <v>P201UTP020</v>
          </cell>
          <cell r="H153">
            <v>1</v>
          </cell>
          <cell r="I153">
            <v>10.65</v>
          </cell>
        </row>
        <row r="154">
          <cell r="F154" t="str">
            <v>B0B2F48ZMP</v>
          </cell>
          <cell r="G154" t="str">
            <v>P102GEL100</v>
          </cell>
          <cell r="H154">
            <v>2</v>
          </cell>
          <cell r="I154">
            <v>72.52</v>
          </cell>
        </row>
        <row r="155">
          <cell r="F155" t="str">
            <v>B0B2SB1ZQL</v>
          </cell>
          <cell r="G155" t="str">
            <v>P102EST100</v>
          </cell>
          <cell r="H155">
            <v>13</v>
          </cell>
          <cell r="I155">
            <v>356.43</v>
          </cell>
        </row>
        <row r="156">
          <cell r="F156" t="str">
            <v>B0B39H1Z8J</v>
          </cell>
          <cell r="G156" t="str">
            <v>C106CAS001</v>
          </cell>
          <cell r="H156">
            <v>80</v>
          </cell>
          <cell r="I156">
            <v>882.01</v>
          </cell>
        </row>
        <row r="157">
          <cell r="F157" t="str">
            <v>B0B3N9ZNT2</v>
          </cell>
          <cell r="G157" t="str">
            <v>P101CUD051</v>
          </cell>
          <cell r="H157">
            <v>15</v>
          </cell>
          <cell r="I157">
            <v>480.69</v>
          </cell>
        </row>
        <row r="158">
          <cell r="F158" t="str">
            <v>B0B5XB4X2T</v>
          </cell>
          <cell r="G158" t="str">
            <v>P102ACP100</v>
          </cell>
          <cell r="H158">
            <v>9</v>
          </cell>
          <cell r="I158">
            <v>166.71</v>
          </cell>
        </row>
        <row r="159">
          <cell r="F159" t="str">
            <v>B0B6JKJNCP</v>
          </cell>
          <cell r="G159" t="str">
            <v>P201UTP201</v>
          </cell>
          <cell r="H159">
            <v>8</v>
          </cell>
          <cell r="I159">
            <v>150.16</v>
          </cell>
        </row>
        <row r="160">
          <cell r="F160" t="str">
            <v>B0B6JPXDN6</v>
          </cell>
          <cell r="G160" t="str">
            <v>P201UTP200</v>
          </cell>
          <cell r="H160">
            <v>2</v>
          </cell>
          <cell r="I160">
            <v>37.54</v>
          </cell>
        </row>
        <row r="161">
          <cell r="F161" t="str">
            <v>B0B7WVD9L3</v>
          </cell>
          <cell r="G161" t="str">
            <v>P205DIF050</v>
          </cell>
          <cell r="H161">
            <v>7</v>
          </cell>
          <cell r="I161">
            <v>265.66000000000003</v>
          </cell>
        </row>
        <row r="162">
          <cell r="F162" t="str">
            <v>B0B887SKJ1</v>
          </cell>
          <cell r="G162" t="str">
            <v>P102SBA008</v>
          </cell>
          <cell r="H162">
            <v>4</v>
          </cell>
          <cell r="I162">
            <v>52.1</v>
          </cell>
        </row>
        <row r="163">
          <cell r="F163" t="str">
            <v>B0B8DLSNJF</v>
          </cell>
          <cell r="G163" t="str">
            <v>P302VIS050</v>
          </cell>
          <cell r="H163">
            <v>88</v>
          </cell>
          <cell r="I163">
            <v>1419.28</v>
          </cell>
        </row>
        <row r="164">
          <cell r="F164" t="str">
            <v>B0B8JVTQYQ</v>
          </cell>
          <cell r="G164" t="str">
            <v>P101CUD200</v>
          </cell>
          <cell r="H164">
            <v>4</v>
          </cell>
          <cell r="I164">
            <v>180</v>
          </cell>
        </row>
        <row r="165">
          <cell r="F165" t="str">
            <v>B0B94FL5H8</v>
          </cell>
          <cell r="G165" t="str">
            <v>PE.387</v>
          </cell>
          <cell r="H165">
            <v>9</v>
          </cell>
          <cell r="I165">
            <v>72.989999999999995</v>
          </cell>
        </row>
        <row r="166">
          <cell r="F166" t="str">
            <v>B0BBH12BYN</v>
          </cell>
          <cell r="G166" t="str">
            <v>P101COS001</v>
          </cell>
          <cell r="H166">
            <v>83</v>
          </cell>
          <cell r="I166">
            <v>7189.97</v>
          </cell>
        </row>
        <row r="167">
          <cell r="F167" t="str">
            <v>B0BD4VX5JB</v>
          </cell>
          <cell r="G167" t="str">
            <v>P203PAN002</v>
          </cell>
          <cell r="H167">
            <v>9</v>
          </cell>
          <cell r="I167">
            <v>889.57</v>
          </cell>
        </row>
        <row r="168">
          <cell r="F168" t="str">
            <v>B0BD83RNDG</v>
          </cell>
          <cell r="G168" t="str">
            <v>C106CAS002</v>
          </cell>
          <cell r="H168">
            <v>89</v>
          </cell>
          <cell r="I168">
            <v>981.68</v>
          </cell>
        </row>
        <row r="169">
          <cell r="F169" t="str">
            <v>B0BFS7CYLQ</v>
          </cell>
          <cell r="G169" t="str">
            <v>P101CUD052</v>
          </cell>
          <cell r="H169">
            <v>4</v>
          </cell>
          <cell r="I169">
            <v>163.6</v>
          </cell>
        </row>
        <row r="170">
          <cell r="F170" t="str">
            <v>B0BHHV552D</v>
          </cell>
          <cell r="G170" t="str">
            <v>P203TER201</v>
          </cell>
          <cell r="H170">
            <v>191</v>
          </cell>
          <cell r="I170">
            <v>3115.15</v>
          </cell>
        </row>
        <row r="171">
          <cell r="F171" t="str">
            <v>B0BHTBMNX8</v>
          </cell>
          <cell r="G171" t="str">
            <v>P101CUD250</v>
          </cell>
          <cell r="H171">
            <v>8</v>
          </cell>
          <cell r="I171">
            <v>350.79</v>
          </cell>
        </row>
        <row r="172">
          <cell r="F172" t="str">
            <v>B0BJ2DC3KX</v>
          </cell>
          <cell r="G172" t="str">
            <v>P101FRI080</v>
          </cell>
          <cell r="H172">
            <v>3</v>
          </cell>
          <cell r="I172">
            <v>439.05</v>
          </cell>
        </row>
        <row r="173">
          <cell r="F173" t="str">
            <v>B0BJ2TBPJW</v>
          </cell>
          <cell r="G173" t="str">
            <v>C206UTI004</v>
          </cell>
          <cell r="H173">
            <v>410</v>
          </cell>
          <cell r="I173">
            <v>2011.5</v>
          </cell>
        </row>
        <row r="174">
          <cell r="F174" t="str">
            <v>B0BJL1Z674</v>
          </cell>
          <cell r="G174" t="str">
            <v>C102SPE001</v>
          </cell>
          <cell r="H174">
            <v>29</v>
          </cell>
          <cell r="I174">
            <v>171.8</v>
          </cell>
        </row>
        <row r="175">
          <cell r="F175" t="str">
            <v>B0BKGZC9YH</v>
          </cell>
          <cell r="G175" t="str">
            <v>C301ABE200</v>
          </cell>
          <cell r="H175">
            <v>10</v>
          </cell>
          <cell r="I175">
            <v>47.53</v>
          </cell>
        </row>
        <row r="176">
          <cell r="F176" t="str">
            <v>B0BNNH9RZQ</v>
          </cell>
          <cell r="G176" t="str">
            <v>P302VIS060</v>
          </cell>
          <cell r="H176">
            <v>165</v>
          </cell>
          <cell r="I176">
            <v>1835.74</v>
          </cell>
        </row>
        <row r="177">
          <cell r="F177" t="str">
            <v>B0BTHSH5MK</v>
          </cell>
          <cell r="G177" t="str">
            <v>C103ACC001</v>
          </cell>
          <cell r="H177">
            <v>188</v>
          </cell>
          <cell r="I177">
            <v>1742.62</v>
          </cell>
        </row>
        <row r="178">
          <cell r="F178" t="str">
            <v>B0BVBY1RWS</v>
          </cell>
          <cell r="G178" t="str">
            <v>P206VEN550</v>
          </cell>
          <cell r="H178">
            <v>8</v>
          </cell>
          <cell r="I178">
            <v>327.2</v>
          </cell>
        </row>
        <row r="179">
          <cell r="F179" t="str">
            <v>B0BVZG7FPY</v>
          </cell>
          <cell r="G179" t="str">
            <v>P206VEN600</v>
          </cell>
          <cell r="H179">
            <v>41</v>
          </cell>
          <cell r="I179">
            <v>1665.99</v>
          </cell>
        </row>
        <row r="180">
          <cell r="F180" t="str">
            <v>B0BWS8WNS9</v>
          </cell>
          <cell r="G180" t="str">
            <v>P206ZAN250</v>
          </cell>
          <cell r="H180">
            <v>1</v>
          </cell>
          <cell r="I180">
            <v>13.85</v>
          </cell>
        </row>
        <row r="181">
          <cell r="F181" t="str">
            <v>B0BWSFLRWN</v>
          </cell>
          <cell r="G181" t="str">
            <v>P206VEN151</v>
          </cell>
          <cell r="H181">
            <v>12</v>
          </cell>
          <cell r="I181">
            <v>349.1</v>
          </cell>
        </row>
        <row r="182">
          <cell r="F182" t="str">
            <v>B0BYZTG56X</v>
          </cell>
          <cell r="G182" t="str">
            <v>P201UTP101</v>
          </cell>
          <cell r="H182">
            <v>4</v>
          </cell>
          <cell r="I182">
            <v>114.44</v>
          </cell>
        </row>
        <row r="183">
          <cell r="F183" t="str">
            <v>B0C154W8S4</v>
          </cell>
          <cell r="G183" t="str">
            <v>P206VEN450</v>
          </cell>
          <cell r="H183">
            <v>4</v>
          </cell>
          <cell r="I183">
            <v>75.5</v>
          </cell>
        </row>
        <row r="184">
          <cell r="F184" t="str">
            <v>B0C28S79G8</v>
          </cell>
          <cell r="G184" t="str">
            <v>P206VEN430</v>
          </cell>
          <cell r="H184">
            <v>1</v>
          </cell>
          <cell r="I184">
            <v>9.42</v>
          </cell>
        </row>
        <row r="185">
          <cell r="F185" t="str">
            <v>B0C94Q6QZ9</v>
          </cell>
          <cell r="G185" t="str">
            <v>P101TOS100</v>
          </cell>
          <cell r="H185">
            <v>203</v>
          </cell>
          <cell r="I185">
            <v>4050.65</v>
          </cell>
        </row>
        <row r="186">
          <cell r="F186" t="str">
            <v>B0C9V6YP8X</v>
          </cell>
          <cell r="G186" t="str">
            <v>C301ABE002</v>
          </cell>
          <cell r="H186">
            <v>26</v>
          </cell>
          <cell r="I186">
            <v>136.34</v>
          </cell>
        </row>
        <row r="187">
          <cell r="F187" t="str">
            <v>B0CC5QZ9CJ</v>
          </cell>
          <cell r="G187" t="str">
            <v>C206UTI006</v>
          </cell>
          <cell r="H187">
            <v>23</v>
          </cell>
          <cell r="I187">
            <v>150.65</v>
          </cell>
        </row>
        <row r="188">
          <cell r="F188" t="str">
            <v>B0CFB71DMN</v>
          </cell>
          <cell r="G188" t="str">
            <v>C203PUL004</v>
          </cell>
          <cell r="H188">
            <v>277</v>
          </cell>
          <cell r="I188">
            <v>1566.85</v>
          </cell>
        </row>
        <row r="189">
          <cell r="F189" t="str">
            <v>B0CHF7YW6B</v>
          </cell>
          <cell r="G189" t="str">
            <v>P203PAN010</v>
          </cell>
          <cell r="H189">
            <v>253</v>
          </cell>
          <cell r="I189">
            <v>6394.47</v>
          </cell>
        </row>
        <row r="190">
          <cell r="F190" t="str">
            <v>B0CHFQXMZX</v>
          </cell>
          <cell r="G190" t="str">
            <v>P203PAN001</v>
          </cell>
          <cell r="H190">
            <v>354</v>
          </cell>
          <cell r="I190">
            <v>4902.8999999999996</v>
          </cell>
        </row>
        <row r="191">
          <cell r="F191" t="str">
            <v>B0CHFVXXND</v>
          </cell>
          <cell r="G191" t="str">
            <v>P203TER010</v>
          </cell>
          <cell r="H191">
            <v>3</v>
          </cell>
          <cell r="I191">
            <v>185.15</v>
          </cell>
        </row>
        <row r="192">
          <cell r="F192" t="str">
            <v>B0CHWMFNNT</v>
          </cell>
          <cell r="G192" t="str">
            <v>P202ASP250</v>
          </cell>
          <cell r="H192">
            <v>3</v>
          </cell>
          <cell r="I192">
            <v>122.7</v>
          </cell>
        </row>
        <row r="193">
          <cell r="F193" t="str">
            <v>B0CHYQJ6F5</v>
          </cell>
          <cell r="G193" t="str">
            <v>P202ASP300</v>
          </cell>
          <cell r="H193">
            <v>4</v>
          </cell>
          <cell r="I193">
            <v>228.9</v>
          </cell>
        </row>
        <row r="194">
          <cell r="F194" t="str">
            <v>B0CLVR5JN6</v>
          </cell>
          <cell r="G194" t="str">
            <v>P201UTP112</v>
          </cell>
          <cell r="H194">
            <v>0</v>
          </cell>
          <cell r="I194">
            <v>0</v>
          </cell>
        </row>
        <row r="195">
          <cell r="F195" t="str">
            <v>B0CLVS3FH6</v>
          </cell>
          <cell r="G195" t="str">
            <v>P201UTP111</v>
          </cell>
          <cell r="H195">
            <v>50</v>
          </cell>
          <cell r="I195">
            <v>815.5</v>
          </cell>
        </row>
        <row r="196">
          <cell r="F196" t="str">
            <v>B0CLY2CF4T</v>
          </cell>
          <cell r="G196" t="str">
            <v>P201UTP113</v>
          </cell>
          <cell r="H196">
            <v>-3</v>
          </cell>
          <cell r="I196">
            <v>-48.93</v>
          </cell>
        </row>
        <row r="197">
          <cell r="F197" t="str">
            <v>B0CMHZ2WNV</v>
          </cell>
          <cell r="G197" t="str">
            <v>P101FRI051</v>
          </cell>
          <cell r="H197">
            <v>48</v>
          </cell>
          <cell r="I197">
            <v>2356.8000000000002</v>
          </cell>
        </row>
        <row r="198">
          <cell r="F198" t="str">
            <v>B0CPFRMPTM</v>
          </cell>
          <cell r="G198" t="str">
            <v>P101CAF001</v>
          </cell>
          <cell r="H198">
            <v>382</v>
          </cell>
          <cell r="I198">
            <v>9465.85</v>
          </cell>
        </row>
        <row r="199">
          <cell r="F199" t="str">
            <v>Totale complessivo</v>
          </cell>
          <cell r="H199">
            <v>7751</v>
          </cell>
          <cell r="I199">
            <v>134126.27000000002</v>
          </cell>
        </row>
      </sheetData>
      <sheetData sheetId="5">
        <row r="1">
          <cell r="E1" t="str">
            <v>sales-channel</v>
          </cell>
          <cell r="F1" t="str">
            <v>Amazon.it</v>
          </cell>
        </row>
        <row r="3">
          <cell r="E3" t="str">
            <v>Etichette di riga</v>
          </cell>
          <cell r="F3" t="str">
            <v>Somma di quantity</v>
          </cell>
          <cell r="G3" t="str">
            <v>Somma di item-price</v>
          </cell>
        </row>
        <row r="4">
          <cell r="E4" t="str">
            <v>B0050IHH4E</v>
          </cell>
          <cell r="F4">
            <v>1</v>
          </cell>
          <cell r="G4">
            <v>19.899999999999999</v>
          </cell>
        </row>
        <row r="5">
          <cell r="E5" t="str">
            <v>B00FAJUDU8</v>
          </cell>
          <cell r="F5">
            <v>36</v>
          </cell>
          <cell r="G5">
            <v>1151.9099999999999</v>
          </cell>
        </row>
        <row r="6">
          <cell r="E6" t="str">
            <v>B00NSNZSLM</v>
          </cell>
          <cell r="F6">
            <v>96</v>
          </cell>
          <cell r="G6">
            <v>2882.4000000000051</v>
          </cell>
        </row>
        <row r="7">
          <cell r="E7" t="str">
            <v>B017IUJA50</v>
          </cell>
          <cell r="F7">
            <v>7</v>
          </cell>
          <cell r="G7">
            <v>155.61000000000001</v>
          </cell>
        </row>
        <row r="8">
          <cell r="E8" t="str">
            <v>B01CNX704K</v>
          </cell>
          <cell r="F8">
            <v>5</v>
          </cell>
          <cell r="G8">
            <v>234.5</v>
          </cell>
        </row>
        <row r="9">
          <cell r="E9" t="str">
            <v>B01I497WWM</v>
          </cell>
          <cell r="F9">
            <v>1084</v>
          </cell>
          <cell r="G9">
            <v>21587.91000000016</v>
          </cell>
        </row>
        <row r="10">
          <cell r="E10" t="str">
            <v>B01KMJ9OXW</v>
          </cell>
          <cell r="F10">
            <v>285</v>
          </cell>
          <cell r="G10">
            <v>9936.0199999999477</v>
          </cell>
        </row>
        <row r="11">
          <cell r="E11" t="str">
            <v>B01MTSEGF9</v>
          </cell>
          <cell r="F11">
            <v>20</v>
          </cell>
          <cell r="G11">
            <v>897.99999999999966</v>
          </cell>
        </row>
        <row r="12">
          <cell r="E12" t="str">
            <v>B06Y195DJN</v>
          </cell>
          <cell r="F12">
            <v>31</v>
          </cell>
          <cell r="G12">
            <v>1546.9000000000005</v>
          </cell>
        </row>
        <row r="13">
          <cell r="E13" t="str">
            <v>B0757TJRR9</v>
          </cell>
          <cell r="F13">
            <v>602</v>
          </cell>
          <cell r="G13">
            <v>19788.010000000024</v>
          </cell>
        </row>
        <row r="14">
          <cell r="E14" t="str">
            <v>B075FX6RFP</v>
          </cell>
          <cell r="F14">
            <v>25</v>
          </cell>
          <cell r="G14">
            <v>950.49999999999966</v>
          </cell>
        </row>
        <row r="15">
          <cell r="E15" t="str">
            <v>B076D74TC7</v>
          </cell>
          <cell r="F15">
            <v>4</v>
          </cell>
          <cell r="G15">
            <v>147.96</v>
          </cell>
        </row>
        <row r="16">
          <cell r="E16" t="str">
            <v>B076DCKSTJ</v>
          </cell>
          <cell r="F16">
            <v>144</v>
          </cell>
          <cell r="G16">
            <v>3615.6000000000085</v>
          </cell>
        </row>
        <row r="17">
          <cell r="E17" t="str">
            <v>B076Q7BR6F</v>
          </cell>
          <cell r="F17">
            <v>21</v>
          </cell>
          <cell r="G17">
            <v>1029.8999999999996</v>
          </cell>
        </row>
        <row r="18">
          <cell r="E18" t="str">
            <v>B07BB2DQ4V</v>
          </cell>
          <cell r="F18">
            <v>12</v>
          </cell>
          <cell r="G18">
            <v>478.7999999999999</v>
          </cell>
        </row>
        <row r="19">
          <cell r="E19" t="str">
            <v>B07HM7P6MP</v>
          </cell>
          <cell r="F19">
            <v>21</v>
          </cell>
          <cell r="G19">
            <v>607.89999999999986</v>
          </cell>
        </row>
        <row r="20">
          <cell r="E20" t="str">
            <v>B07N4C3H3V</v>
          </cell>
          <cell r="F20">
            <v>191</v>
          </cell>
          <cell r="G20">
            <v>2840.5200000000095</v>
          </cell>
        </row>
        <row r="21">
          <cell r="E21" t="str">
            <v>B07NQ2VYGD</v>
          </cell>
          <cell r="F21">
            <v>580</v>
          </cell>
          <cell r="G21">
            <v>17328.229999999905</v>
          </cell>
        </row>
        <row r="22">
          <cell r="E22" t="str">
            <v>B07NQC6S9V</v>
          </cell>
          <cell r="F22">
            <v>9</v>
          </cell>
          <cell r="G22">
            <v>435.09999999999991</v>
          </cell>
        </row>
        <row r="23">
          <cell r="E23" t="str">
            <v>B07P7GGGQM</v>
          </cell>
          <cell r="F23">
            <v>10</v>
          </cell>
          <cell r="G23">
            <v>598.99999999999989</v>
          </cell>
        </row>
        <row r="24">
          <cell r="E24" t="str">
            <v>B07TQVD94L</v>
          </cell>
          <cell r="F24">
            <v>3</v>
          </cell>
          <cell r="G24">
            <v>124.69999999999999</v>
          </cell>
        </row>
        <row r="25">
          <cell r="E25" t="str">
            <v>B07TVSJDCL</v>
          </cell>
          <cell r="F25">
            <v>0</v>
          </cell>
          <cell r="G25">
            <v>13.03</v>
          </cell>
        </row>
        <row r="26">
          <cell r="E26" t="str">
            <v>B07V131F5W</v>
          </cell>
          <cell r="F26">
            <v>133</v>
          </cell>
          <cell r="G26">
            <v>3958.7000000000035</v>
          </cell>
        </row>
        <row r="27">
          <cell r="E27" t="str">
            <v>B07W7S9KYM</v>
          </cell>
          <cell r="F27">
            <v>6</v>
          </cell>
          <cell r="G27">
            <v>359.4</v>
          </cell>
        </row>
        <row r="28">
          <cell r="E28" t="str">
            <v>B07YBN2FS3</v>
          </cell>
          <cell r="F28">
            <v>28</v>
          </cell>
          <cell r="G28">
            <v>2237.2000000000007</v>
          </cell>
        </row>
        <row r="29">
          <cell r="E29" t="str">
            <v>B07YBNB2QY</v>
          </cell>
          <cell r="F29">
            <v>1</v>
          </cell>
          <cell r="G29">
            <v>49.9</v>
          </cell>
        </row>
        <row r="30">
          <cell r="E30" t="str">
            <v>B0823CVGHX</v>
          </cell>
          <cell r="F30">
            <v>79</v>
          </cell>
          <cell r="G30">
            <v>4802.1000000000004</v>
          </cell>
        </row>
        <row r="31">
          <cell r="E31" t="str">
            <v>B08485QRVZ</v>
          </cell>
          <cell r="F31">
            <v>69</v>
          </cell>
          <cell r="G31">
            <v>2063.1000000000026</v>
          </cell>
        </row>
        <row r="32">
          <cell r="E32" t="str">
            <v>B08FDYW72J</v>
          </cell>
          <cell r="F32">
            <v>2</v>
          </cell>
          <cell r="G32">
            <v>69.8</v>
          </cell>
        </row>
        <row r="33">
          <cell r="E33" t="str">
            <v>B08GS7XW73</v>
          </cell>
          <cell r="F33">
            <v>1</v>
          </cell>
          <cell r="G33">
            <v>26.9</v>
          </cell>
        </row>
        <row r="34">
          <cell r="E34" t="str">
            <v>B08GY7286R</v>
          </cell>
          <cell r="F34">
            <v>38</v>
          </cell>
          <cell r="G34">
            <v>780.19999999999959</v>
          </cell>
        </row>
        <row r="35">
          <cell r="E35" t="str">
            <v>B08JM7SZ36</v>
          </cell>
          <cell r="F35">
            <v>160</v>
          </cell>
          <cell r="G35">
            <v>6383.9999999999882</v>
          </cell>
        </row>
        <row r="36">
          <cell r="E36" t="str">
            <v>B08JYDDFZ2</v>
          </cell>
          <cell r="F36">
            <v>168</v>
          </cell>
          <cell r="G36">
            <v>2785.2000000000039</v>
          </cell>
        </row>
        <row r="37">
          <cell r="E37" t="str">
            <v>B08KSBDTQD</v>
          </cell>
          <cell r="F37">
            <v>8</v>
          </cell>
          <cell r="G37">
            <v>319.2</v>
          </cell>
        </row>
        <row r="38">
          <cell r="E38" t="str">
            <v>B08LZN1PWY</v>
          </cell>
          <cell r="F38">
            <v>28</v>
          </cell>
          <cell r="G38">
            <v>2201.2000000000007</v>
          </cell>
        </row>
        <row r="39">
          <cell r="E39" t="str">
            <v>B091BRZVZ3</v>
          </cell>
          <cell r="F39">
            <v>1</v>
          </cell>
          <cell r="G39">
            <v>129</v>
          </cell>
        </row>
        <row r="40">
          <cell r="E40" t="str">
            <v>B096MX229M</v>
          </cell>
          <cell r="F40">
            <v>140</v>
          </cell>
          <cell r="G40">
            <v>2042.0000000000045</v>
          </cell>
        </row>
        <row r="41">
          <cell r="E41" t="str">
            <v>B097HRQNRG</v>
          </cell>
          <cell r="F41">
            <v>2</v>
          </cell>
          <cell r="G41">
            <v>75.8</v>
          </cell>
        </row>
        <row r="42">
          <cell r="E42" t="str">
            <v>B09D8G2H7Q</v>
          </cell>
          <cell r="F42">
            <v>1</v>
          </cell>
          <cell r="G42">
            <v>129</v>
          </cell>
        </row>
        <row r="43">
          <cell r="E43" t="str">
            <v>B09LHXJXQL</v>
          </cell>
          <cell r="F43">
            <v>2</v>
          </cell>
          <cell r="G43">
            <v>70.210000000000008</v>
          </cell>
        </row>
        <row r="44">
          <cell r="E44" t="str">
            <v>B09ZBHJ91Q</v>
          </cell>
          <cell r="F44">
            <v>5</v>
          </cell>
          <cell r="G44">
            <v>124.5</v>
          </cell>
        </row>
        <row r="45">
          <cell r="E45" t="str">
            <v>B0B6JPXDN6</v>
          </cell>
          <cell r="F45">
            <v>29</v>
          </cell>
          <cell r="G45">
            <v>577.09999999999968</v>
          </cell>
        </row>
        <row r="46">
          <cell r="E46" t="str">
            <v>B0B8DLSNJF</v>
          </cell>
          <cell r="F46">
            <v>9</v>
          </cell>
          <cell r="G46">
            <v>201.10000000000002</v>
          </cell>
        </row>
        <row r="47">
          <cell r="E47" t="str">
            <v>B0CLVR5JN6</v>
          </cell>
          <cell r="F47">
            <v>25</v>
          </cell>
          <cell r="G47">
            <v>537.5</v>
          </cell>
        </row>
        <row r="48">
          <cell r="E48" t="str">
            <v>B0CLVS3FH6</v>
          </cell>
          <cell r="F48">
            <v>29</v>
          </cell>
          <cell r="G48">
            <v>682.09999999999968</v>
          </cell>
        </row>
        <row r="49">
          <cell r="E49" t="str">
            <v>B0CLY2CF4T</v>
          </cell>
          <cell r="F49">
            <v>56</v>
          </cell>
          <cell r="G49">
            <v>1299.4000000000003</v>
          </cell>
        </row>
        <row r="50">
          <cell r="E50" t="str">
            <v>Totale complessivo</v>
          </cell>
          <cell r="F50">
            <v>4207</v>
          </cell>
          <cell r="G50">
            <v>118277.01000000005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or_03_2023"/>
      <sheetName val="vendor_03_2024"/>
      <sheetName val="seller_03_2024"/>
      <sheetName val="v_03_23"/>
      <sheetName val="v_03_24"/>
      <sheetName val="s_03_24"/>
      <sheetName val="pivot"/>
      <sheetName val="IT"/>
      <sheetName val="Complessivo"/>
    </sheetNames>
    <sheetDataSet>
      <sheetData sheetId="0" refreshError="1"/>
      <sheetData sheetId="1" refreshError="1"/>
      <sheetData sheetId="2" refreshError="1"/>
      <sheetData sheetId="3">
        <row r="1">
          <cell r="F1" t="str">
            <v>Codice marketplace</v>
          </cell>
          <cell r="G1" t="str">
            <v>IT</v>
          </cell>
        </row>
        <row r="3">
          <cell r="F3" t="str">
            <v>ASIN</v>
          </cell>
          <cell r="G3" t="str">
            <v>Numero del modello</v>
          </cell>
          <cell r="H3" t="str">
            <v>Somma di Unità ordinate</v>
          </cell>
          <cell r="I3" t="str">
            <v>Somma di Ricavi ordini</v>
          </cell>
        </row>
        <row r="4">
          <cell r="F4" t="str">
            <v>B0050IHH4E</v>
          </cell>
          <cell r="G4" t="str">
            <v>40.979</v>
          </cell>
          <cell r="H4">
            <v>294</v>
          </cell>
          <cell r="I4">
            <v>3824.22</v>
          </cell>
        </row>
        <row r="5">
          <cell r="F5" t="str">
            <v>B00CMAD2FG</v>
          </cell>
          <cell r="G5" t="str">
            <v>HK-NV009W</v>
          </cell>
          <cell r="H5">
            <v>1</v>
          </cell>
          <cell r="I5">
            <v>20.41</v>
          </cell>
        </row>
        <row r="6">
          <cell r="F6" t="str">
            <v>B00EYDRS1I</v>
          </cell>
          <cell r="G6" t="str">
            <v>90.349</v>
          </cell>
          <cell r="H6">
            <v>48</v>
          </cell>
          <cell r="I6">
            <v>319.64999999999998</v>
          </cell>
        </row>
        <row r="7">
          <cell r="F7" t="str">
            <v>B00FAJUDU8</v>
          </cell>
          <cell r="G7" t="str">
            <v>40.967N</v>
          </cell>
          <cell r="H7">
            <v>74</v>
          </cell>
          <cell r="I7">
            <v>1574.07</v>
          </cell>
        </row>
        <row r="8">
          <cell r="F8" t="str">
            <v>B00FFBFVG2</v>
          </cell>
          <cell r="G8" t="str">
            <v>40.100</v>
          </cell>
          <cell r="H8">
            <v>5</v>
          </cell>
          <cell r="I8">
            <v>42.39</v>
          </cell>
        </row>
        <row r="9">
          <cell r="F9" t="str">
            <v>B00J7MNQFS</v>
          </cell>
          <cell r="G9" t="str">
            <v>40.994</v>
          </cell>
          <cell r="H9">
            <v>6</v>
          </cell>
          <cell r="I9">
            <v>112.46</v>
          </cell>
        </row>
        <row r="10">
          <cell r="F10" t="str">
            <v>B00L5GPWFG</v>
          </cell>
          <cell r="G10" t="str">
            <v>40.120</v>
          </cell>
          <cell r="H10">
            <v>4</v>
          </cell>
          <cell r="I10">
            <v>95.58</v>
          </cell>
        </row>
        <row r="11">
          <cell r="F11" t="str">
            <v>B00L5H5KUW</v>
          </cell>
          <cell r="G11" t="str">
            <v>40.121</v>
          </cell>
          <cell r="H11">
            <v>-3</v>
          </cell>
          <cell r="I11">
            <v>-48.93</v>
          </cell>
        </row>
        <row r="12">
          <cell r="F12" t="str">
            <v>B00NSNZSLM</v>
          </cell>
          <cell r="G12" t="str">
            <v>90.602</v>
          </cell>
          <cell r="H12">
            <v>494</v>
          </cell>
          <cell r="I12">
            <v>10082.540000000001</v>
          </cell>
        </row>
        <row r="13">
          <cell r="F13" t="str">
            <v>B00OKE4RTM</v>
          </cell>
          <cell r="G13" t="str">
            <v>90.386</v>
          </cell>
          <cell r="H13">
            <v>6</v>
          </cell>
          <cell r="I13">
            <v>294.60000000000002</v>
          </cell>
        </row>
        <row r="14">
          <cell r="F14" t="str">
            <v>B00OLZPU5K</v>
          </cell>
          <cell r="G14" t="str">
            <v>40.947</v>
          </cell>
          <cell r="H14">
            <v>1</v>
          </cell>
          <cell r="I14">
            <v>10.57</v>
          </cell>
        </row>
        <row r="15">
          <cell r="F15" t="str">
            <v>B00YCPX8R6</v>
          </cell>
          <cell r="G15" t="str">
            <v>40.969</v>
          </cell>
          <cell r="H15">
            <v>34</v>
          </cell>
          <cell r="I15">
            <v>192.44</v>
          </cell>
        </row>
        <row r="16">
          <cell r="F16" t="str">
            <v>B00ZINWP5W</v>
          </cell>
          <cell r="G16" t="str">
            <v>40.996</v>
          </cell>
          <cell r="H16">
            <v>1</v>
          </cell>
          <cell r="I16">
            <v>14.2</v>
          </cell>
        </row>
        <row r="17">
          <cell r="F17" t="str">
            <v>B011LFM60E</v>
          </cell>
          <cell r="G17" t="str">
            <v>40.948T</v>
          </cell>
          <cell r="H17">
            <v>1</v>
          </cell>
          <cell r="I17">
            <v>3.9</v>
          </cell>
        </row>
        <row r="18">
          <cell r="F18" t="str">
            <v>B011LFVLW8</v>
          </cell>
          <cell r="G18" t="str">
            <v>90.620</v>
          </cell>
          <cell r="H18">
            <v>16</v>
          </cell>
          <cell r="I18">
            <v>590.39</v>
          </cell>
        </row>
        <row r="19">
          <cell r="F19" t="str">
            <v>B016MWFVIU</v>
          </cell>
          <cell r="G19" t="str">
            <v>40.761</v>
          </cell>
          <cell r="H19">
            <v>1</v>
          </cell>
          <cell r="I19">
            <v>11.65</v>
          </cell>
        </row>
        <row r="20">
          <cell r="F20" t="str">
            <v>B017IUJA50</v>
          </cell>
          <cell r="G20" t="str">
            <v>90.920G</v>
          </cell>
          <cell r="H20">
            <v>329</v>
          </cell>
          <cell r="I20">
            <v>5312.75</v>
          </cell>
        </row>
        <row r="21">
          <cell r="F21" t="str">
            <v>B01CA687DI</v>
          </cell>
          <cell r="G21" t="str">
            <v>90.514</v>
          </cell>
          <cell r="H21">
            <v>0</v>
          </cell>
          <cell r="I21">
            <v>0</v>
          </cell>
        </row>
        <row r="22">
          <cell r="F22" t="str">
            <v>B01CNX71NA</v>
          </cell>
          <cell r="G22" t="str">
            <v>90.871</v>
          </cell>
          <cell r="H22">
            <v>11</v>
          </cell>
          <cell r="I22">
            <v>903.8</v>
          </cell>
        </row>
        <row r="23">
          <cell r="F23" t="str">
            <v>B01HM47LF8</v>
          </cell>
          <cell r="G23" t="str">
            <v>MD.004</v>
          </cell>
          <cell r="H23">
            <v>10</v>
          </cell>
          <cell r="I23">
            <v>34.15</v>
          </cell>
        </row>
        <row r="24">
          <cell r="F24" t="str">
            <v>B01I497WWM</v>
          </cell>
          <cell r="G24" t="str">
            <v>90.920R</v>
          </cell>
          <cell r="H24">
            <v>1296</v>
          </cell>
          <cell r="I24">
            <v>18280.61</v>
          </cell>
        </row>
        <row r="25">
          <cell r="F25" t="str">
            <v>B01IHGX2HQ</v>
          </cell>
          <cell r="G25" t="str">
            <v>MD.104</v>
          </cell>
          <cell r="H25">
            <v>6</v>
          </cell>
          <cell r="I25">
            <v>32.700000000000003</v>
          </cell>
        </row>
        <row r="26">
          <cell r="F26" t="str">
            <v>B01II660SS</v>
          </cell>
          <cell r="G26" t="str">
            <v>MD.213</v>
          </cell>
          <cell r="H26">
            <v>4</v>
          </cell>
          <cell r="I26">
            <v>35.72</v>
          </cell>
        </row>
        <row r="27">
          <cell r="F27" t="str">
            <v>B01ITBZK38</v>
          </cell>
          <cell r="G27" t="str">
            <v>PO.002</v>
          </cell>
          <cell r="H27">
            <v>2</v>
          </cell>
          <cell r="I27">
            <v>50.78</v>
          </cell>
        </row>
        <row r="28">
          <cell r="F28" t="str">
            <v>B01KMJ9OXW</v>
          </cell>
          <cell r="G28" t="str">
            <v>90.590Y</v>
          </cell>
          <cell r="H28">
            <v>244</v>
          </cell>
          <cell r="I28">
            <v>7663.28</v>
          </cell>
        </row>
        <row r="29">
          <cell r="F29" t="str">
            <v>B01M4O6145</v>
          </cell>
          <cell r="G29" t="str">
            <v>90.071</v>
          </cell>
          <cell r="H29">
            <v>53</v>
          </cell>
          <cell r="I29">
            <v>1090.75</v>
          </cell>
        </row>
        <row r="30">
          <cell r="F30" t="str">
            <v>B01MTSEGF9</v>
          </cell>
          <cell r="G30" t="str">
            <v>50.700</v>
          </cell>
          <cell r="H30">
            <v>159</v>
          </cell>
          <cell r="I30">
            <v>4548.99</v>
          </cell>
        </row>
        <row r="31">
          <cell r="F31" t="str">
            <v>B01N5R491F</v>
          </cell>
          <cell r="G31" t="str">
            <v>PE.376</v>
          </cell>
          <cell r="H31">
            <v>4</v>
          </cell>
          <cell r="I31">
            <v>62.28</v>
          </cell>
        </row>
        <row r="32">
          <cell r="F32" t="str">
            <v>B01N6SQYFM</v>
          </cell>
          <cell r="G32" t="str">
            <v>PE.377</v>
          </cell>
          <cell r="H32">
            <v>4</v>
          </cell>
          <cell r="I32">
            <v>39.020000000000003</v>
          </cell>
        </row>
        <row r="33">
          <cell r="F33" t="str">
            <v>B06WGS8ZVG</v>
          </cell>
          <cell r="G33" t="str">
            <v>90.131</v>
          </cell>
          <cell r="H33">
            <v>9</v>
          </cell>
          <cell r="I33">
            <v>105.59</v>
          </cell>
        </row>
        <row r="34">
          <cell r="F34" t="str">
            <v>B06XPK3BTC</v>
          </cell>
          <cell r="G34" t="str">
            <v>40.450GO</v>
          </cell>
          <cell r="H34">
            <v>6</v>
          </cell>
          <cell r="I34">
            <v>90.34</v>
          </cell>
        </row>
        <row r="35">
          <cell r="F35" t="str">
            <v>B06XPYSCGJ</v>
          </cell>
          <cell r="G35" t="str">
            <v>40.939</v>
          </cell>
          <cell r="H35">
            <v>2</v>
          </cell>
          <cell r="I35">
            <v>14.3</v>
          </cell>
        </row>
        <row r="36">
          <cell r="F36" t="str">
            <v>B06Y17FS6D</v>
          </cell>
          <cell r="G36" t="str">
            <v>90.550</v>
          </cell>
          <cell r="H36">
            <v>29</v>
          </cell>
          <cell r="I36">
            <v>710.79</v>
          </cell>
        </row>
        <row r="37">
          <cell r="F37" t="str">
            <v>B06Y1997YH</v>
          </cell>
          <cell r="G37" t="str">
            <v>90.883</v>
          </cell>
          <cell r="H37">
            <v>53</v>
          </cell>
          <cell r="I37">
            <v>3036.9</v>
          </cell>
        </row>
        <row r="38">
          <cell r="F38" t="str">
            <v>B06Y1P6DPZ</v>
          </cell>
          <cell r="G38" t="str">
            <v>VE.112</v>
          </cell>
          <cell r="H38">
            <v>1</v>
          </cell>
          <cell r="I38">
            <v>61.31</v>
          </cell>
        </row>
        <row r="39">
          <cell r="F39" t="str">
            <v>B073B57HQH</v>
          </cell>
          <cell r="G39" t="str">
            <v>90.886</v>
          </cell>
          <cell r="H39">
            <v>12</v>
          </cell>
          <cell r="I39">
            <v>1182.82</v>
          </cell>
        </row>
        <row r="40">
          <cell r="F40" t="str">
            <v>B073B67PLQ</v>
          </cell>
          <cell r="G40" t="str">
            <v>90.884</v>
          </cell>
          <cell r="H40">
            <v>68</v>
          </cell>
          <cell r="I40">
            <v>5010.92</v>
          </cell>
        </row>
        <row r="41">
          <cell r="F41" t="str">
            <v>B0757TJRR9</v>
          </cell>
          <cell r="G41" t="str">
            <v>40.500</v>
          </cell>
          <cell r="H41">
            <v>545</v>
          </cell>
          <cell r="I41">
            <v>15132.43</v>
          </cell>
        </row>
        <row r="42">
          <cell r="F42" t="str">
            <v>B075K5C2QG</v>
          </cell>
          <cell r="G42" t="str">
            <v>RI.201</v>
          </cell>
          <cell r="H42">
            <v>-2</v>
          </cell>
          <cell r="I42">
            <v>-33.5</v>
          </cell>
        </row>
        <row r="43">
          <cell r="F43" t="str">
            <v>B075RF5S3N</v>
          </cell>
          <cell r="G43" t="str">
            <v>BC.160A</v>
          </cell>
          <cell r="H43">
            <v>17</v>
          </cell>
          <cell r="I43">
            <v>351.12</v>
          </cell>
        </row>
        <row r="44">
          <cell r="F44" t="str">
            <v>B075RF8FM9</v>
          </cell>
          <cell r="G44" t="str">
            <v>BC.160G</v>
          </cell>
          <cell r="H44">
            <v>0</v>
          </cell>
          <cell r="I44">
            <v>0</v>
          </cell>
        </row>
        <row r="45">
          <cell r="F45" t="str">
            <v>B0763R9MPM</v>
          </cell>
          <cell r="G45" t="str">
            <v>BP.600</v>
          </cell>
          <cell r="H45">
            <v>1</v>
          </cell>
          <cell r="I45">
            <v>19.34</v>
          </cell>
        </row>
        <row r="46">
          <cell r="F46" t="str">
            <v>B076DC4VWG</v>
          </cell>
          <cell r="G46" t="str">
            <v>40.501</v>
          </cell>
          <cell r="H46">
            <v>3</v>
          </cell>
          <cell r="I46">
            <v>62.68</v>
          </cell>
        </row>
        <row r="47">
          <cell r="F47" t="str">
            <v>B076DCKSTJ</v>
          </cell>
          <cell r="G47" t="str">
            <v>BT.602H</v>
          </cell>
          <cell r="H47">
            <v>360</v>
          </cell>
          <cell r="I47">
            <v>7347.6</v>
          </cell>
        </row>
        <row r="48">
          <cell r="F48" t="str">
            <v>B076DCL19C</v>
          </cell>
          <cell r="G48" t="str">
            <v>BP.720</v>
          </cell>
          <cell r="H48">
            <v>24</v>
          </cell>
          <cell r="I48">
            <v>1436.05</v>
          </cell>
        </row>
        <row r="49">
          <cell r="F49" t="str">
            <v>B076DD26WW</v>
          </cell>
          <cell r="G49" t="str">
            <v>CA.010</v>
          </cell>
          <cell r="H49">
            <v>1</v>
          </cell>
          <cell r="I49">
            <v>6.68</v>
          </cell>
        </row>
        <row r="50">
          <cell r="F50" t="str">
            <v>B076Q7BR6F</v>
          </cell>
          <cell r="G50" t="str">
            <v>BC.041N</v>
          </cell>
          <cell r="H50">
            <v>105</v>
          </cell>
          <cell r="I50">
            <v>4368.3</v>
          </cell>
        </row>
        <row r="51">
          <cell r="F51" t="str">
            <v>B076QCMZX1</v>
          </cell>
          <cell r="G51" t="str">
            <v>40.821</v>
          </cell>
          <cell r="H51">
            <v>97</v>
          </cell>
          <cell r="I51">
            <v>866.21</v>
          </cell>
        </row>
        <row r="52">
          <cell r="F52" t="str">
            <v>B076QDRTK6</v>
          </cell>
          <cell r="G52" t="str">
            <v>40.915</v>
          </cell>
          <cell r="H52">
            <v>4</v>
          </cell>
          <cell r="I52">
            <v>20.48</v>
          </cell>
        </row>
        <row r="53">
          <cell r="F53" t="str">
            <v>B076QFRRZ5</v>
          </cell>
          <cell r="G53" t="str">
            <v>40.931</v>
          </cell>
          <cell r="H53">
            <v>178</v>
          </cell>
          <cell r="I53">
            <v>2411.94</v>
          </cell>
        </row>
        <row r="54">
          <cell r="F54" t="str">
            <v>B079SB5VJZ</v>
          </cell>
          <cell r="G54" t="str">
            <v>50451</v>
          </cell>
          <cell r="H54">
            <v>265</v>
          </cell>
          <cell r="I54">
            <v>8761.44</v>
          </cell>
        </row>
        <row r="55">
          <cell r="F55" t="str">
            <v>B07B7YLZ6Z</v>
          </cell>
          <cell r="G55" t="str">
            <v>BF.550</v>
          </cell>
          <cell r="H55">
            <v>-2</v>
          </cell>
          <cell r="I55">
            <v>-129.22</v>
          </cell>
        </row>
        <row r="56">
          <cell r="F56" t="str">
            <v>B07B9CPH62</v>
          </cell>
          <cell r="G56" t="str">
            <v>BG.200Y</v>
          </cell>
          <cell r="H56">
            <v>32</v>
          </cell>
          <cell r="I56">
            <v>1571.2</v>
          </cell>
        </row>
        <row r="57">
          <cell r="F57" t="str">
            <v>B07BB2DQ4V</v>
          </cell>
          <cell r="G57" t="str">
            <v>BT.150Y</v>
          </cell>
          <cell r="H57">
            <v>14</v>
          </cell>
          <cell r="I57">
            <v>343.14</v>
          </cell>
        </row>
        <row r="58">
          <cell r="F58" t="str">
            <v>B07BHCZR84</v>
          </cell>
          <cell r="G58" t="str">
            <v>BA.200Y</v>
          </cell>
          <cell r="H58">
            <v>36</v>
          </cell>
          <cell r="I58">
            <v>385.44</v>
          </cell>
        </row>
        <row r="59">
          <cell r="F59" t="str">
            <v>B07BHTW4X8</v>
          </cell>
          <cell r="G59" t="str">
            <v>VE.402</v>
          </cell>
          <cell r="H59">
            <v>-1</v>
          </cell>
          <cell r="I59">
            <v>-8.11</v>
          </cell>
        </row>
        <row r="60">
          <cell r="F60" t="str">
            <v>B07F187NFQ</v>
          </cell>
          <cell r="G60" t="str">
            <v>50.900</v>
          </cell>
          <cell r="H60">
            <v>1</v>
          </cell>
          <cell r="I60">
            <v>4.3</v>
          </cell>
        </row>
        <row r="61">
          <cell r="F61" t="str">
            <v>B07HHDSJHM</v>
          </cell>
          <cell r="G61" t="str">
            <v>BI.504</v>
          </cell>
          <cell r="H61">
            <v>19</v>
          </cell>
          <cell r="I61">
            <v>104.26</v>
          </cell>
        </row>
        <row r="62">
          <cell r="F62" t="str">
            <v>B07HM7P6MP</v>
          </cell>
          <cell r="G62" t="str">
            <v>RI.080</v>
          </cell>
          <cell r="H62">
            <v>112</v>
          </cell>
          <cell r="I62">
            <v>2439.1799999999998</v>
          </cell>
        </row>
        <row r="63">
          <cell r="F63" t="str">
            <v>B07J25HN6L</v>
          </cell>
          <cell r="G63" t="str">
            <v>ri.093</v>
          </cell>
          <cell r="H63">
            <v>0</v>
          </cell>
          <cell r="I63">
            <v>0</v>
          </cell>
        </row>
        <row r="64">
          <cell r="F64" t="str">
            <v>B07JGVMFY1</v>
          </cell>
          <cell r="G64" t="str">
            <v>BP.581</v>
          </cell>
          <cell r="H64">
            <v>123</v>
          </cell>
          <cell r="I64">
            <v>1504.64</v>
          </cell>
        </row>
        <row r="65">
          <cell r="F65" t="str">
            <v>B07KYWNC7Z</v>
          </cell>
          <cell r="G65" t="str">
            <v>40.405</v>
          </cell>
          <cell r="H65">
            <v>129</v>
          </cell>
          <cell r="I65">
            <v>2535.71</v>
          </cell>
        </row>
        <row r="66">
          <cell r="F66" t="str">
            <v>B07N4C3H3V</v>
          </cell>
          <cell r="G66" t="str">
            <v>40.405</v>
          </cell>
          <cell r="H66">
            <v>225</v>
          </cell>
          <cell r="I66">
            <v>2181.9</v>
          </cell>
        </row>
        <row r="67">
          <cell r="F67" t="str">
            <v>B07NQ1T7YK</v>
          </cell>
          <cell r="G67" t="str">
            <v>BP.101H</v>
          </cell>
          <cell r="H67">
            <v>208</v>
          </cell>
          <cell r="I67">
            <v>2539.6799999999998</v>
          </cell>
        </row>
        <row r="68">
          <cell r="F68" t="str">
            <v>B07NQ2ZBPV</v>
          </cell>
          <cell r="G68" t="str">
            <v>BT.300</v>
          </cell>
          <cell r="H68">
            <v>-1</v>
          </cell>
          <cell r="I68">
            <v>-65.489999999999995</v>
          </cell>
        </row>
        <row r="69">
          <cell r="F69" t="str">
            <v>B07NQC6S9V</v>
          </cell>
          <cell r="G69" t="str">
            <v>BT.651Y</v>
          </cell>
          <cell r="H69">
            <v>11</v>
          </cell>
          <cell r="I69">
            <v>530.98</v>
          </cell>
        </row>
        <row r="70">
          <cell r="F70" t="str">
            <v>B07P7GH655</v>
          </cell>
          <cell r="G70" t="str">
            <v>BT.450</v>
          </cell>
          <cell r="H70">
            <v>0</v>
          </cell>
          <cell r="I70">
            <v>0</v>
          </cell>
        </row>
        <row r="71">
          <cell r="F71" t="str">
            <v>B07P7L18T9</v>
          </cell>
          <cell r="G71" t="str">
            <v>40.102</v>
          </cell>
          <cell r="H71">
            <v>1</v>
          </cell>
          <cell r="I71">
            <v>15.85</v>
          </cell>
        </row>
        <row r="72">
          <cell r="F72" t="str">
            <v>B07Q38Z7CK</v>
          </cell>
          <cell r="G72" t="str">
            <v>BC.060</v>
          </cell>
          <cell r="H72">
            <v>379</v>
          </cell>
          <cell r="I72">
            <v>7714.15</v>
          </cell>
        </row>
        <row r="73">
          <cell r="F73" t="str">
            <v>B07QX1RJRH</v>
          </cell>
          <cell r="G73" t="str">
            <v>40.742</v>
          </cell>
          <cell r="H73">
            <v>3</v>
          </cell>
          <cell r="I73">
            <v>52.38</v>
          </cell>
        </row>
        <row r="74">
          <cell r="F74" t="str">
            <v>B07QY47V9Y</v>
          </cell>
          <cell r="G74" t="str">
            <v>40.453</v>
          </cell>
          <cell r="H74">
            <v>3</v>
          </cell>
          <cell r="I74">
            <v>58.77</v>
          </cell>
        </row>
        <row r="75">
          <cell r="F75" t="str">
            <v>B07RQ7FRCS</v>
          </cell>
          <cell r="G75" t="str">
            <v>BB.002</v>
          </cell>
          <cell r="H75">
            <v>4</v>
          </cell>
          <cell r="I75">
            <v>64.92</v>
          </cell>
        </row>
        <row r="76">
          <cell r="F76" t="str">
            <v>B07RRBP1YR</v>
          </cell>
          <cell r="G76" t="str">
            <v>VE.502</v>
          </cell>
          <cell r="H76">
            <v>7</v>
          </cell>
          <cell r="I76">
            <v>568.04999999999995</v>
          </cell>
        </row>
        <row r="77">
          <cell r="F77" t="str">
            <v>B07SSLRCT6</v>
          </cell>
          <cell r="G77" t="str">
            <v>BP.304</v>
          </cell>
          <cell r="H77">
            <v>12</v>
          </cell>
          <cell r="I77">
            <v>195.18</v>
          </cell>
        </row>
        <row r="78">
          <cell r="F78" t="str">
            <v>B07TJGZNPN</v>
          </cell>
          <cell r="G78" t="str">
            <v>BP.654</v>
          </cell>
          <cell r="H78">
            <v>11</v>
          </cell>
          <cell r="I78">
            <v>184.4</v>
          </cell>
        </row>
        <row r="79">
          <cell r="F79" t="str">
            <v>B07TQVD94L</v>
          </cell>
          <cell r="G79" t="str">
            <v>BP.690</v>
          </cell>
          <cell r="H79">
            <v>90</v>
          </cell>
          <cell r="I79">
            <v>2205.9</v>
          </cell>
        </row>
        <row r="80">
          <cell r="F80" t="str">
            <v>B07TSNB5WG</v>
          </cell>
          <cell r="G80" t="str">
            <v>BP.102</v>
          </cell>
          <cell r="H80">
            <v>608</v>
          </cell>
          <cell r="I80">
            <v>7423.68</v>
          </cell>
        </row>
        <row r="81">
          <cell r="F81" t="str">
            <v>B07TSNCJ5J</v>
          </cell>
          <cell r="G81" t="str">
            <v>BP.800</v>
          </cell>
          <cell r="H81">
            <v>66</v>
          </cell>
          <cell r="I81">
            <v>712.38</v>
          </cell>
        </row>
        <row r="82">
          <cell r="F82" t="str">
            <v>B07TVTGQ5B</v>
          </cell>
          <cell r="G82" t="str">
            <v>40.918</v>
          </cell>
          <cell r="H82">
            <v>4</v>
          </cell>
          <cell r="I82">
            <v>37.200000000000003</v>
          </cell>
        </row>
        <row r="83">
          <cell r="F83" t="str">
            <v>B07TWX2L8N</v>
          </cell>
          <cell r="G83" t="str">
            <v>40.361</v>
          </cell>
          <cell r="H83">
            <v>12</v>
          </cell>
          <cell r="I83">
            <v>97.32</v>
          </cell>
        </row>
        <row r="84">
          <cell r="F84" t="str">
            <v>B07V131F5W</v>
          </cell>
          <cell r="G84" t="str">
            <v>40.490</v>
          </cell>
          <cell r="H84">
            <v>292</v>
          </cell>
          <cell r="I84">
            <v>6779.04</v>
          </cell>
        </row>
        <row r="85">
          <cell r="F85" t="str">
            <v>B07W7S9KYM</v>
          </cell>
          <cell r="G85" t="str">
            <v>BB.200</v>
          </cell>
          <cell r="H85">
            <v>16</v>
          </cell>
          <cell r="I85">
            <v>672.75</v>
          </cell>
        </row>
        <row r="86">
          <cell r="F86" t="str">
            <v>B07XYJ64GP</v>
          </cell>
          <cell r="G86" t="str">
            <v>RI.064</v>
          </cell>
          <cell r="H86">
            <v>0</v>
          </cell>
          <cell r="I86">
            <v>0</v>
          </cell>
        </row>
        <row r="87">
          <cell r="F87" t="str">
            <v>B07Y3XHMMV</v>
          </cell>
          <cell r="G87" t="str">
            <v>BP.604</v>
          </cell>
          <cell r="H87">
            <v>6</v>
          </cell>
          <cell r="I87">
            <v>118.33</v>
          </cell>
        </row>
        <row r="88">
          <cell r="F88" t="str">
            <v>B07YBM3P68</v>
          </cell>
          <cell r="G88" t="str">
            <v>RI.096</v>
          </cell>
          <cell r="H88">
            <v>0</v>
          </cell>
          <cell r="I88">
            <v>0</v>
          </cell>
        </row>
        <row r="89">
          <cell r="F89" t="str">
            <v>B07YBNPZPJ</v>
          </cell>
          <cell r="G89" t="str">
            <v>BP.552</v>
          </cell>
          <cell r="H89">
            <v>43</v>
          </cell>
          <cell r="I89">
            <v>961.97</v>
          </cell>
        </row>
        <row r="90">
          <cell r="F90" t="str">
            <v>B07YZZZVXP</v>
          </cell>
          <cell r="G90" t="str">
            <v>MD.404</v>
          </cell>
          <cell r="H90">
            <v>29</v>
          </cell>
          <cell r="I90">
            <v>1780.31</v>
          </cell>
        </row>
        <row r="91">
          <cell r="F91" t="str">
            <v>B07ZJMFB3R</v>
          </cell>
          <cell r="G91" t="str">
            <v>BC.510</v>
          </cell>
          <cell r="H91">
            <v>30</v>
          </cell>
          <cell r="I91">
            <v>1694.4</v>
          </cell>
        </row>
        <row r="92">
          <cell r="F92" t="str">
            <v>B07ZJP81R3</v>
          </cell>
          <cell r="G92" t="str">
            <v>BT.050</v>
          </cell>
          <cell r="H92">
            <v>0</v>
          </cell>
          <cell r="I92">
            <v>0</v>
          </cell>
        </row>
        <row r="93">
          <cell r="F93" t="str">
            <v>B07ZJQTGG8</v>
          </cell>
          <cell r="G93" t="str">
            <v>50.245</v>
          </cell>
          <cell r="H93">
            <v>1851</v>
          </cell>
          <cell r="I93">
            <v>22600.71</v>
          </cell>
        </row>
        <row r="94">
          <cell r="F94" t="str">
            <v>B081QRX1K7</v>
          </cell>
          <cell r="G94" t="str">
            <v>40.473</v>
          </cell>
          <cell r="H94">
            <v>9</v>
          </cell>
          <cell r="I94">
            <v>183.69</v>
          </cell>
        </row>
        <row r="95">
          <cell r="F95" t="str">
            <v>B08485QRVZ</v>
          </cell>
          <cell r="G95" t="str">
            <v>BC.261</v>
          </cell>
          <cell r="H95">
            <v>435</v>
          </cell>
          <cell r="I95">
            <v>8878.35</v>
          </cell>
        </row>
        <row r="96">
          <cell r="F96" t="str">
            <v>B084C3JTC2</v>
          </cell>
          <cell r="G96" t="str">
            <v>40.406</v>
          </cell>
          <cell r="H96">
            <v>112</v>
          </cell>
          <cell r="I96">
            <v>2745.12</v>
          </cell>
        </row>
        <row r="97">
          <cell r="F97" t="str">
            <v>B084HK5BF8</v>
          </cell>
          <cell r="G97" t="str">
            <v>RI.424</v>
          </cell>
          <cell r="H97">
            <v>-2</v>
          </cell>
          <cell r="I97">
            <v>-32.619999999999997</v>
          </cell>
        </row>
        <row r="98">
          <cell r="F98" t="str">
            <v>B084PN7WPZ</v>
          </cell>
          <cell r="G98" t="str">
            <v>XUADA001</v>
          </cell>
          <cell r="H98">
            <v>2</v>
          </cell>
          <cell r="I98">
            <v>13.18</v>
          </cell>
        </row>
        <row r="99">
          <cell r="F99" t="str">
            <v>B084TG23R3</v>
          </cell>
          <cell r="G99" t="str">
            <v>C102BOT001</v>
          </cell>
          <cell r="H99">
            <v>75</v>
          </cell>
          <cell r="I99">
            <v>547.5</v>
          </cell>
        </row>
        <row r="100">
          <cell r="F100" t="str">
            <v>B084TG4594</v>
          </cell>
          <cell r="G100" t="str">
            <v>C102BOT003</v>
          </cell>
          <cell r="H100">
            <v>19</v>
          </cell>
          <cell r="I100">
            <v>116.56</v>
          </cell>
        </row>
        <row r="101">
          <cell r="F101" t="str">
            <v>B084TGLFLM</v>
          </cell>
          <cell r="G101" t="str">
            <v>C102BOT002</v>
          </cell>
          <cell r="H101">
            <v>195</v>
          </cell>
          <cell r="I101">
            <v>783.9</v>
          </cell>
        </row>
        <row r="102">
          <cell r="F102" t="str">
            <v>B084TGLSDV</v>
          </cell>
          <cell r="G102" t="str">
            <v>C102BOT004</v>
          </cell>
          <cell r="H102">
            <v>87</v>
          </cell>
          <cell r="I102">
            <v>425.18</v>
          </cell>
        </row>
        <row r="103">
          <cell r="F103" t="str">
            <v>B085JHSWJH</v>
          </cell>
          <cell r="G103" t="str">
            <v>BP.802</v>
          </cell>
          <cell r="H103">
            <v>14</v>
          </cell>
          <cell r="I103">
            <v>220.36</v>
          </cell>
        </row>
        <row r="104">
          <cell r="F104" t="str">
            <v>B085JHSWJW</v>
          </cell>
          <cell r="G104" t="str">
            <v>RCOBP630</v>
          </cell>
          <cell r="H104">
            <v>1</v>
          </cell>
          <cell r="I104">
            <v>8.11</v>
          </cell>
        </row>
        <row r="105">
          <cell r="F105" t="str">
            <v>B085JHTR6J</v>
          </cell>
          <cell r="G105" t="str">
            <v>BC.125</v>
          </cell>
          <cell r="H105">
            <v>42</v>
          </cell>
          <cell r="I105">
            <v>683.32</v>
          </cell>
        </row>
        <row r="106">
          <cell r="F106" t="str">
            <v>B085JHTR6Q</v>
          </cell>
          <cell r="G106" t="str">
            <v>BP.790</v>
          </cell>
          <cell r="H106">
            <v>129</v>
          </cell>
          <cell r="I106">
            <v>2653.39</v>
          </cell>
        </row>
        <row r="107">
          <cell r="F107" t="str">
            <v>B085JJ81R7</v>
          </cell>
          <cell r="G107" t="str">
            <v>RCO9003028</v>
          </cell>
          <cell r="H107">
            <v>99</v>
          </cell>
          <cell r="I107">
            <v>641.49</v>
          </cell>
        </row>
        <row r="108">
          <cell r="F108" t="str">
            <v>B085JJ8RC6</v>
          </cell>
          <cell r="G108" t="str">
            <v>BB.050</v>
          </cell>
          <cell r="H108">
            <v>668</v>
          </cell>
          <cell r="I108">
            <v>8150.61</v>
          </cell>
        </row>
        <row r="109">
          <cell r="F109" t="str">
            <v>B085JJFLGY</v>
          </cell>
          <cell r="G109" t="str">
            <v>RCO9003022</v>
          </cell>
          <cell r="H109">
            <v>148</v>
          </cell>
          <cell r="I109">
            <v>717.97</v>
          </cell>
        </row>
        <row r="110">
          <cell r="F110" t="str">
            <v>B085JJMBM7</v>
          </cell>
          <cell r="G110" t="str">
            <v>P206VEN400</v>
          </cell>
          <cell r="H110">
            <v>15</v>
          </cell>
          <cell r="I110">
            <v>121.65</v>
          </cell>
        </row>
        <row r="111">
          <cell r="F111" t="str">
            <v>B085R2GCKX</v>
          </cell>
          <cell r="G111" t="str">
            <v>40.332</v>
          </cell>
          <cell r="H111">
            <v>261</v>
          </cell>
          <cell r="I111">
            <v>3828.87</v>
          </cell>
        </row>
        <row r="112">
          <cell r="F112" t="str">
            <v>B088PKV3VL</v>
          </cell>
          <cell r="G112" t="str">
            <v>P206VEN300</v>
          </cell>
          <cell r="H112">
            <v>1</v>
          </cell>
          <cell r="I112">
            <v>31.89</v>
          </cell>
        </row>
        <row r="113">
          <cell r="F113" t="str">
            <v>B088V4DR59</v>
          </cell>
          <cell r="G113" t="str">
            <v>P206ZAN040</v>
          </cell>
          <cell r="H113">
            <v>1</v>
          </cell>
          <cell r="I113">
            <v>51.7</v>
          </cell>
        </row>
        <row r="114">
          <cell r="F114" t="str">
            <v>B088XJQ37J</v>
          </cell>
          <cell r="G114" t="str">
            <v>C301ABE001</v>
          </cell>
          <cell r="H114">
            <v>303</v>
          </cell>
          <cell r="I114">
            <v>3202.71</v>
          </cell>
        </row>
        <row r="115">
          <cell r="F115" t="str">
            <v>B08B66J4C3</v>
          </cell>
          <cell r="G115" t="str">
            <v>P101PIA001</v>
          </cell>
          <cell r="H115">
            <v>545</v>
          </cell>
          <cell r="I115">
            <v>6738.53</v>
          </cell>
        </row>
        <row r="116">
          <cell r="F116" t="str">
            <v>B08B8M2B7B</v>
          </cell>
          <cell r="G116" t="str">
            <v>P102EST001</v>
          </cell>
          <cell r="H116">
            <v>7</v>
          </cell>
          <cell r="I116">
            <v>211.75</v>
          </cell>
        </row>
        <row r="117">
          <cell r="F117" t="str">
            <v>B08C7YJB5N</v>
          </cell>
          <cell r="G117" t="str">
            <v>P201UTP001</v>
          </cell>
          <cell r="H117">
            <v>128</v>
          </cell>
          <cell r="I117">
            <v>1143.04</v>
          </cell>
        </row>
        <row r="118">
          <cell r="F118" t="str">
            <v>B08DHZDXVV</v>
          </cell>
          <cell r="G118" t="str">
            <v>P102SBA100</v>
          </cell>
          <cell r="H118">
            <v>16</v>
          </cell>
          <cell r="I118">
            <v>288.51</v>
          </cell>
        </row>
        <row r="119">
          <cell r="F119" t="str">
            <v>B08DJ3K9J8</v>
          </cell>
          <cell r="G119" t="str">
            <v>p102rob100</v>
          </cell>
          <cell r="H119">
            <v>1</v>
          </cell>
          <cell r="I119">
            <v>12.21</v>
          </cell>
        </row>
        <row r="120">
          <cell r="F120" t="str">
            <v>B08F5GYFKS</v>
          </cell>
          <cell r="G120" t="str">
            <v>P102FRU001</v>
          </cell>
          <cell r="H120">
            <v>1</v>
          </cell>
          <cell r="I120">
            <v>12.21</v>
          </cell>
        </row>
        <row r="121">
          <cell r="F121" t="str">
            <v>B08FDYW72J</v>
          </cell>
          <cell r="G121" t="str">
            <v>P101CUD100</v>
          </cell>
          <cell r="H121">
            <v>13</v>
          </cell>
          <cell r="I121">
            <v>318.63</v>
          </cell>
        </row>
        <row r="122">
          <cell r="F122" t="str">
            <v>B08FF245TD</v>
          </cell>
          <cell r="G122" t="str">
            <v>P101CUD500</v>
          </cell>
          <cell r="H122">
            <v>7</v>
          </cell>
          <cell r="I122">
            <v>177.75</v>
          </cell>
        </row>
        <row r="123">
          <cell r="F123" t="str">
            <v>B08FJGGZ1D</v>
          </cell>
          <cell r="G123" t="str">
            <v>70.405</v>
          </cell>
          <cell r="H123">
            <v>4</v>
          </cell>
          <cell r="I123">
            <v>64.099999999999994</v>
          </cell>
        </row>
        <row r="124">
          <cell r="F124" t="str">
            <v>B08FMLPKY9</v>
          </cell>
          <cell r="G124" t="str">
            <v>P201UTP004</v>
          </cell>
          <cell r="H124">
            <v>88</v>
          </cell>
          <cell r="I124">
            <v>1595.46</v>
          </cell>
        </row>
        <row r="125">
          <cell r="F125" t="str">
            <v>B08GS7XW73</v>
          </cell>
          <cell r="G125" t="str">
            <v>P204FER250</v>
          </cell>
          <cell r="H125">
            <v>100</v>
          </cell>
          <cell r="I125">
            <v>1626</v>
          </cell>
        </row>
        <row r="126">
          <cell r="F126" t="str">
            <v>B08GSK6C18</v>
          </cell>
          <cell r="G126" t="str">
            <v>P204FER200</v>
          </cell>
          <cell r="H126">
            <v>29</v>
          </cell>
          <cell r="I126">
            <v>482.67</v>
          </cell>
        </row>
        <row r="127">
          <cell r="F127" t="str">
            <v>B08GY7286R</v>
          </cell>
          <cell r="G127" t="str">
            <v>P203TFO001</v>
          </cell>
          <cell r="H127">
            <v>199</v>
          </cell>
          <cell r="I127">
            <v>3586.73</v>
          </cell>
        </row>
        <row r="128">
          <cell r="F128" t="str">
            <v>B08HCT78N3</v>
          </cell>
          <cell r="G128" t="str">
            <v>P202ASP400</v>
          </cell>
          <cell r="H128">
            <v>54</v>
          </cell>
          <cell r="I128">
            <v>875</v>
          </cell>
        </row>
        <row r="129">
          <cell r="F129" t="str">
            <v>B08HN4DPJV</v>
          </cell>
          <cell r="G129" t="str">
            <v>P201UTP003</v>
          </cell>
          <cell r="H129">
            <v>2</v>
          </cell>
          <cell r="I129">
            <v>21.75</v>
          </cell>
        </row>
        <row r="130">
          <cell r="F130" t="str">
            <v>B08J47XH38</v>
          </cell>
          <cell r="G130" t="str">
            <v>RCORI552</v>
          </cell>
          <cell r="H130">
            <v>2</v>
          </cell>
          <cell r="I130">
            <v>27.72</v>
          </cell>
        </row>
        <row r="131">
          <cell r="F131" t="str">
            <v>B08JYDDFZ2</v>
          </cell>
          <cell r="G131" t="str">
            <v>C206UTI002</v>
          </cell>
          <cell r="H131">
            <v>506</v>
          </cell>
          <cell r="I131">
            <v>4080.61</v>
          </cell>
        </row>
        <row r="132">
          <cell r="F132" t="str">
            <v>B08JYWF3PK</v>
          </cell>
          <cell r="G132" t="str">
            <v>C102COC101</v>
          </cell>
          <cell r="H132">
            <v>742</v>
          </cell>
          <cell r="I132">
            <v>5416.6</v>
          </cell>
        </row>
        <row r="133">
          <cell r="F133" t="str">
            <v>B08JZDZTPG</v>
          </cell>
          <cell r="G133" t="str">
            <v>BP.803</v>
          </cell>
          <cell r="H133">
            <v>9</v>
          </cell>
          <cell r="I133">
            <v>120.69</v>
          </cell>
        </row>
        <row r="134">
          <cell r="F134" t="str">
            <v>B08KYZ2FLN</v>
          </cell>
          <cell r="G134" t="str">
            <v>P101FRI001</v>
          </cell>
          <cell r="H134">
            <v>38</v>
          </cell>
          <cell r="I134">
            <v>1650.82</v>
          </cell>
        </row>
        <row r="135">
          <cell r="F135" t="str">
            <v>B08L9D9KR9</v>
          </cell>
          <cell r="G135" t="str">
            <v>P202VAL001</v>
          </cell>
          <cell r="H135">
            <v>71</v>
          </cell>
          <cell r="I135">
            <v>3502.16</v>
          </cell>
        </row>
        <row r="136">
          <cell r="F136" t="str">
            <v>B08LDDKBYG</v>
          </cell>
          <cell r="G136" t="str">
            <v>P202VAL002</v>
          </cell>
          <cell r="H136">
            <v>4</v>
          </cell>
          <cell r="I136">
            <v>16.079999999999998</v>
          </cell>
        </row>
        <row r="137">
          <cell r="F137" t="str">
            <v>B08LVS1MMY</v>
          </cell>
          <cell r="G137" t="str">
            <v>P202VAL100</v>
          </cell>
          <cell r="H137">
            <v>2</v>
          </cell>
          <cell r="I137">
            <v>32.619999999999997</v>
          </cell>
        </row>
        <row r="138">
          <cell r="F138" t="str">
            <v>B08MM2VK11</v>
          </cell>
          <cell r="G138" t="str">
            <v>P302MAS001</v>
          </cell>
          <cell r="H138">
            <v>9</v>
          </cell>
          <cell r="I138">
            <v>249.35</v>
          </cell>
        </row>
        <row r="139">
          <cell r="F139" t="str">
            <v>B08MX1SQKC</v>
          </cell>
          <cell r="G139" t="str">
            <v>P302VIS001</v>
          </cell>
          <cell r="H139">
            <v>50</v>
          </cell>
          <cell r="I139">
            <v>610.5</v>
          </cell>
        </row>
        <row r="140">
          <cell r="F140" t="str">
            <v>B08NF8TQKT</v>
          </cell>
          <cell r="G140" t="str">
            <v>P102FRU100</v>
          </cell>
          <cell r="H140">
            <v>9</v>
          </cell>
          <cell r="I140">
            <v>220.59</v>
          </cell>
        </row>
        <row r="141">
          <cell r="F141" t="str">
            <v>B08NTD853X</v>
          </cell>
          <cell r="G141" t="str">
            <v>P102SBA006</v>
          </cell>
          <cell r="H141">
            <v>4</v>
          </cell>
          <cell r="I141">
            <v>48.84</v>
          </cell>
        </row>
        <row r="142">
          <cell r="F142" t="str">
            <v>B08V4VTTQN</v>
          </cell>
          <cell r="G142" t="str">
            <v>C107UTT001</v>
          </cell>
          <cell r="H142">
            <v>11</v>
          </cell>
          <cell r="I142">
            <v>68.97</v>
          </cell>
        </row>
        <row r="143">
          <cell r="F143" t="str">
            <v>B08X4VZV3S</v>
          </cell>
          <cell r="G143" t="str">
            <v>P303BIP001</v>
          </cell>
          <cell r="H143">
            <v>21</v>
          </cell>
          <cell r="I143">
            <v>189.17</v>
          </cell>
        </row>
        <row r="144">
          <cell r="F144" t="str">
            <v>B08XVV3PVK</v>
          </cell>
          <cell r="G144" t="str">
            <v>P303MED001</v>
          </cell>
          <cell r="H144">
            <v>8</v>
          </cell>
          <cell r="I144">
            <v>88.9</v>
          </cell>
        </row>
        <row r="145">
          <cell r="F145" t="str">
            <v>B08XWBGJHR</v>
          </cell>
          <cell r="G145" t="str">
            <v>P101PIA002</v>
          </cell>
          <cell r="H145">
            <v>0</v>
          </cell>
          <cell r="I145">
            <v>0</v>
          </cell>
        </row>
        <row r="146">
          <cell r="F146" t="str">
            <v>B08YN2SRQS</v>
          </cell>
          <cell r="G146" t="str">
            <v>P206ZAN001</v>
          </cell>
          <cell r="H146">
            <v>3</v>
          </cell>
          <cell r="I146">
            <v>33.159999999999997</v>
          </cell>
        </row>
        <row r="147">
          <cell r="F147" t="str">
            <v>B09146GTKW</v>
          </cell>
          <cell r="G147" t="str">
            <v>P302VIS002</v>
          </cell>
          <cell r="H147">
            <v>1179</v>
          </cell>
          <cell r="I147">
            <v>9561.69</v>
          </cell>
        </row>
        <row r="148">
          <cell r="F148" t="str">
            <v>B091C5XQZN</v>
          </cell>
          <cell r="G148" t="str">
            <v>P202ASP001</v>
          </cell>
          <cell r="H148">
            <v>1</v>
          </cell>
          <cell r="I148">
            <v>65.89</v>
          </cell>
        </row>
        <row r="149">
          <cell r="F149" t="str">
            <v>B091LRR67V</v>
          </cell>
          <cell r="G149" t="str">
            <v>P101FRI050</v>
          </cell>
          <cell r="H149">
            <v>89</v>
          </cell>
          <cell r="I149">
            <v>5825.41</v>
          </cell>
        </row>
        <row r="150">
          <cell r="F150" t="str">
            <v>B091VSY78C</v>
          </cell>
          <cell r="G150" t="str">
            <v>P303BIP050</v>
          </cell>
          <cell r="H150">
            <v>3</v>
          </cell>
          <cell r="I150">
            <v>48.93</v>
          </cell>
        </row>
        <row r="151">
          <cell r="F151" t="str">
            <v>B09251R9RJ</v>
          </cell>
          <cell r="G151" t="str">
            <v>P304CAP001</v>
          </cell>
          <cell r="H151">
            <v>3</v>
          </cell>
          <cell r="I151">
            <v>48.93</v>
          </cell>
        </row>
        <row r="152">
          <cell r="F152" t="str">
            <v>B092J2RHL8</v>
          </cell>
          <cell r="G152" t="str">
            <v>P206ZAN200</v>
          </cell>
          <cell r="H152">
            <v>45</v>
          </cell>
          <cell r="I152">
            <v>328.5</v>
          </cell>
        </row>
        <row r="153">
          <cell r="F153" t="str">
            <v>B092JNYG6Z</v>
          </cell>
          <cell r="G153" t="str">
            <v>P204CAL201</v>
          </cell>
          <cell r="H153">
            <v>1</v>
          </cell>
          <cell r="I153">
            <v>8.11</v>
          </cell>
        </row>
        <row r="154">
          <cell r="F154" t="str">
            <v>B092QXCQ8K</v>
          </cell>
          <cell r="G154" t="str">
            <v>P205DIF001</v>
          </cell>
          <cell r="H154">
            <v>16</v>
          </cell>
          <cell r="I154">
            <v>245.75</v>
          </cell>
        </row>
        <row r="155">
          <cell r="F155" t="str">
            <v>B09495C38F</v>
          </cell>
          <cell r="G155" t="str">
            <v>P204FER002</v>
          </cell>
          <cell r="H155">
            <v>457</v>
          </cell>
          <cell r="I155">
            <v>7176.4</v>
          </cell>
        </row>
        <row r="156">
          <cell r="F156" t="str">
            <v>B0953R2W31</v>
          </cell>
          <cell r="G156" t="str">
            <v>P102ACP001</v>
          </cell>
          <cell r="H156">
            <v>57</v>
          </cell>
          <cell r="I156">
            <v>695.97</v>
          </cell>
        </row>
        <row r="157">
          <cell r="F157" t="str">
            <v>B095PQJGKX</v>
          </cell>
          <cell r="G157" t="str">
            <v>C107UTT002</v>
          </cell>
          <cell r="H157">
            <v>501</v>
          </cell>
          <cell r="I157">
            <v>4063.11</v>
          </cell>
        </row>
        <row r="158">
          <cell r="F158" t="str">
            <v>B095WCSSLC</v>
          </cell>
          <cell r="G158" t="str">
            <v>C301ABE101</v>
          </cell>
          <cell r="H158">
            <v>16</v>
          </cell>
          <cell r="I158">
            <v>109.8</v>
          </cell>
        </row>
        <row r="159">
          <cell r="F159" t="str">
            <v>B095X9KDJR</v>
          </cell>
          <cell r="G159" t="str">
            <v>P101BOL100</v>
          </cell>
          <cell r="H159">
            <v>59</v>
          </cell>
          <cell r="I159">
            <v>962.29</v>
          </cell>
        </row>
        <row r="160">
          <cell r="F160" t="str">
            <v>B096KVY46G</v>
          </cell>
          <cell r="G160" t="str">
            <v>P303MED050</v>
          </cell>
          <cell r="H160">
            <v>20</v>
          </cell>
          <cell r="I160">
            <v>197.56</v>
          </cell>
        </row>
        <row r="161">
          <cell r="F161" t="str">
            <v>B096MX229M</v>
          </cell>
          <cell r="G161" t="str">
            <v>P102ROB050</v>
          </cell>
          <cell r="H161">
            <v>484</v>
          </cell>
          <cell r="I161">
            <v>5909.64</v>
          </cell>
        </row>
        <row r="162">
          <cell r="F162" t="str">
            <v>B096SVXQDX</v>
          </cell>
          <cell r="G162" t="str">
            <v>P201UTP011</v>
          </cell>
          <cell r="H162">
            <v>14</v>
          </cell>
          <cell r="I162">
            <v>134.22999999999999</v>
          </cell>
        </row>
        <row r="163">
          <cell r="F163" t="str">
            <v>B0978ZKW4S</v>
          </cell>
          <cell r="G163" t="str">
            <v>P205DIF100</v>
          </cell>
          <cell r="H163">
            <v>34</v>
          </cell>
          <cell r="I163">
            <v>385.34</v>
          </cell>
        </row>
        <row r="164">
          <cell r="F164" t="str">
            <v>B097F45J2B</v>
          </cell>
          <cell r="G164" t="str">
            <v>P102FRU500</v>
          </cell>
          <cell r="H164">
            <v>1</v>
          </cell>
          <cell r="I164">
            <v>21.82</v>
          </cell>
        </row>
        <row r="165">
          <cell r="F165" t="str">
            <v>B097HRQNRG</v>
          </cell>
          <cell r="G165" t="str">
            <v>P101FRI100</v>
          </cell>
          <cell r="H165">
            <v>36</v>
          </cell>
          <cell r="I165">
            <v>1029.96</v>
          </cell>
        </row>
        <row r="166">
          <cell r="F166" t="str">
            <v>B097YTGFH7</v>
          </cell>
          <cell r="G166" t="str">
            <v>P102ROB200</v>
          </cell>
          <cell r="H166">
            <v>2</v>
          </cell>
          <cell r="I166">
            <v>107.2</v>
          </cell>
        </row>
        <row r="167">
          <cell r="F167" t="str">
            <v>B098F33WBD</v>
          </cell>
          <cell r="G167" t="str">
            <v>RCO4091819</v>
          </cell>
          <cell r="H167">
            <v>1</v>
          </cell>
          <cell r="I167">
            <v>4.0199999999999996</v>
          </cell>
        </row>
        <row r="168">
          <cell r="F168" t="str">
            <v>B09968BKDS</v>
          </cell>
          <cell r="G168" t="str">
            <v>P102FRU003</v>
          </cell>
          <cell r="H168">
            <v>0</v>
          </cell>
          <cell r="I168">
            <v>0</v>
          </cell>
        </row>
        <row r="169">
          <cell r="F169" t="str">
            <v>B09B2NT2SV</v>
          </cell>
          <cell r="G169" t="str">
            <v>P102FRU150</v>
          </cell>
          <cell r="H169">
            <v>2</v>
          </cell>
          <cell r="I169">
            <v>65.400000000000006</v>
          </cell>
        </row>
        <row r="170">
          <cell r="F170" t="str">
            <v>B09B47S644</v>
          </cell>
          <cell r="G170" t="str">
            <v>P101CUD501</v>
          </cell>
          <cell r="H170">
            <v>4</v>
          </cell>
          <cell r="I170">
            <v>114.44</v>
          </cell>
        </row>
        <row r="171">
          <cell r="F171" t="str">
            <v>B09BBFTDLJ</v>
          </cell>
          <cell r="G171" t="str">
            <v>P101TOS501</v>
          </cell>
          <cell r="H171">
            <v>1</v>
          </cell>
          <cell r="I171">
            <v>60.04</v>
          </cell>
        </row>
        <row r="172">
          <cell r="F172" t="str">
            <v>B09BD8BG34</v>
          </cell>
          <cell r="G172" t="str">
            <v>P301PIS001</v>
          </cell>
          <cell r="H172">
            <v>115</v>
          </cell>
          <cell r="I172">
            <v>1322.11</v>
          </cell>
        </row>
        <row r="173">
          <cell r="F173" t="str">
            <v>B09BG1GGSM</v>
          </cell>
          <cell r="G173" t="str">
            <v>P204FER003</v>
          </cell>
          <cell r="H173">
            <v>10</v>
          </cell>
          <cell r="I173">
            <v>258.82</v>
          </cell>
        </row>
        <row r="174">
          <cell r="F174" t="str">
            <v>B09D8G2H7Q</v>
          </cell>
          <cell r="G174" t="str">
            <v>P102SBA500</v>
          </cell>
          <cell r="H174">
            <v>18</v>
          </cell>
          <cell r="I174">
            <v>1705.28</v>
          </cell>
        </row>
        <row r="175">
          <cell r="F175" t="str">
            <v>B09HMK8JDN</v>
          </cell>
          <cell r="G175" t="str">
            <v>P203TER001</v>
          </cell>
          <cell r="H175">
            <v>0</v>
          </cell>
          <cell r="I175">
            <v>0</v>
          </cell>
        </row>
        <row r="176">
          <cell r="F176" t="str">
            <v>B09HQN1LQ2</v>
          </cell>
          <cell r="G176" t="str">
            <v>P203TER100</v>
          </cell>
          <cell r="H176">
            <v>1</v>
          </cell>
          <cell r="I176">
            <v>57.3</v>
          </cell>
        </row>
        <row r="177">
          <cell r="F177" t="str">
            <v>B09KYD9JGY</v>
          </cell>
          <cell r="G177" t="str">
            <v>P301PIS100</v>
          </cell>
          <cell r="H177">
            <v>206</v>
          </cell>
          <cell r="I177">
            <v>4121.03</v>
          </cell>
        </row>
        <row r="178">
          <cell r="F178" t="str">
            <v>B09L4SLDSZ</v>
          </cell>
          <cell r="G178" t="str">
            <v>P203TFO100</v>
          </cell>
          <cell r="H178">
            <v>14</v>
          </cell>
          <cell r="I178">
            <v>343.14</v>
          </cell>
        </row>
        <row r="179">
          <cell r="F179" t="str">
            <v>B09LHXJXQL</v>
          </cell>
          <cell r="G179" t="str">
            <v>P102SBA007</v>
          </cell>
          <cell r="H179">
            <v>42</v>
          </cell>
          <cell r="I179">
            <v>813.76</v>
          </cell>
        </row>
        <row r="180">
          <cell r="F180" t="str">
            <v>B09MFYXGV9</v>
          </cell>
          <cell r="G180" t="str">
            <v>P101FRI012</v>
          </cell>
          <cell r="H180">
            <v>3</v>
          </cell>
          <cell r="I180">
            <v>366.39</v>
          </cell>
        </row>
        <row r="181">
          <cell r="F181" t="str">
            <v>B09MKJBD92</v>
          </cell>
          <cell r="G181" t="str">
            <v>CP.007</v>
          </cell>
          <cell r="H181">
            <v>0</v>
          </cell>
          <cell r="I181">
            <v>0</v>
          </cell>
        </row>
        <row r="182">
          <cell r="F182" t="str">
            <v>B09MS5H54V</v>
          </cell>
          <cell r="G182" t="str">
            <v>P101TOS502</v>
          </cell>
          <cell r="H182">
            <v>4</v>
          </cell>
          <cell r="I182">
            <v>193.97</v>
          </cell>
        </row>
        <row r="183">
          <cell r="F183" t="str">
            <v>B09NBXYF5J</v>
          </cell>
          <cell r="G183" t="str">
            <v>P101TOS002</v>
          </cell>
          <cell r="H183">
            <v>71</v>
          </cell>
          <cell r="I183">
            <v>1361.47</v>
          </cell>
        </row>
        <row r="184">
          <cell r="F184" t="str">
            <v>B09VQLJ1WK</v>
          </cell>
          <cell r="G184" t="str">
            <v>P204FER004</v>
          </cell>
          <cell r="H184">
            <v>5</v>
          </cell>
          <cell r="I184">
            <v>79.16</v>
          </cell>
        </row>
        <row r="185">
          <cell r="F185" t="str">
            <v>B09XR94HF8</v>
          </cell>
          <cell r="G185" t="str">
            <v>C301ACC001</v>
          </cell>
          <cell r="H185">
            <v>1</v>
          </cell>
          <cell r="I185">
            <v>32.08</v>
          </cell>
        </row>
        <row r="186">
          <cell r="F186" t="str">
            <v>B09Y9DBPK5</v>
          </cell>
          <cell r="G186" t="str">
            <v>P101CUD300</v>
          </cell>
          <cell r="H186">
            <v>8</v>
          </cell>
          <cell r="I186">
            <v>583.6</v>
          </cell>
        </row>
        <row r="187">
          <cell r="F187" t="str">
            <v>B09ZBHJ91Q</v>
          </cell>
          <cell r="G187" t="str">
            <v>P201UTP100</v>
          </cell>
          <cell r="H187">
            <v>454</v>
          </cell>
          <cell r="I187">
            <v>5808.2</v>
          </cell>
        </row>
        <row r="188">
          <cell r="F188" t="str">
            <v>B0B131VWYS</v>
          </cell>
          <cell r="G188" t="str">
            <v>P201UTP020</v>
          </cell>
          <cell r="H188">
            <v>1</v>
          </cell>
          <cell r="I188">
            <v>12.21</v>
          </cell>
        </row>
        <row r="189">
          <cell r="F189" t="str">
            <v>B0B2F48ZMP</v>
          </cell>
          <cell r="G189" t="str">
            <v>P102GEL100</v>
          </cell>
          <cell r="H189">
            <v>32</v>
          </cell>
          <cell r="I189">
            <v>1121.43</v>
          </cell>
        </row>
        <row r="190">
          <cell r="F190" t="str">
            <v>B0B2SB1ZQL</v>
          </cell>
          <cell r="G190" t="str">
            <v>P102EST100</v>
          </cell>
          <cell r="H190">
            <v>10</v>
          </cell>
          <cell r="I190">
            <v>220.5</v>
          </cell>
        </row>
        <row r="191">
          <cell r="F191" t="str">
            <v>B0B39H1Z8J</v>
          </cell>
          <cell r="G191" t="str">
            <v>C106CAS001</v>
          </cell>
          <cell r="H191">
            <v>1110</v>
          </cell>
          <cell r="I191">
            <v>9002.1</v>
          </cell>
        </row>
        <row r="192">
          <cell r="F192" t="str">
            <v>B0B3N9ZNT2</v>
          </cell>
          <cell r="G192" t="str">
            <v>P101CUD051</v>
          </cell>
          <cell r="H192">
            <v>23</v>
          </cell>
          <cell r="I192">
            <v>752.1</v>
          </cell>
        </row>
        <row r="193">
          <cell r="F193" t="str">
            <v>B0B5XB4X2T</v>
          </cell>
          <cell r="G193" t="str">
            <v>P102ACP100</v>
          </cell>
          <cell r="H193">
            <v>56</v>
          </cell>
          <cell r="I193">
            <v>913.36</v>
          </cell>
        </row>
        <row r="194">
          <cell r="F194" t="str">
            <v>B0B6JKJNCP</v>
          </cell>
          <cell r="G194" t="str">
            <v>P201UTP201</v>
          </cell>
          <cell r="H194">
            <v>13</v>
          </cell>
          <cell r="I194">
            <v>212.03</v>
          </cell>
        </row>
        <row r="195">
          <cell r="F195" t="str">
            <v>B0B6JPXDN6</v>
          </cell>
          <cell r="G195" t="str">
            <v>P201UTP200</v>
          </cell>
          <cell r="H195">
            <v>2</v>
          </cell>
          <cell r="I195">
            <v>32.619999999999997</v>
          </cell>
        </row>
        <row r="196">
          <cell r="F196" t="str">
            <v>B0B7WVD9L3</v>
          </cell>
          <cell r="G196" t="str">
            <v>P205DIF050</v>
          </cell>
          <cell r="H196">
            <v>4</v>
          </cell>
          <cell r="I196">
            <v>163</v>
          </cell>
        </row>
        <row r="197">
          <cell r="F197" t="str">
            <v>B0B887SKJ1</v>
          </cell>
          <cell r="G197" t="str">
            <v>P102SBA008</v>
          </cell>
          <cell r="H197">
            <v>3</v>
          </cell>
          <cell r="I197">
            <v>48.93</v>
          </cell>
        </row>
        <row r="198">
          <cell r="F198" t="str">
            <v>B0B8DLSNJF</v>
          </cell>
          <cell r="G198" t="str">
            <v>P302VIS050</v>
          </cell>
          <cell r="H198">
            <v>820</v>
          </cell>
          <cell r="I198">
            <v>13374.2</v>
          </cell>
        </row>
        <row r="199">
          <cell r="F199" t="str">
            <v>B0B8JVTQYQ</v>
          </cell>
          <cell r="G199" t="str">
            <v>P101CUD200</v>
          </cell>
          <cell r="H199">
            <v>1</v>
          </cell>
          <cell r="I199">
            <v>40.21</v>
          </cell>
        </row>
        <row r="200">
          <cell r="F200" t="str">
            <v>B0B94FL5H8</v>
          </cell>
          <cell r="G200" t="str">
            <v>PE.387</v>
          </cell>
          <cell r="H200">
            <v>21</v>
          </cell>
          <cell r="I200">
            <v>170.31</v>
          </cell>
        </row>
        <row r="201">
          <cell r="F201" t="str">
            <v>B0BBH12BYN</v>
          </cell>
          <cell r="G201" t="str">
            <v>P101COS001</v>
          </cell>
          <cell r="H201">
            <v>38</v>
          </cell>
          <cell r="I201">
            <v>3092.63</v>
          </cell>
        </row>
        <row r="202">
          <cell r="F202" t="str">
            <v>B0BD4VX5JB</v>
          </cell>
          <cell r="G202" t="str">
            <v>P203PAN002</v>
          </cell>
          <cell r="H202">
            <v>6</v>
          </cell>
          <cell r="I202">
            <v>491.34</v>
          </cell>
        </row>
        <row r="203">
          <cell r="F203" t="str">
            <v>B0BD83RNDG</v>
          </cell>
          <cell r="G203" t="str">
            <v>C106CAS002</v>
          </cell>
          <cell r="H203">
            <v>229</v>
          </cell>
          <cell r="I203">
            <v>2420.5300000000002</v>
          </cell>
        </row>
        <row r="204">
          <cell r="F204" t="str">
            <v>B0BDFXPXY7</v>
          </cell>
          <cell r="G204" t="str">
            <v>P202ASP200</v>
          </cell>
          <cell r="H204">
            <v>2</v>
          </cell>
          <cell r="I204">
            <v>114.6</v>
          </cell>
        </row>
        <row r="205">
          <cell r="F205" t="str">
            <v>B0BFS7CYLQ</v>
          </cell>
          <cell r="G205" t="str">
            <v>P101CUD052</v>
          </cell>
          <cell r="H205">
            <v>10</v>
          </cell>
          <cell r="I205">
            <v>368</v>
          </cell>
        </row>
        <row r="206">
          <cell r="F206" t="str">
            <v>B0BHHV552D</v>
          </cell>
          <cell r="G206" t="str">
            <v>P203TER201</v>
          </cell>
          <cell r="H206">
            <v>0</v>
          </cell>
          <cell r="I206">
            <v>0</v>
          </cell>
        </row>
        <row r="207">
          <cell r="F207" t="str">
            <v>B0BHTBMNX8</v>
          </cell>
          <cell r="G207" t="str">
            <v>P101CUD250</v>
          </cell>
          <cell r="H207">
            <v>3</v>
          </cell>
          <cell r="I207">
            <v>101.23</v>
          </cell>
        </row>
        <row r="208">
          <cell r="F208" t="str">
            <v>B0BJ2DC3KX</v>
          </cell>
          <cell r="G208" t="str">
            <v>P101FRI080</v>
          </cell>
          <cell r="H208">
            <v>2</v>
          </cell>
          <cell r="I208">
            <v>226.06</v>
          </cell>
        </row>
        <row r="209">
          <cell r="F209" t="str">
            <v>B0BJ2TBPJW</v>
          </cell>
          <cell r="G209" t="str">
            <v>C206UTI004</v>
          </cell>
          <cell r="H209">
            <v>879</v>
          </cell>
          <cell r="I209">
            <v>3594.46</v>
          </cell>
        </row>
        <row r="210">
          <cell r="F210" t="str">
            <v>B0BJL1Z674</v>
          </cell>
          <cell r="G210" t="str">
            <v>C102SPE001</v>
          </cell>
          <cell r="H210">
            <v>0</v>
          </cell>
          <cell r="I210">
            <v>0</v>
          </cell>
        </row>
        <row r="211">
          <cell r="F211" t="str">
            <v>B0BNNH9RZQ</v>
          </cell>
          <cell r="G211" t="str">
            <v>P302VIS060</v>
          </cell>
          <cell r="H211">
            <v>0</v>
          </cell>
          <cell r="I211">
            <v>0</v>
          </cell>
        </row>
        <row r="212">
          <cell r="F212" t="str">
            <v>B0BRQB2J4B</v>
          </cell>
          <cell r="G212" t="str">
            <v>PET005</v>
          </cell>
          <cell r="H212">
            <v>105</v>
          </cell>
          <cell r="I212">
            <v>422.1</v>
          </cell>
        </row>
        <row r="213">
          <cell r="F213" t="str">
            <v>B0BTHSH5MK</v>
          </cell>
          <cell r="G213" t="str">
            <v>C103ACC001</v>
          </cell>
          <cell r="H213">
            <v>36</v>
          </cell>
          <cell r="I213">
            <v>304.26</v>
          </cell>
        </row>
        <row r="214">
          <cell r="F214" t="str">
            <v>Totale complessivo</v>
          </cell>
          <cell r="H214">
            <v>21937</v>
          </cell>
          <cell r="I214">
            <v>332933.00999999995</v>
          </cell>
        </row>
      </sheetData>
      <sheetData sheetId="4">
        <row r="1">
          <cell r="F1" t="str">
            <v>Codice marketplace</v>
          </cell>
          <cell r="G1" t="str">
            <v>IT</v>
          </cell>
        </row>
        <row r="3">
          <cell r="F3" t="str">
            <v>ASIN</v>
          </cell>
          <cell r="G3" t="str">
            <v>Numero del modello</v>
          </cell>
          <cell r="H3" t="str">
            <v>Somma di Unità ordinate</v>
          </cell>
          <cell r="I3" t="str">
            <v>Somma di Ricavi ordini</v>
          </cell>
        </row>
        <row r="4">
          <cell r="F4" t="str">
            <v>B0050IHH4E</v>
          </cell>
          <cell r="G4" t="str">
            <v>40.979</v>
          </cell>
          <cell r="H4">
            <v>486</v>
          </cell>
          <cell r="I4">
            <v>6983.03</v>
          </cell>
        </row>
        <row r="5">
          <cell r="F5" t="str">
            <v>B00BH202XK</v>
          </cell>
          <cell r="G5" t="str">
            <v>40.808A</v>
          </cell>
          <cell r="H5">
            <v>6</v>
          </cell>
          <cell r="I5">
            <v>83.1</v>
          </cell>
        </row>
        <row r="6">
          <cell r="F6" t="str">
            <v>B00EYDRS1I</v>
          </cell>
          <cell r="G6" t="str">
            <v>90.349</v>
          </cell>
          <cell r="H6">
            <v>36</v>
          </cell>
          <cell r="I6">
            <v>211.74</v>
          </cell>
        </row>
        <row r="7">
          <cell r="F7" t="str">
            <v>B00FFBFVG2</v>
          </cell>
          <cell r="G7" t="str">
            <v>40.100</v>
          </cell>
          <cell r="H7">
            <v>0</v>
          </cell>
          <cell r="I7">
            <v>0</v>
          </cell>
        </row>
        <row r="8">
          <cell r="F8" t="str">
            <v>B00L5GPWFG</v>
          </cell>
          <cell r="G8" t="str">
            <v>40.120</v>
          </cell>
          <cell r="H8">
            <v>6</v>
          </cell>
          <cell r="I8">
            <v>147.9</v>
          </cell>
        </row>
        <row r="9">
          <cell r="F9" t="str">
            <v>B00L5H5KUW</v>
          </cell>
          <cell r="G9" t="str">
            <v>40.121</v>
          </cell>
          <cell r="H9">
            <v>275</v>
          </cell>
          <cell r="I9">
            <v>5023.29</v>
          </cell>
        </row>
        <row r="10">
          <cell r="F10" t="str">
            <v>B00NSNZSLM</v>
          </cell>
          <cell r="G10" t="str">
            <v>90.602</v>
          </cell>
          <cell r="H10">
            <v>1</v>
          </cell>
          <cell r="I10">
            <v>20.41</v>
          </cell>
        </row>
        <row r="11">
          <cell r="F11" t="str">
            <v>B00OKE4RTM</v>
          </cell>
          <cell r="G11" t="str">
            <v>90.386</v>
          </cell>
          <cell r="H11">
            <v>2</v>
          </cell>
          <cell r="I11">
            <v>98.08</v>
          </cell>
        </row>
        <row r="12">
          <cell r="F12" t="str">
            <v>B00YH3FRV8</v>
          </cell>
          <cell r="G12" t="str">
            <v>40.998</v>
          </cell>
          <cell r="H12">
            <v>1</v>
          </cell>
          <cell r="I12">
            <v>7.43</v>
          </cell>
        </row>
        <row r="13">
          <cell r="F13" t="str">
            <v>B011LFM60E</v>
          </cell>
          <cell r="G13" t="str">
            <v>40.948T</v>
          </cell>
          <cell r="H13">
            <v>2</v>
          </cell>
          <cell r="I13">
            <v>12.96</v>
          </cell>
        </row>
        <row r="14">
          <cell r="F14" t="str">
            <v>B011LFVLW8</v>
          </cell>
          <cell r="G14" t="str">
            <v>90.620</v>
          </cell>
          <cell r="H14">
            <v>19</v>
          </cell>
          <cell r="I14">
            <v>686.19</v>
          </cell>
        </row>
        <row r="15">
          <cell r="F15" t="str">
            <v>B017IUJA50</v>
          </cell>
          <cell r="G15" t="str">
            <v>90.920G</v>
          </cell>
          <cell r="H15">
            <v>15</v>
          </cell>
          <cell r="I15">
            <v>209.45</v>
          </cell>
        </row>
        <row r="16">
          <cell r="F16" t="str">
            <v>B01CHW1L88</v>
          </cell>
          <cell r="G16" t="str">
            <v>PE.001</v>
          </cell>
          <cell r="H16">
            <v>1</v>
          </cell>
          <cell r="I16">
            <v>15.05</v>
          </cell>
        </row>
        <row r="17">
          <cell r="F17" t="str">
            <v>B01CNX6UIM</v>
          </cell>
          <cell r="G17" t="str">
            <v>PE.300</v>
          </cell>
          <cell r="H17">
            <v>0</v>
          </cell>
          <cell r="I17">
            <v>0</v>
          </cell>
        </row>
        <row r="18">
          <cell r="F18" t="str">
            <v>B01CNX71NA</v>
          </cell>
          <cell r="G18" t="str">
            <v>90.871</v>
          </cell>
          <cell r="H18">
            <v>1</v>
          </cell>
          <cell r="I18">
            <v>86.86</v>
          </cell>
        </row>
        <row r="19">
          <cell r="F19" t="str">
            <v>B01HM47LF8</v>
          </cell>
          <cell r="G19" t="str">
            <v>MD.004</v>
          </cell>
          <cell r="H19">
            <v>2</v>
          </cell>
          <cell r="I19">
            <v>7.25</v>
          </cell>
        </row>
        <row r="20">
          <cell r="F20" t="str">
            <v>B01I497WWM</v>
          </cell>
          <cell r="G20" t="str">
            <v>90.920R</v>
          </cell>
          <cell r="H20">
            <v>14</v>
          </cell>
          <cell r="I20">
            <v>260.2</v>
          </cell>
        </row>
        <row r="21">
          <cell r="F21" t="str">
            <v>B01IHGX2HQ</v>
          </cell>
          <cell r="G21" t="str">
            <v>MD.104</v>
          </cell>
          <cell r="H21">
            <v>14</v>
          </cell>
          <cell r="I21">
            <v>58.41</v>
          </cell>
        </row>
        <row r="22">
          <cell r="F22" t="str">
            <v>B01KMJ9OXW</v>
          </cell>
          <cell r="G22" t="str">
            <v>90.590Y</v>
          </cell>
          <cell r="H22">
            <v>1</v>
          </cell>
          <cell r="I22">
            <v>35.32</v>
          </cell>
        </row>
        <row r="23">
          <cell r="F23" t="str">
            <v>B01M4O6145</v>
          </cell>
          <cell r="G23" t="str">
            <v>90.071</v>
          </cell>
          <cell r="H23">
            <v>37</v>
          </cell>
          <cell r="I23">
            <v>755.17</v>
          </cell>
        </row>
        <row r="24">
          <cell r="F24" t="str">
            <v>B01MTSEGF9</v>
          </cell>
          <cell r="G24" t="str">
            <v>50.700</v>
          </cell>
          <cell r="H24">
            <v>0</v>
          </cell>
          <cell r="I24">
            <v>0</v>
          </cell>
        </row>
        <row r="25">
          <cell r="F25" t="str">
            <v>B06WGS8ZVG</v>
          </cell>
          <cell r="G25" t="str">
            <v>90.131</v>
          </cell>
          <cell r="H25">
            <v>2</v>
          </cell>
          <cell r="I25">
            <v>27.28</v>
          </cell>
        </row>
        <row r="26">
          <cell r="F26" t="str">
            <v>B06XPK3BTC</v>
          </cell>
          <cell r="G26" t="str">
            <v>40.450GO</v>
          </cell>
          <cell r="H26">
            <v>2</v>
          </cell>
          <cell r="I26">
            <v>31.65</v>
          </cell>
        </row>
        <row r="27">
          <cell r="F27" t="str">
            <v>B06XPYSCGJ</v>
          </cell>
          <cell r="G27" t="str">
            <v>40.939</v>
          </cell>
          <cell r="H27">
            <v>0</v>
          </cell>
          <cell r="I27">
            <v>0</v>
          </cell>
        </row>
        <row r="28">
          <cell r="F28" t="str">
            <v>B06XSJPGR9</v>
          </cell>
          <cell r="G28" t="str">
            <v>50.130</v>
          </cell>
          <cell r="H28">
            <v>0</v>
          </cell>
          <cell r="I28">
            <v>0</v>
          </cell>
        </row>
        <row r="29">
          <cell r="F29" t="str">
            <v>B06XYMCV3W</v>
          </cell>
          <cell r="G29" t="str">
            <v>90.485H</v>
          </cell>
          <cell r="H29">
            <v>0</v>
          </cell>
          <cell r="I29">
            <v>0</v>
          </cell>
        </row>
        <row r="30">
          <cell r="F30" t="str">
            <v>B06Y17FS6D</v>
          </cell>
          <cell r="G30" t="str">
            <v>90.550</v>
          </cell>
          <cell r="H30">
            <v>49</v>
          </cell>
          <cell r="I30">
            <v>1395.95</v>
          </cell>
        </row>
        <row r="31">
          <cell r="F31" t="str">
            <v>B06Y1997YH</v>
          </cell>
          <cell r="G31" t="str">
            <v>90.883</v>
          </cell>
          <cell r="H31">
            <v>11</v>
          </cell>
          <cell r="I31">
            <v>685.1</v>
          </cell>
        </row>
        <row r="32">
          <cell r="F32" t="str">
            <v>B073B67PLQ</v>
          </cell>
          <cell r="G32" t="str">
            <v>90.884</v>
          </cell>
          <cell r="H32">
            <v>14</v>
          </cell>
          <cell r="I32">
            <v>1136.27</v>
          </cell>
        </row>
        <row r="33">
          <cell r="F33" t="str">
            <v>B0757TJRR9</v>
          </cell>
          <cell r="G33" t="str">
            <v>40.500</v>
          </cell>
          <cell r="H33">
            <v>1</v>
          </cell>
          <cell r="I33">
            <v>26.97</v>
          </cell>
        </row>
        <row r="34">
          <cell r="F34" t="str">
            <v>B075K5C2QG</v>
          </cell>
          <cell r="G34" t="str">
            <v>RI.201</v>
          </cell>
          <cell r="H34">
            <v>2</v>
          </cell>
          <cell r="I34">
            <v>40.82</v>
          </cell>
        </row>
        <row r="35">
          <cell r="F35" t="str">
            <v>B075RF5S3N</v>
          </cell>
          <cell r="G35" t="str">
            <v>BC.160A</v>
          </cell>
          <cell r="H35">
            <v>5</v>
          </cell>
          <cell r="I35">
            <v>129.21</v>
          </cell>
        </row>
        <row r="36">
          <cell r="F36" t="str">
            <v>B075RF8FM9</v>
          </cell>
          <cell r="G36" t="str">
            <v>BC.160G</v>
          </cell>
          <cell r="H36">
            <v>0</v>
          </cell>
          <cell r="I36">
            <v>0</v>
          </cell>
        </row>
        <row r="37">
          <cell r="F37" t="str">
            <v>B076DC4VWG</v>
          </cell>
          <cell r="G37" t="str">
            <v>40.501</v>
          </cell>
          <cell r="H37">
            <v>0</v>
          </cell>
          <cell r="I37">
            <v>0</v>
          </cell>
        </row>
        <row r="38">
          <cell r="F38" t="str">
            <v>B076DCKSTJ</v>
          </cell>
          <cell r="G38" t="str">
            <v>BT.602H</v>
          </cell>
          <cell r="H38">
            <v>3</v>
          </cell>
          <cell r="I38">
            <v>62.39</v>
          </cell>
        </row>
        <row r="39">
          <cell r="F39" t="str">
            <v>B076DCL19C</v>
          </cell>
          <cell r="G39" t="str">
            <v>BP.720</v>
          </cell>
          <cell r="H39">
            <v>17</v>
          </cell>
          <cell r="I39">
            <v>814.3</v>
          </cell>
        </row>
        <row r="40">
          <cell r="F40" t="str">
            <v>B076DD26WW</v>
          </cell>
          <cell r="G40" t="str">
            <v>CA.010</v>
          </cell>
          <cell r="H40">
            <v>-1</v>
          </cell>
          <cell r="I40">
            <v>-5.12</v>
          </cell>
        </row>
        <row r="41">
          <cell r="F41" t="str">
            <v>B076Q7BR6F</v>
          </cell>
          <cell r="G41" t="str">
            <v>BC.041N</v>
          </cell>
          <cell r="H41">
            <v>34</v>
          </cell>
          <cell r="I41">
            <v>1525.2</v>
          </cell>
        </row>
        <row r="42">
          <cell r="F42" t="str">
            <v>B076QCMZX1</v>
          </cell>
          <cell r="G42" t="str">
            <v>40.821</v>
          </cell>
          <cell r="H42">
            <v>162</v>
          </cell>
          <cell r="I42">
            <v>1977.32</v>
          </cell>
        </row>
        <row r="43">
          <cell r="F43" t="str">
            <v>B076QFRRZ5</v>
          </cell>
          <cell r="G43" t="str">
            <v>40.931</v>
          </cell>
          <cell r="H43">
            <v>40</v>
          </cell>
          <cell r="I43">
            <v>573.30999999999995</v>
          </cell>
        </row>
        <row r="44">
          <cell r="F44" t="str">
            <v>B079SB5VJZ</v>
          </cell>
          <cell r="G44" t="str">
            <v>50451</v>
          </cell>
          <cell r="H44">
            <v>2</v>
          </cell>
          <cell r="I44">
            <v>91.63</v>
          </cell>
        </row>
        <row r="45">
          <cell r="F45" t="str">
            <v>B07B9CPH62</v>
          </cell>
          <cell r="G45" t="str">
            <v>BG.200Y</v>
          </cell>
          <cell r="H45">
            <v>6</v>
          </cell>
          <cell r="I45">
            <v>294.60000000000002</v>
          </cell>
        </row>
        <row r="46">
          <cell r="F46" t="str">
            <v>B07BB2DQ4V</v>
          </cell>
          <cell r="G46" t="str">
            <v>BT.150Y</v>
          </cell>
          <cell r="H46">
            <v>1</v>
          </cell>
          <cell r="I46">
            <v>33.14</v>
          </cell>
        </row>
        <row r="47">
          <cell r="F47" t="str">
            <v>B07BHCZR84</v>
          </cell>
          <cell r="G47" t="str">
            <v>BA.200Y</v>
          </cell>
          <cell r="H47">
            <v>22</v>
          </cell>
          <cell r="I47">
            <v>266.22000000000003</v>
          </cell>
        </row>
        <row r="48">
          <cell r="F48" t="str">
            <v>B07F187NFQ</v>
          </cell>
          <cell r="G48" t="str">
            <v>50.900</v>
          </cell>
          <cell r="H48">
            <v>1</v>
          </cell>
          <cell r="I48">
            <v>3.77</v>
          </cell>
        </row>
        <row r="49">
          <cell r="F49" t="str">
            <v>B07HM7P6MP</v>
          </cell>
          <cell r="G49" t="str">
            <v>RI.080</v>
          </cell>
          <cell r="H49">
            <v>10</v>
          </cell>
          <cell r="I49">
            <v>253.92</v>
          </cell>
        </row>
        <row r="50">
          <cell r="F50" t="str">
            <v>B07JGVMFY1</v>
          </cell>
          <cell r="G50" t="str">
            <v>BP.581</v>
          </cell>
          <cell r="H50">
            <v>2</v>
          </cell>
          <cell r="I50">
            <v>34.380000000000003</v>
          </cell>
        </row>
        <row r="51">
          <cell r="F51" t="str">
            <v>B07KYWNC7Z</v>
          </cell>
          <cell r="G51" t="str">
            <v>40.405</v>
          </cell>
          <cell r="H51">
            <v>25</v>
          </cell>
          <cell r="I51">
            <v>540.71</v>
          </cell>
        </row>
        <row r="52">
          <cell r="F52" t="str">
            <v>B07N4C3H3V</v>
          </cell>
          <cell r="G52" t="str">
            <v>40.405</v>
          </cell>
          <cell r="H52">
            <v>2</v>
          </cell>
          <cell r="I52">
            <v>22.14</v>
          </cell>
        </row>
        <row r="53">
          <cell r="F53" t="str">
            <v>B07NNZSW1W</v>
          </cell>
          <cell r="G53" t="str">
            <v>BT.110</v>
          </cell>
          <cell r="H53">
            <v>1</v>
          </cell>
          <cell r="I53">
            <v>19.72</v>
          </cell>
        </row>
        <row r="54">
          <cell r="F54" t="str">
            <v>B07NQ1T7YK</v>
          </cell>
          <cell r="G54" t="str">
            <v>BP.101H</v>
          </cell>
          <cell r="H54">
            <v>13</v>
          </cell>
          <cell r="I54">
            <v>182.92</v>
          </cell>
        </row>
        <row r="55">
          <cell r="F55" t="str">
            <v>B07NQC6S9V</v>
          </cell>
          <cell r="G55" t="str">
            <v>BT.651Y</v>
          </cell>
          <cell r="H55">
            <v>1</v>
          </cell>
          <cell r="I55">
            <v>36.799999999999997</v>
          </cell>
        </row>
        <row r="56">
          <cell r="F56" t="str">
            <v>B07P7L18T9</v>
          </cell>
          <cell r="G56" t="str">
            <v>40.102</v>
          </cell>
          <cell r="H56">
            <v>1</v>
          </cell>
          <cell r="I56">
            <v>13.81</v>
          </cell>
        </row>
        <row r="57">
          <cell r="F57" t="str">
            <v>B07Q38Z7CK</v>
          </cell>
          <cell r="G57" t="str">
            <v>BC.060</v>
          </cell>
          <cell r="H57">
            <v>168</v>
          </cell>
          <cell r="I57">
            <v>3399.3</v>
          </cell>
        </row>
        <row r="58">
          <cell r="F58" t="str">
            <v>B07QX1RJRH</v>
          </cell>
          <cell r="G58" t="str">
            <v>40.742</v>
          </cell>
          <cell r="H58">
            <v>2</v>
          </cell>
          <cell r="I58">
            <v>48.17</v>
          </cell>
        </row>
        <row r="59">
          <cell r="F59" t="str">
            <v>B07RRBP1YR</v>
          </cell>
          <cell r="G59" t="str">
            <v>VE.502</v>
          </cell>
          <cell r="H59">
            <v>0</v>
          </cell>
          <cell r="I59">
            <v>0</v>
          </cell>
        </row>
        <row r="60">
          <cell r="F60" t="str">
            <v>B07SSLRCT6</v>
          </cell>
          <cell r="G60" t="str">
            <v>BP.304</v>
          </cell>
          <cell r="H60">
            <v>99</v>
          </cell>
          <cell r="I60">
            <v>1371.15</v>
          </cell>
        </row>
        <row r="61">
          <cell r="F61" t="str">
            <v>B07TQVD94L</v>
          </cell>
          <cell r="G61" t="str">
            <v>BP.690</v>
          </cell>
          <cell r="H61">
            <v>6</v>
          </cell>
          <cell r="I61">
            <v>147.06</v>
          </cell>
        </row>
        <row r="62">
          <cell r="F62" t="str">
            <v>B07TSNB5WG</v>
          </cell>
          <cell r="G62" t="str">
            <v>BP.102</v>
          </cell>
          <cell r="H62">
            <v>0</v>
          </cell>
          <cell r="I62">
            <v>0</v>
          </cell>
        </row>
        <row r="63">
          <cell r="F63" t="str">
            <v>B07TSNCJ5J</v>
          </cell>
          <cell r="G63" t="str">
            <v>BP.800</v>
          </cell>
          <cell r="H63">
            <v>16</v>
          </cell>
          <cell r="I63">
            <v>167.52</v>
          </cell>
        </row>
        <row r="64">
          <cell r="F64" t="str">
            <v>B07V131F5W</v>
          </cell>
          <cell r="G64" t="str">
            <v>40.490</v>
          </cell>
          <cell r="H64">
            <v>105</v>
          </cell>
          <cell r="I64">
            <v>2591.61</v>
          </cell>
        </row>
        <row r="65">
          <cell r="F65" t="str">
            <v>B07W7S9KYM</v>
          </cell>
          <cell r="G65" t="str">
            <v>BB.200</v>
          </cell>
          <cell r="H65">
            <v>25</v>
          </cell>
          <cell r="I65">
            <v>993.72</v>
          </cell>
        </row>
        <row r="66">
          <cell r="F66" t="str">
            <v>B07Y3XHMMV</v>
          </cell>
          <cell r="G66" t="str">
            <v>BP.604</v>
          </cell>
          <cell r="H66">
            <v>4</v>
          </cell>
          <cell r="I66">
            <v>80.010000000000005</v>
          </cell>
        </row>
        <row r="67">
          <cell r="F67" t="str">
            <v>B07YBM3P68</v>
          </cell>
          <cell r="G67" t="str">
            <v>RI.096</v>
          </cell>
          <cell r="H67">
            <v>0</v>
          </cell>
          <cell r="I67">
            <v>0</v>
          </cell>
        </row>
        <row r="68">
          <cell r="F68" t="str">
            <v>B07YBNPZPJ</v>
          </cell>
          <cell r="G68" t="str">
            <v>BP.552</v>
          </cell>
          <cell r="H68">
            <v>3</v>
          </cell>
          <cell r="I68">
            <v>92.19</v>
          </cell>
        </row>
        <row r="69">
          <cell r="F69" t="str">
            <v>B07YZZZVXP</v>
          </cell>
          <cell r="G69" t="str">
            <v>MD.404</v>
          </cell>
          <cell r="H69">
            <v>-4</v>
          </cell>
          <cell r="I69">
            <v>-230.16</v>
          </cell>
        </row>
        <row r="70">
          <cell r="F70" t="str">
            <v>B07ZJMFB3R</v>
          </cell>
          <cell r="G70" t="str">
            <v>BC.510</v>
          </cell>
          <cell r="H70">
            <v>12</v>
          </cell>
          <cell r="I70">
            <v>709.12</v>
          </cell>
        </row>
        <row r="71">
          <cell r="F71" t="str">
            <v>B07ZJQTGG8</v>
          </cell>
          <cell r="G71" t="str">
            <v>50.245</v>
          </cell>
          <cell r="H71">
            <v>107</v>
          </cell>
          <cell r="I71">
            <v>1345.75</v>
          </cell>
        </row>
        <row r="72">
          <cell r="F72" t="str">
            <v>B081QRX1K7</v>
          </cell>
          <cell r="G72" t="str">
            <v>40.473</v>
          </cell>
          <cell r="H72">
            <v>3</v>
          </cell>
          <cell r="I72">
            <v>66.150000000000006</v>
          </cell>
        </row>
        <row r="73">
          <cell r="F73" t="str">
            <v>B08485QRVZ</v>
          </cell>
          <cell r="G73" t="str">
            <v>BC.261</v>
          </cell>
          <cell r="H73">
            <v>1</v>
          </cell>
          <cell r="I73">
            <v>24.88</v>
          </cell>
        </row>
        <row r="74">
          <cell r="F74" t="str">
            <v>B084C3JTC2</v>
          </cell>
          <cell r="G74" t="str">
            <v>40.406</v>
          </cell>
          <cell r="H74">
            <v>28</v>
          </cell>
          <cell r="I74">
            <v>676.38</v>
          </cell>
        </row>
        <row r="75">
          <cell r="F75" t="str">
            <v>B084PN7WPZ</v>
          </cell>
          <cell r="G75" t="str">
            <v>XUADA001</v>
          </cell>
          <cell r="H75">
            <v>5</v>
          </cell>
          <cell r="I75">
            <v>24.55</v>
          </cell>
        </row>
        <row r="76">
          <cell r="F76" t="str">
            <v>B084TG23R3</v>
          </cell>
          <cell r="G76" t="str">
            <v>C102BOT001</v>
          </cell>
          <cell r="H76">
            <v>1</v>
          </cell>
          <cell r="I76">
            <v>7.62</v>
          </cell>
        </row>
        <row r="77">
          <cell r="F77" t="str">
            <v>B084TG4594</v>
          </cell>
          <cell r="G77" t="str">
            <v>C102BOT003</v>
          </cell>
          <cell r="H77">
            <v>45</v>
          </cell>
          <cell r="I77">
            <v>281</v>
          </cell>
        </row>
        <row r="78">
          <cell r="F78" t="str">
            <v>B084TGLFLM</v>
          </cell>
          <cell r="G78" t="str">
            <v>C102BOT002</v>
          </cell>
          <cell r="H78">
            <v>29</v>
          </cell>
          <cell r="I78">
            <v>189.95</v>
          </cell>
        </row>
        <row r="79">
          <cell r="F79" t="str">
            <v>B084TGLSDV</v>
          </cell>
          <cell r="G79" t="str">
            <v>C102BOT004</v>
          </cell>
          <cell r="H79">
            <v>57</v>
          </cell>
          <cell r="I79">
            <v>357.47</v>
          </cell>
        </row>
        <row r="80">
          <cell r="F80" t="str">
            <v>B085JHSTQS</v>
          </cell>
          <cell r="G80" t="str">
            <v>P206VEN410</v>
          </cell>
          <cell r="H80">
            <v>0</v>
          </cell>
          <cell r="I80">
            <v>0</v>
          </cell>
        </row>
        <row r="81">
          <cell r="F81" t="str">
            <v>B085JHSWJH</v>
          </cell>
          <cell r="G81" t="str">
            <v>BP.802</v>
          </cell>
          <cell r="H81">
            <v>51</v>
          </cell>
          <cell r="I81">
            <v>665.8</v>
          </cell>
        </row>
        <row r="82">
          <cell r="F82" t="str">
            <v>B085JHSWJW</v>
          </cell>
          <cell r="G82" t="str">
            <v>RCOBP630</v>
          </cell>
          <cell r="H82">
            <v>1</v>
          </cell>
          <cell r="I82">
            <v>5.98</v>
          </cell>
        </row>
        <row r="83">
          <cell r="F83" t="str">
            <v>B085JHTR6Q</v>
          </cell>
          <cell r="G83" t="str">
            <v>BP.790</v>
          </cell>
          <cell r="H83">
            <v>25</v>
          </cell>
          <cell r="I83">
            <v>612.75</v>
          </cell>
        </row>
        <row r="84">
          <cell r="F84" t="str">
            <v>B085JHZT67</v>
          </cell>
          <cell r="G84" t="str">
            <v>P206VEN420</v>
          </cell>
          <cell r="H84">
            <v>5</v>
          </cell>
          <cell r="I84">
            <v>81.55</v>
          </cell>
        </row>
        <row r="85">
          <cell r="F85" t="str">
            <v>B085JJ81R7</v>
          </cell>
          <cell r="G85" t="str">
            <v>RCO9003028</v>
          </cell>
          <cell r="H85">
            <v>43</v>
          </cell>
          <cell r="I85">
            <v>278.64</v>
          </cell>
        </row>
        <row r="86">
          <cell r="F86" t="str">
            <v>B085JJ8RC6</v>
          </cell>
          <cell r="G86" t="str">
            <v>BB.050</v>
          </cell>
          <cell r="H86">
            <v>16</v>
          </cell>
          <cell r="I86">
            <v>206.03</v>
          </cell>
        </row>
        <row r="87">
          <cell r="F87" t="str">
            <v>B085JJ9J4N</v>
          </cell>
          <cell r="G87" t="str">
            <v>P206RAF200</v>
          </cell>
          <cell r="H87">
            <v>10</v>
          </cell>
          <cell r="I87">
            <v>204.1</v>
          </cell>
        </row>
        <row r="88">
          <cell r="F88" t="str">
            <v>B085JJFLGY</v>
          </cell>
          <cell r="G88" t="str">
            <v>RCO9003022</v>
          </cell>
          <cell r="H88">
            <v>54</v>
          </cell>
          <cell r="I88">
            <v>261.66000000000003</v>
          </cell>
        </row>
        <row r="89">
          <cell r="F89" t="str">
            <v>B085JJMBM7</v>
          </cell>
          <cell r="G89" t="str">
            <v>P206VEN400</v>
          </cell>
          <cell r="H89">
            <v>2</v>
          </cell>
          <cell r="I89">
            <v>28.91</v>
          </cell>
        </row>
        <row r="90">
          <cell r="F90" t="str">
            <v>B085R2GCKX</v>
          </cell>
          <cell r="G90" t="str">
            <v>40.332</v>
          </cell>
          <cell r="H90">
            <v>43</v>
          </cell>
          <cell r="I90">
            <v>712.92</v>
          </cell>
        </row>
        <row r="91">
          <cell r="F91" t="str">
            <v>B088V4DR59</v>
          </cell>
          <cell r="G91" t="str">
            <v>P206ZAN040</v>
          </cell>
          <cell r="H91">
            <v>12</v>
          </cell>
          <cell r="I91">
            <v>631.29999999999995</v>
          </cell>
        </row>
        <row r="92">
          <cell r="F92" t="str">
            <v>B088XJQ37J</v>
          </cell>
          <cell r="G92" t="str">
            <v>C301ABE001</v>
          </cell>
          <cell r="H92">
            <v>33</v>
          </cell>
          <cell r="I92">
            <v>402.93</v>
          </cell>
        </row>
        <row r="93">
          <cell r="F93" t="str">
            <v>B08B66J4C3</v>
          </cell>
          <cell r="G93" t="str">
            <v>P101PIA001</v>
          </cell>
          <cell r="H93">
            <v>0</v>
          </cell>
          <cell r="I93">
            <v>0</v>
          </cell>
        </row>
        <row r="94">
          <cell r="F94" t="str">
            <v>B08B8M2B7B</v>
          </cell>
          <cell r="G94" t="str">
            <v>P102EST001</v>
          </cell>
          <cell r="H94">
            <v>8</v>
          </cell>
          <cell r="I94">
            <v>261.60000000000002</v>
          </cell>
        </row>
        <row r="95">
          <cell r="F95" t="str">
            <v>B08C7YJB5N</v>
          </cell>
          <cell r="G95" t="str">
            <v>P201UTP001</v>
          </cell>
          <cell r="H95">
            <v>33</v>
          </cell>
          <cell r="I95">
            <v>432.96</v>
          </cell>
        </row>
        <row r="96">
          <cell r="F96" t="str">
            <v>B08DHZDXVV</v>
          </cell>
          <cell r="G96" t="str">
            <v>P102SBA100</v>
          </cell>
          <cell r="H96">
            <v>4</v>
          </cell>
          <cell r="I96">
            <v>88.2</v>
          </cell>
        </row>
        <row r="97">
          <cell r="F97" t="str">
            <v>B08DJ3K9J8</v>
          </cell>
          <cell r="G97" t="str">
            <v>p102rob100</v>
          </cell>
          <cell r="H97">
            <v>1</v>
          </cell>
          <cell r="I97">
            <v>9.75</v>
          </cell>
        </row>
        <row r="98">
          <cell r="F98" t="str">
            <v>B08FDYW72J</v>
          </cell>
          <cell r="G98" t="str">
            <v>P101CUD100</v>
          </cell>
          <cell r="H98">
            <v>6</v>
          </cell>
          <cell r="I98">
            <v>147.06</v>
          </cell>
        </row>
        <row r="99">
          <cell r="F99" t="str">
            <v>B08FF245TD</v>
          </cell>
          <cell r="G99" t="str">
            <v>P101CUD500</v>
          </cell>
          <cell r="H99">
            <v>2</v>
          </cell>
          <cell r="I99">
            <v>54.55</v>
          </cell>
        </row>
        <row r="100">
          <cell r="F100" t="str">
            <v>B08FMLPKY9</v>
          </cell>
          <cell r="G100" t="str">
            <v>P201UTP004</v>
          </cell>
          <cell r="H100">
            <v>9</v>
          </cell>
          <cell r="I100">
            <v>182.97</v>
          </cell>
        </row>
        <row r="101">
          <cell r="F101" t="str">
            <v>B08GS7XW73</v>
          </cell>
          <cell r="G101" t="str">
            <v>P204FER250</v>
          </cell>
          <cell r="H101">
            <v>30</v>
          </cell>
          <cell r="I101">
            <v>488.1</v>
          </cell>
        </row>
        <row r="102">
          <cell r="F102" t="str">
            <v>B08GSK6C18</v>
          </cell>
          <cell r="G102" t="str">
            <v>P204FER200</v>
          </cell>
          <cell r="H102">
            <v>7</v>
          </cell>
          <cell r="I102">
            <v>121.73</v>
          </cell>
        </row>
        <row r="103">
          <cell r="F103" t="str">
            <v>B08GY7286R</v>
          </cell>
          <cell r="G103" t="str">
            <v>P203TFO001</v>
          </cell>
          <cell r="H103">
            <v>191</v>
          </cell>
          <cell r="I103">
            <v>2651.93</v>
          </cell>
        </row>
        <row r="104">
          <cell r="F104" t="str">
            <v>B08HCT78N3</v>
          </cell>
          <cell r="G104" t="str">
            <v>P202ASP400</v>
          </cell>
          <cell r="H104">
            <v>17</v>
          </cell>
          <cell r="I104">
            <v>179.69</v>
          </cell>
        </row>
        <row r="105">
          <cell r="F105" t="str">
            <v>B08HN4DPJV</v>
          </cell>
          <cell r="G105" t="str">
            <v>P201UTP003</v>
          </cell>
          <cell r="H105">
            <v>1</v>
          </cell>
          <cell r="I105">
            <v>12.48</v>
          </cell>
        </row>
        <row r="106">
          <cell r="F106" t="str">
            <v>B08JYDDFZ2</v>
          </cell>
          <cell r="G106" t="str">
            <v>C206UTI002</v>
          </cell>
          <cell r="H106">
            <v>2</v>
          </cell>
          <cell r="I106">
            <v>21.14</v>
          </cell>
        </row>
        <row r="107">
          <cell r="F107" t="str">
            <v>B08JYWF3PK</v>
          </cell>
          <cell r="G107" t="str">
            <v>C102COC101</v>
          </cell>
          <cell r="H107">
            <v>63</v>
          </cell>
          <cell r="I107">
            <v>567.63</v>
          </cell>
        </row>
        <row r="108">
          <cell r="F108" t="str">
            <v>B08KYZ2FLN</v>
          </cell>
          <cell r="G108" t="str">
            <v>P101FRI001</v>
          </cell>
          <cell r="H108">
            <v>4</v>
          </cell>
          <cell r="I108">
            <v>158.49</v>
          </cell>
        </row>
        <row r="109">
          <cell r="F109" t="str">
            <v>B08L9D9KR9</v>
          </cell>
          <cell r="G109" t="str">
            <v>P202VAL001</v>
          </cell>
          <cell r="H109">
            <v>19</v>
          </cell>
          <cell r="I109">
            <v>1088.7</v>
          </cell>
        </row>
        <row r="110">
          <cell r="F110" t="str">
            <v>B08LDDKBYG</v>
          </cell>
          <cell r="G110" t="str">
            <v>P202VAL002</v>
          </cell>
          <cell r="H110">
            <v>2</v>
          </cell>
          <cell r="I110">
            <v>9.82</v>
          </cell>
        </row>
        <row r="111">
          <cell r="F111" t="str">
            <v>B08LVS1MMY</v>
          </cell>
          <cell r="G111" t="str">
            <v>P202VAL100</v>
          </cell>
          <cell r="H111">
            <v>4</v>
          </cell>
          <cell r="I111">
            <v>65.239999999999995</v>
          </cell>
        </row>
        <row r="112">
          <cell r="F112" t="str">
            <v>B08MM2VK11</v>
          </cell>
          <cell r="G112" t="str">
            <v>P302MAS001</v>
          </cell>
          <cell r="H112">
            <v>0</v>
          </cell>
          <cell r="I112">
            <v>0</v>
          </cell>
        </row>
        <row r="113">
          <cell r="F113" t="str">
            <v>B08MX1SQKC</v>
          </cell>
          <cell r="G113" t="str">
            <v>P302VIS001</v>
          </cell>
          <cell r="H113">
            <v>4</v>
          </cell>
          <cell r="I113">
            <v>52.22</v>
          </cell>
        </row>
        <row r="114">
          <cell r="F114" t="str">
            <v>B08NF8TQKT</v>
          </cell>
          <cell r="G114" t="str">
            <v>P102FRU100</v>
          </cell>
          <cell r="H114">
            <v>9</v>
          </cell>
          <cell r="I114">
            <v>203.19</v>
          </cell>
        </row>
        <row r="115">
          <cell r="F115" t="str">
            <v>B08NTD853X</v>
          </cell>
          <cell r="G115" t="str">
            <v>P102SBA006</v>
          </cell>
          <cell r="H115">
            <v>0</v>
          </cell>
          <cell r="I115">
            <v>0</v>
          </cell>
        </row>
        <row r="116">
          <cell r="F116" t="str">
            <v>B08V4VTTQN</v>
          </cell>
          <cell r="G116" t="str">
            <v>C107UTT001</v>
          </cell>
          <cell r="H116">
            <v>9</v>
          </cell>
          <cell r="I116">
            <v>45.88</v>
          </cell>
        </row>
        <row r="117">
          <cell r="F117" t="str">
            <v>B08X4VZV3S</v>
          </cell>
          <cell r="G117" t="str">
            <v>P303BIP001</v>
          </cell>
          <cell r="H117">
            <v>0</v>
          </cell>
          <cell r="I117">
            <v>0</v>
          </cell>
        </row>
        <row r="118">
          <cell r="F118" t="str">
            <v>B08XVV3PVK</v>
          </cell>
          <cell r="G118" t="str">
            <v>P303MED001</v>
          </cell>
          <cell r="H118">
            <v>2</v>
          </cell>
          <cell r="I118">
            <v>30.66</v>
          </cell>
        </row>
        <row r="119">
          <cell r="F119" t="str">
            <v>B08XWBGJHR</v>
          </cell>
          <cell r="G119" t="str">
            <v>P101PIA002</v>
          </cell>
          <cell r="H119">
            <v>0</v>
          </cell>
          <cell r="I119">
            <v>0</v>
          </cell>
        </row>
        <row r="120">
          <cell r="F120" t="str">
            <v>B08ZJHV47V</v>
          </cell>
          <cell r="G120" t="str">
            <v>P206VEN150</v>
          </cell>
          <cell r="H120">
            <v>0</v>
          </cell>
          <cell r="I120">
            <v>0</v>
          </cell>
        </row>
        <row r="121">
          <cell r="F121" t="str">
            <v>B09146GTKW</v>
          </cell>
          <cell r="G121" t="str">
            <v>P302VIS002</v>
          </cell>
          <cell r="H121">
            <v>544</v>
          </cell>
          <cell r="I121">
            <v>5723.45</v>
          </cell>
        </row>
        <row r="122">
          <cell r="F122" t="str">
            <v>B091LRR67V</v>
          </cell>
          <cell r="G122" t="str">
            <v>P101FRI050</v>
          </cell>
          <cell r="H122">
            <v>7</v>
          </cell>
          <cell r="I122">
            <v>415.55</v>
          </cell>
        </row>
        <row r="123">
          <cell r="F123" t="str">
            <v>B091VSY78C</v>
          </cell>
          <cell r="G123" t="str">
            <v>P303BIP050</v>
          </cell>
          <cell r="H123">
            <v>1</v>
          </cell>
          <cell r="I123">
            <v>18.18</v>
          </cell>
        </row>
        <row r="124">
          <cell r="F124" t="str">
            <v>B09251R9RJ</v>
          </cell>
          <cell r="G124" t="str">
            <v>P304CAP001</v>
          </cell>
          <cell r="H124">
            <v>2</v>
          </cell>
          <cell r="I124">
            <v>32.01</v>
          </cell>
        </row>
        <row r="125">
          <cell r="F125" t="str">
            <v>B09294Z7XG</v>
          </cell>
          <cell r="G125" t="str">
            <v>P206ZAN300</v>
          </cell>
          <cell r="H125">
            <v>6</v>
          </cell>
          <cell r="I125">
            <v>58.74</v>
          </cell>
        </row>
        <row r="126">
          <cell r="F126" t="str">
            <v>B0929CVW7Q</v>
          </cell>
          <cell r="G126" t="str">
            <v>P206ZAN110</v>
          </cell>
          <cell r="H126">
            <v>4</v>
          </cell>
          <cell r="I126">
            <v>81.040000000000006</v>
          </cell>
        </row>
        <row r="127">
          <cell r="F127" t="str">
            <v>B092J2RHL8</v>
          </cell>
          <cell r="G127" t="str">
            <v>P206ZAN200</v>
          </cell>
          <cell r="H127">
            <v>0</v>
          </cell>
          <cell r="I127">
            <v>0</v>
          </cell>
        </row>
        <row r="128">
          <cell r="F128" t="str">
            <v>B092QXCQ8K</v>
          </cell>
          <cell r="G128" t="str">
            <v>P205DIF001</v>
          </cell>
          <cell r="H128">
            <v>6</v>
          </cell>
          <cell r="I128">
            <v>109.67</v>
          </cell>
        </row>
        <row r="129">
          <cell r="F129" t="str">
            <v>B09495C38F</v>
          </cell>
          <cell r="G129" t="str">
            <v>P204FER002</v>
          </cell>
          <cell r="H129">
            <v>2</v>
          </cell>
          <cell r="I129">
            <v>32.619999999999997</v>
          </cell>
        </row>
        <row r="130">
          <cell r="F130" t="str">
            <v>B0953R2W31</v>
          </cell>
          <cell r="G130" t="str">
            <v>P102ACP001</v>
          </cell>
          <cell r="H130">
            <v>5</v>
          </cell>
          <cell r="I130">
            <v>93.23</v>
          </cell>
        </row>
        <row r="131">
          <cell r="F131" t="str">
            <v>B095PQJGKX</v>
          </cell>
          <cell r="G131" t="str">
            <v>C107UTT002</v>
          </cell>
          <cell r="H131">
            <v>81</v>
          </cell>
          <cell r="I131">
            <v>906.26</v>
          </cell>
        </row>
        <row r="132">
          <cell r="F132" t="str">
            <v>B095WCSSLC</v>
          </cell>
          <cell r="G132" t="str">
            <v>C301ABE101</v>
          </cell>
          <cell r="H132">
            <v>11</v>
          </cell>
          <cell r="I132">
            <v>84.03</v>
          </cell>
        </row>
        <row r="133">
          <cell r="F133" t="str">
            <v>B095X9KDJR</v>
          </cell>
          <cell r="G133" t="str">
            <v>P101BOL100</v>
          </cell>
          <cell r="H133">
            <v>1</v>
          </cell>
          <cell r="I133">
            <v>9.51</v>
          </cell>
        </row>
        <row r="134">
          <cell r="F134" t="str">
            <v>B096MX229M</v>
          </cell>
          <cell r="G134" t="str">
            <v>P102ROB050</v>
          </cell>
          <cell r="H134">
            <v>84</v>
          </cell>
          <cell r="I134">
            <v>1179.03</v>
          </cell>
        </row>
        <row r="135">
          <cell r="F135" t="str">
            <v>B096SVXQDX</v>
          </cell>
          <cell r="G135" t="str">
            <v>P201UTP011</v>
          </cell>
          <cell r="H135">
            <v>12</v>
          </cell>
          <cell r="I135">
            <v>132.43</v>
          </cell>
        </row>
        <row r="136">
          <cell r="F136" t="str">
            <v>B0978ZKW4S</v>
          </cell>
          <cell r="G136" t="str">
            <v>P205DIF100</v>
          </cell>
          <cell r="H136">
            <v>13</v>
          </cell>
          <cell r="I136">
            <v>158.72999999999999</v>
          </cell>
        </row>
        <row r="137">
          <cell r="F137" t="str">
            <v>B097F45J2B</v>
          </cell>
          <cell r="G137" t="str">
            <v>P102FRU500</v>
          </cell>
          <cell r="H137">
            <v>2</v>
          </cell>
          <cell r="I137">
            <v>65.400000000000006</v>
          </cell>
        </row>
        <row r="138">
          <cell r="F138" t="str">
            <v>B097HRQNRG</v>
          </cell>
          <cell r="G138" t="str">
            <v>P101FRI100</v>
          </cell>
          <cell r="H138">
            <v>1</v>
          </cell>
          <cell r="I138">
            <v>28.61</v>
          </cell>
        </row>
        <row r="139">
          <cell r="F139" t="str">
            <v>B097YTGFH7</v>
          </cell>
          <cell r="G139" t="str">
            <v>P102ROB200</v>
          </cell>
          <cell r="H139">
            <v>7</v>
          </cell>
          <cell r="I139">
            <v>433.99</v>
          </cell>
        </row>
        <row r="140">
          <cell r="F140" t="str">
            <v>B098F33WBD</v>
          </cell>
          <cell r="G140" t="str">
            <v>RCO4091819</v>
          </cell>
          <cell r="H140">
            <v>1</v>
          </cell>
          <cell r="I140">
            <v>2.93</v>
          </cell>
        </row>
        <row r="141">
          <cell r="F141" t="str">
            <v>B09968BKDS</v>
          </cell>
          <cell r="G141" t="str">
            <v>P102FRU003</v>
          </cell>
          <cell r="H141">
            <v>13</v>
          </cell>
          <cell r="I141">
            <v>187.88</v>
          </cell>
        </row>
        <row r="142">
          <cell r="F142" t="str">
            <v>B09B2NT2SV</v>
          </cell>
          <cell r="G142" t="str">
            <v>P102FRU150</v>
          </cell>
          <cell r="H142">
            <v>0</v>
          </cell>
          <cell r="I142">
            <v>0</v>
          </cell>
        </row>
        <row r="143">
          <cell r="F143" t="str">
            <v>B09B47S644</v>
          </cell>
          <cell r="G143" t="str">
            <v>P101CUD501</v>
          </cell>
          <cell r="H143">
            <v>4</v>
          </cell>
          <cell r="I143">
            <v>112.32</v>
          </cell>
        </row>
        <row r="144">
          <cell r="F144" t="str">
            <v>B09BD8BG34</v>
          </cell>
          <cell r="G144" t="str">
            <v>P301PIS001</v>
          </cell>
          <cell r="H144">
            <v>5</v>
          </cell>
          <cell r="I144">
            <v>79.12</v>
          </cell>
        </row>
        <row r="145">
          <cell r="F145" t="str">
            <v>B09BG1GGSM</v>
          </cell>
          <cell r="G145" t="str">
            <v>P204FER003</v>
          </cell>
          <cell r="H145">
            <v>0</v>
          </cell>
          <cell r="I145">
            <v>0</v>
          </cell>
        </row>
        <row r="146">
          <cell r="F146" t="str">
            <v>B09D8G2H7Q</v>
          </cell>
          <cell r="G146" t="str">
            <v>P102SBA500</v>
          </cell>
          <cell r="H146">
            <v>8</v>
          </cell>
          <cell r="I146">
            <v>842.72</v>
          </cell>
        </row>
        <row r="147">
          <cell r="F147" t="str">
            <v>B09HMK8JDN</v>
          </cell>
          <cell r="G147" t="str">
            <v>P203TER001</v>
          </cell>
          <cell r="H147">
            <v>4</v>
          </cell>
          <cell r="I147">
            <v>314.75</v>
          </cell>
        </row>
        <row r="148">
          <cell r="F148" t="str">
            <v>B09HQN1LQ2</v>
          </cell>
          <cell r="G148" t="str">
            <v>P203TER100</v>
          </cell>
          <cell r="H148">
            <v>1</v>
          </cell>
          <cell r="I148">
            <v>58.2</v>
          </cell>
        </row>
        <row r="149">
          <cell r="F149" t="str">
            <v>B09KYD9JGY</v>
          </cell>
          <cell r="G149" t="str">
            <v>P301PIS100</v>
          </cell>
          <cell r="H149">
            <v>21</v>
          </cell>
          <cell r="I149">
            <v>549.39</v>
          </cell>
        </row>
        <row r="150">
          <cell r="F150" t="str">
            <v>B09L4SLDSZ</v>
          </cell>
          <cell r="G150" t="str">
            <v>P203TFO100</v>
          </cell>
          <cell r="H150">
            <v>20</v>
          </cell>
          <cell r="I150">
            <v>490.2</v>
          </cell>
        </row>
        <row r="151">
          <cell r="F151" t="str">
            <v>B09LHXJXQL</v>
          </cell>
          <cell r="G151" t="str">
            <v>P102SBA007</v>
          </cell>
          <cell r="H151">
            <v>28</v>
          </cell>
          <cell r="I151">
            <v>516.37</v>
          </cell>
        </row>
        <row r="152">
          <cell r="F152" t="str">
            <v>B09MS5H54V</v>
          </cell>
          <cell r="G152" t="str">
            <v>P101TOS502</v>
          </cell>
          <cell r="H152">
            <v>1</v>
          </cell>
          <cell r="I152">
            <v>49.1</v>
          </cell>
        </row>
        <row r="153">
          <cell r="F153" t="str">
            <v>B09NBXYF5J</v>
          </cell>
          <cell r="G153" t="str">
            <v>P101TOS002</v>
          </cell>
          <cell r="H153">
            <v>0</v>
          </cell>
          <cell r="I153">
            <v>0</v>
          </cell>
        </row>
        <row r="154">
          <cell r="F154" t="str">
            <v>B09PGHNKWP</v>
          </cell>
          <cell r="G154" t="str">
            <v>AC.116</v>
          </cell>
          <cell r="H154">
            <v>2</v>
          </cell>
          <cell r="I154">
            <v>12.32</v>
          </cell>
        </row>
        <row r="155">
          <cell r="F155" t="str">
            <v>B09VQLJ1WK</v>
          </cell>
          <cell r="G155" t="str">
            <v>P204FER004</v>
          </cell>
          <cell r="H155">
            <v>8</v>
          </cell>
          <cell r="I155">
            <v>115.44</v>
          </cell>
        </row>
        <row r="156">
          <cell r="F156" t="str">
            <v>B09XR94HF8</v>
          </cell>
          <cell r="G156" t="str">
            <v>C301ACC001</v>
          </cell>
          <cell r="H156">
            <v>0</v>
          </cell>
          <cell r="I156">
            <v>0</v>
          </cell>
        </row>
        <row r="157">
          <cell r="F157" t="str">
            <v>B09Y9DBPK5</v>
          </cell>
          <cell r="G157" t="str">
            <v>P101CUD300</v>
          </cell>
          <cell r="H157">
            <v>1</v>
          </cell>
          <cell r="I157">
            <v>98.22</v>
          </cell>
        </row>
        <row r="158">
          <cell r="F158" t="str">
            <v>B09ZBHJ91Q</v>
          </cell>
          <cell r="G158" t="str">
            <v>P201UTP100</v>
          </cell>
          <cell r="H158">
            <v>92</v>
          </cell>
          <cell r="I158">
            <v>1274.2</v>
          </cell>
        </row>
        <row r="159">
          <cell r="F159" t="str">
            <v>B0B2F48ZMP</v>
          </cell>
          <cell r="G159" t="str">
            <v>P102GEL100</v>
          </cell>
          <cell r="H159">
            <v>12</v>
          </cell>
          <cell r="I159">
            <v>451.55</v>
          </cell>
        </row>
        <row r="160">
          <cell r="F160" t="str">
            <v>B0B2SB1ZQL</v>
          </cell>
          <cell r="G160" t="str">
            <v>P102EST100</v>
          </cell>
          <cell r="H160">
            <v>6</v>
          </cell>
          <cell r="I160">
            <v>154.62</v>
          </cell>
        </row>
        <row r="161">
          <cell r="F161" t="str">
            <v>B0B39H1Z8J</v>
          </cell>
          <cell r="G161" t="str">
            <v>C106CAS001</v>
          </cell>
          <cell r="H161">
            <v>222</v>
          </cell>
          <cell r="I161">
            <v>2397.59</v>
          </cell>
        </row>
        <row r="162">
          <cell r="F162" t="str">
            <v>B0B3N9ZNT2</v>
          </cell>
          <cell r="G162" t="str">
            <v>P101CUD051</v>
          </cell>
          <cell r="H162">
            <v>6</v>
          </cell>
          <cell r="I162">
            <v>196.2</v>
          </cell>
        </row>
        <row r="163">
          <cell r="F163" t="str">
            <v>B0B5XB4X2T</v>
          </cell>
          <cell r="G163" t="str">
            <v>P102ACP100</v>
          </cell>
          <cell r="H163">
            <v>7</v>
          </cell>
          <cell r="I163">
            <v>131.65</v>
          </cell>
        </row>
        <row r="164">
          <cell r="F164" t="str">
            <v>B0B6JKJNCP</v>
          </cell>
          <cell r="G164" t="str">
            <v>P201UTP201</v>
          </cell>
          <cell r="H164">
            <v>5</v>
          </cell>
          <cell r="I164">
            <v>93.85</v>
          </cell>
        </row>
        <row r="165">
          <cell r="F165" t="str">
            <v>B0B6JPXDN6</v>
          </cell>
          <cell r="G165" t="str">
            <v>P201UTP200</v>
          </cell>
          <cell r="H165">
            <v>11</v>
          </cell>
          <cell r="I165">
            <v>206.47</v>
          </cell>
        </row>
        <row r="166">
          <cell r="F166" t="str">
            <v>B0B7WVD9L3</v>
          </cell>
          <cell r="G166" t="str">
            <v>P205DIF050</v>
          </cell>
          <cell r="H166">
            <v>2</v>
          </cell>
          <cell r="I166">
            <v>87.72</v>
          </cell>
        </row>
        <row r="167">
          <cell r="F167" t="str">
            <v>B0B887SKJ1</v>
          </cell>
          <cell r="G167" t="str">
            <v>P102SBA008</v>
          </cell>
          <cell r="H167">
            <v>4</v>
          </cell>
          <cell r="I167">
            <v>52.72</v>
          </cell>
        </row>
        <row r="168">
          <cell r="F168" t="str">
            <v>B0B8DLSNJF</v>
          </cell>
          <cell r="G168" t="str">
            <v>P302VIS050</v>
          </cell>
          <cell r="H168">
            <v>100</v>
          </cell>
          <cell r="I168">
            <v>1631</v>
          </cell>
        </row>
        <row r="169">
          <cell r="F169" t="str">
            <v>B0B94FL5H8</v>
          </cell>
          <cell r="G169" t="str">
            <v>PE.387</v>
          </cell>
          <cell r="H169">
            <v>9</v>
          </cell>
          <cell r="I169">
            <v>72.989999999999995</v>
          </cell>
        </row>
        <row r="170">
          <cell r="F170" t="str">
            <v>B0BBH12BYN</v>
          </cell>
          <cell r="G170" t="str">
            <v>P101COS001</v>
          </cell>
          <cell r="H170">
            <v>57</v>
          </cell>
          <cell r="I170">
            <v>5001.34</v>
          </cell>
        </row>
        <row r="171">
          <cell r="F171" t="str">
            <v>B0BD4VX5JB</v>
          </cell>
          <cell r="G171" t="str">
            <v>P203PAN002</v>
          </cell>
          <cell r="H171">
            <v>4</v>
          </cell>
          <cell r="I171">
            <v>380.8</v>
          </cell>
        </row>
        <row r="172">
          <cell r="F172" t="str">
            <v>B0BD83RNDG</v>
          </cell>
          <cell r="G172" t="str">
            <v>C106CAS002</v>
          </cell>
          <cell r="H172">
            <v>62</v>
          </cell>
          <cell r="I172">
            <v>690.53</v>
          </cell>
        </row>
        <row r="173">
          <cell r="F173" t="str">
            <v>B0BFS7CYLQ</v>
          </cell>
          <cell r="G173" t="str">
            <v>P101CUD052</v>
          </cell>
          <cell r="H173">
            <v>2</v>
          </cell>
          <cell r="I173">
            <v>88.34</v>
          </cell>
        </row>
        <row r="174">
          <cell r="F174" t="str">
            <v>B0BHHV552D</v>
          </cell>
          <cell r="G174" t="str">
            <v>P203TER201</v>
          </cell>
          <cell r="H174">
            <v>558</v>
          </cell>
          <cell r="I174">
            <v>9074.8700000000008</v>
          </cell>
        </row>
        <row r="175">
          <cell r="F175" t="str">
            <v>B0BHTBMNX8</v>
          </cell>
          <cell r="G175" t="str">
            <v>P101CUD250</v>
          </cell>
          <cell r="H175">
            <v>0</v>
          </cell>
          <cell r="I175">
            <v>0</v>
          </cell>
        </row>
        <row r="176">
          <cell r="F176" t="str">
            <v>B0BJ2DC3KX</v>
          </cell>
          <cell r="G176" t="str">
            <v>P101FRI080</v>
          </cell>
          <cell r="H176">
            <v>1</v>
          </cell>
          <cell r="I176">
            <v>160.65</v>
          </cell>
        </row>
        <row r="177">
          <cell r="F177" t="str">
            <v>B0BJ2TBPJW</v>
          </cell>
          <cell r="G177" t="str">
            <v>C206UTI004</v>
          </cell>
          <cell r="H177">
            <v>453</v>
          </cell>
          <cell r="I177">
            <v>2224.23</v>
          </cell>
        </row>
        <row r="178">
          <cell r="F178" t="str">
            <v>B0BJL1Z674</v>
          </cell>
          <cell r="G178" t="str">
            <v>C102SPE001</v>
          </cell>
          <cell r="H178">
            <v>31</v>
          </cell>
          <cell r="I178">
            <v>172.86</v>
          </cell>
        </row>
        <row r="179">
          <cell r="F179" t="str">
            <v>B0BKGZC9YH</v>
          </cell>
          <cell r="G179" t="str">
            <v>C301ABE200</v>
          </cell>
          <cell r="H179">
            <v>9</v>
          </cell>
          <cell r="I179">
            <v>33.79</v>
          </cell>
        </row>
        <row r="180">
          <cell r="F180" t="str">
            <v>B0BNNH9RZQ</v>
          </cell>
          <cell r="G180" t="str">
            <v>P302VIS060</v>
          </cell>
          <cell r="H180">
            <v>99</v>
          </cell>
          <cell r="I180">
            <v>1096.6500000000001</v>
          </cell>
        </row>
        <row r="181">
          <cell r="F181" t="str">
            <v>B0BTHSH5MK</v>
          </cell>
          <cell r="G181" t="str">
            <v>C103ACC001</v>
          </cell>
          <cell r="H181">
            <v>168</v>
          </cell>
          <cell r="I181">
            <v>1493.58</v>
          </cell>
        </row>
        <row r="182">
          <cell r="F182" t="str">
            <v>B0BVBY1RWS</v>
          </cell>
          <cell r="G182" t="str">
            <v>P206VEN550</v>
          </cell>
          <cell r="H182">
            <v>3</v>
          </cell>
          <cell r="I182">
            <v>122.7</v>
          </cell>
        </row>
        <row r="183">
          <cell r="F183" t="str">
            <v>B0BVZG7FPY</v>
          </cell>
          <cell r="G183" t="str">
            <v>P206VEN600</v>
          </cell>
          <cell r="H183">
            <v>12</v>
          </cell>
          <cell r="I183">
            <v>464.74</v>
          </cell>
        </row>
        <row r="184">
          <cell r="F184" t="str">
            <v>B0BWS8WNS9</v>
          </cell>
          <cell r="G184" t="str">
            <v>P206ZAN250</v>
          </cell>
          <cell r="H184">
            <v>2</v>
          </cell>
          <cell r="I184">
            <v>50.2</v>
          </cell>
        </row>
        <row r="185">
          <cell r="F185" t="str">
            <v>B0BWSFLRWN</v>
          </cell>
          <cell r="G185" t="str">
            <v>P206VEN151</v>
          </cell>
          <cell r="H185">
            <v>1</v>
          </cell>
          <cell r="I185">
            <v>39.58</v>
          </cell>
        </row>
        <row r="186">
          <cell r="F186" t="str">
            <v>B0BYZTG56X</v>
          </cell>
          <cell r="G186" t="str">
            <v>P201UTP101</v>
          </cell>
          <cell r="H186">
            <v>5</v>
          </cell>
          <cell r="I186">
            <v>143.05000000000001</v>
          </cell>
        </row>
        <row r="187">
          <cell r="F187" t="str">
            <v>B0C154W8S4</v>
          </cell>
          <cell r="G187" t="str">
            <v>P206VEN450</v>
          </cell>
          <cell r="H187">
            <v>11</v>
          </cell>
          <cell r="I187">
            <v>188.32</v>
          </cell>
        </row>
        <row r="188">
          <cell r="F188" t="str">
            <v>B0C28S79G8</v>
          </cell>
          <cell r="G188" t="str">
            <v>P206VEN430</v>
          </cell>
          <cell r="H188">
            <v>1</v>
          </cell>
          <cell r="I188">
            <v>18.47</v>
          </cell>
        </row>
        <row r="189">
          <cell r="F189" t="str">
            <v>B0C94Q6QZ9</v>
          </cell>
          <cell r="G189" t="str">
            <v>P101TOS100</v>
          </cell>
          <cell r="H189">
            <v>21</v>
          </cell>
          <cell r="I189">
            <v>489.7</v>
          </cell>
        </row>
        <row r="190">
          <cell r="F190" t="str">
            <v>B0C9V6YP8X</v>
          </cell>
          <cell r="G190" t="str">
            <v>C301ABE002</v>
          </cell>
          <cell r="H190">
            <v>24</v>
          </cell>
          <cell r="I190">
            <v>122.81</v>
          </cell>
        </row>
        <row r="191">
          <cell r="F191" t="str">
            <v>B0CC5QZ9CJ</v>
          </cell>
          <cell r="G191" t="str">
            <v>C206UTI006</v>
          </cell>
          <cell r="H191">
            <v>1</v>
          </cell>
          <cell r="I191">
            <v>6.55</v>
          </cell>
        </row>
        <row r="192">
          <cell r="F192" t="str">
            <v>B0CFB71DMN</v>
          </cell>
          <cell r="G192" t="str">
            <v>C203PUL004</v>
          </cell>
          <cell r="H192">
            <v>199</v>
          </cell>
          <cell r="I192">
            <v>1134.1099999999999</v>
          </cell>
        </row>
        <row r="193">
          <cell r="F193" t="str">
            <v>B0CHF7YW6B</v>
          </cell>
          <cell r="G193" t="str">
            <v>P203PAN010</v>
          </cell>
          <cell r="H193">
            <v>51</v>
          </cell>
          <cell r="I193">
            <v>1652.69</v>
          </cell>
        </row>
        <row r="194">
          <cell r="F194" t="str">
            <v>B0CHFQXMZX</v>
          </cell>
          <cell r="G194" t="str">
            <v>P203PAN001</v>
          </cell>
          <cell r="H194">
            <v>85</v>
          </cell>
          <cell r="I194">
            <v>1342.61</v>
          </cell>
        </row>
        <row r="195">
          <cell r="F195" t="str">
            <v>B0CHWMFNNT</v>
          </cell>
          <cell r="G195" t="str">
            <v>P202ASP250</v>
          </cell>
          <cell r="H195">
            <v>5</v>
          </cell>
          <cell r="I195">
            <v>204.5</v>
          </cell>
        </row>
        <row r="196">
          <cell r="F196" t="str">
            <v>B0CLVR5JN6</v>
          </cell>
          <cell r="G196" t="str">
            <v>P201UTP112</v>
          </cell>
          <cell r="H196">
            <v>95</v>
          </cell>
          <cell r="I196">
            <v>1549.45</v>
          </cell>
        </row>
        <row r="197">
          <cell r="F197" t="str">
            <v>B0CLVS3FH6</v>
          </cell>
          <cell r="G197" t="str">
            <v>P201UTP111</v>
          </cell>
          <cell r="H197">
            <v>324</v>
          </cell>
          <cell r="I197">
            <v>5284.44</v>
          </cell>
        </row>
        <row r="198">
          <cell r="F198" t="str">
            <v>B0CLY2CF4T</v>
          </cell>
          <cell r="G198" t="str">
            <v>P201UTP113</v>
          </cell>
          <cell r="H198">
            <v>137</v>
          </cell>
          <cell r="I198">
            <v>2234.4699999999998</v>
          </cell>
        </row>
        <row r="199">
          <cell r="F199" t="str">
            <v>B0CMHZ2WNV</v>
          </cell>
          <cell r="G199" t="str">
            <v>P101FRI051</v>
          </cell>
          <cell r="H199">
            <v>0</v>
          </cell>
          <cell r="I199">
            <v>0</v>
          </cell>
        </row>
        <row r="200">
          <cell r="F200" t="str">
            <v>B0CPFRMPTM</v>
          </cell>
          <cell r="G200" t="str">
            <v>P101CAF001</v>
          </cell>
          <cell r="H200">
            <v>40</v>
          </cell>
          <cell r="I200">
            <v>1210</v>
          </cell>
        </row>
        <row r="201">
          <cell r="F201" t="str">
            <v>B0CXJCJF5B</v>
          </cell>
          <cell r="G201" t="str">
            <v>P101PIA003</v>
          </cell>
          <cell r="H201">
            <v>8</v>
          </cell>
          <cell r="I201">
            <v>117.36</v>
          </cell>
        </row>
        <row r="202">
          <cell r="F202" t="str">
            <v>Totale complessivo</v>
          </cell>
          <cell r="H202">
            <v>6632</v>
          </cell>
          <cell r="I202">
            <v>104761.64000000001</v>
          </cell>
        </row>
      </sheetData>
      <sheetData sheetId="5">
        <row r="1">
          <cell r="E1" t="str">
            <v>sales-channel</v>
          </cell>
          <cell r="F1" t="str">
            <v>Amazon.it</v>
          </cell>
        </row>
        <row r="3">
          <cell r="E3" t="str">
            <v>Etichette di riga</v>
          </cell>
          <cell r="F3" t="str">
            <v>Somma di quantity</v>
          </cell>
          <cell r="G3" t="str">
            <v>Somma di item-price</v>
          </cell>
        </row>
        <row r="4">
          <cell r="E4" t="str">
            <v>B00FAJUDU8</v>
          </cell>
          <cell r="F4">
            <v>72</v>
          </cell>
          <cell r="G4">
            <v>2152.8000000000029</v>
          </cell>
        </row>
        <row r="5">
          <cell r="E5" t="str">
            <v>B00NSNZSLM</v>
          </cell>
          <cell r="F5">
            <v>49</v>
          </cell>
          <cell r="G5">
            <v>1612.100000000001</v>
          </cell>
        </row>
        <row r="6">
          <cell r="E6" t="str">
            <v>B017IUJA50</v>
          </cell>
          <cell r="F6">
            <v>137</v>
          </cell>
          <cell r="G6">
            <v>2722.7100000000064</v>
          </cell>
        </row>
        <row r="7">
          <cell r="E7" t="str">
            <v>B01CNX6Z78</v>
          </cell>
          <cell r="F7">
            <v>3</v>
          </cell>
          <cell r="G7">
            <v>104.69999999999999</v>
          </cell>
        </row>
        <row r="8">
          <cell r="E8" t="str">
            <v>B01CNX704K</v>
          </cell>
          <cell r="F8">
            <v>1</v>
          </cell>
          <cell r="G8">
            <v>46.9</v>
          </cell>
        </row>
        <row r="9">
          <cell r="E9" t="str">
            <v>B01I497WWM</v>
          </cell>
          <cell r="F9">
            <v>531</v>
          </cell>
          <cell r="G9">
            <v>10557.339999999898</v>
          </cell>
        </row>
        <row r="10">
          <cell r="E10" t="str">
            <v>B01KMJ9OXW</v>
          </cell>
          <cell r="F10">
            <v>139</v>
          </cell>
          <cell r="G10">
            <v>4844.53</v>
          </cell>
        </row>
        <row r="11">
          <cell r="E11" t="str">
            <v>B01MTSEGF9</v>
          </cell>
          <cell r="F11">
            <v>19</v>
          </cell>
          <cell r="G11">
            <v>853.09999999999968</v>
          </cell>
        </row>
        <row r="12">
          <cell r="E12" t="str">
            <v>B06Y17FS6D</v>
          </cell>
          <cell r="F12">
            <v>1</v>
          </cell>
          <cell r="G12">
            <v>39.9</v>
          </cell>
        </row>
        <row r="13">
          <cell r="E13" t="str">
            <v>B06Y195DJN</v>
          </cell>
          <cell r="F13">
            <v>16</v>
          </cell>
          <cell r="G13">
            <v>798.39999999999975</v>
          </cell>
        </row>
        <row r="14">
          <cell r="E14" t="str">
            <v>B06Y1997YH</v>
          </cell>
          <cell r="F14">
            <v>2</v>
          </cell>
          <cell r="G14">
            <v>159.80000000000001</v>
          </cell>
        </row>
        <row r="15">
          <cell r="E15" t="str">
            <v>B0757TJRR9</v>
          </cell>
          <cell r="F15">
            <v>497</v>
          </cell>
          <cell r="G15">
            <v>16362.459999999875</v>
          </cell>
        </row>
        <row r="16">
          <cell r="E16" t="str">
            <v>B076D74TC7</v>
          </cell>
          <cell r="F16">
            <v>6</v>
          </cell>
          <cell r="G16">
            <v>232.2</v>
          </cell>
        </row>
        <row r="17">
          <cell r="E17" t="str">
            <v>B076DCKSTJ</v>
          </cell>
          <cell r="F17">
            <v>106</v>
          </cell>
          <cell r="G17">
            <v>2713.4000000000051</v>
          </cell>
        </row>
        <row r="18">
          <cell r="E18" t="str">
            <v>B076Q7BR6F</v>
          </cell>
          <cell r="F18">
            <v>22</v>
          </cell>
          <cell r="G18">
            <v>1040.7999999999997</v>
          </cell>
        </row>
        <row r="19">
          <cell r="E19" t="str">
            <v>B07BB2DQ4V</v>
          </cell>
          <cell r="F19">
            <v>1</v>
          </cell>
          <cell r="G19">
            <v>39.9</v>
          </cell>
        </row>
        <row r="20">
          <cell r="E20" t="str">
            <v>B07BHCZR84</v>
          </cell>
          <cell r="F20">
            <v>1</v>
          </cell>
          <cell r="G20">
            <v>19.899999999999999</v>
          </cell>
        </row>
        <row r="21">
          <cell r="E21" t="str">
            <v>B07HM7P6MP</v>
          </cell>
          <cell r="F21">
            <v>2</v>
          </cell>
          <cell r="G21">
            <v>59.8</v>
          </cell>
        </row>
        <row r="22">
          <cell r="E22" t="str">
            <v>B07N4C3H3V</v>
          </cell>
          <cell r="F22">
            <v>244</v>
          </cell>
          <cell r="G22">
            <v>3635.6000000000145</v>
          </cell>
        </row>
        <row r="23">
          <cell r="E23" t="str">
            <v>B07NQ2VYGD</v>
          </cell>
          <cell r="F23">
            <v>499</v>
          </cell>
          <cell r="G23">
            <v>14519.279999999884</v>
          </cell>
        </row>
        <row r="24">
          <cell r="E24" t="str">
            <v>B07NQC6S9V</v>
          </cell>
          <cell r="F24">
            <v>12</v>
          </cell>
          <cell r="G24">
            <v>506.69999999999993</v>
          </cell>
        </row>
        <row r="25">
          <cell r="E25" t="str">
            <v>B07P7GGGQM</v>
          </cell>
          <cell r="F25">
            <v>16</v>
          </cell>
          <cell r="G25">
            <v>958.39999999999975</v>
          </cell>
        </row>
        <row r="26">
          <cell r="E26" t="str">
            <v>B07TQVD94L</v>
          </cell>
          <cell r="F26">
            <v>16</v>
          </cell>
          <cell r="G26">
            <v>602.39999999999986</v>
          </cell>
        </row>
        <row r="27">
          <cell r="E27" t="str">
            <v>B07V131F5W</v>
          </cell>
          <cell r="F27">
            <v>167</v>
          </cell>
          <cell r="G27">
            <v>4754.2999999999984</v>
          </cell>
        </row>
        <row r="28">
          <cell r="E28" t="str">
            <v>B07W7S9KYM</v>
          </cell>
          <cell r="F28">
            <v>1</v>
          </cell>
          <cell r="G28">
            <v>59.9</v>
          </cell>
        </row>
        <row r="29">
          <cell r="E29" t="str">
            <v>B07YBN2FS3</v>
          </cell>
          <cell r="F29">
            <v>24</v>
          </cell>
          <cell r="G29">
            <v>1908.0100000000009</v>
          </cell>
        </row>
        <row r="30">
          <cell r="E30" t="str">
            <v>B07ZJQTGG8</v>
          </cell>
          <cell r="F30">
            <v>155</v>
          </cell>
          <cell r="G30">
            <v>2309.5000000000064</v>
          </cell>
        </row>
        <row r="31">
          <cell r="E31" t="str">
            <v>B0823CVGHX</v>
          </cell>
          <cell r="F31">
            <v>60</v>
          </cell>
          <cell r="G31">
            <v>4194.0000000000036</v>
          </cell>
        </row>
        <row r="32">
          <cell r="E32" t="str">
            <v>B08485QRVZ</v>
          </cell>
          <cell r="F32">
            <v>70</v>
          </cell>
          <cell r="G32">
            <v>2082.2200000000025</v>
          </cell>
        </row>
        <row r="33">
          <cell r="E33" t="str">
            <v>B085R2GCKX</v>
          </cell>
          <cell r="F33">
            <v>4</v>
          </cell>
          <cell r="G33">
            <v>91.6</v>
          </cell>
        </row>
        <row r="34">
          <cell r="E34" t="str">
            <v>B08FDYW72J</v>
          </cell>
          <cell r="F34">
            <v>2</v>
          </cell>
          <cell r="G34">
            <v>69.8</v>
          </cell>
        </row>
        <row r="35">
          <cell r="E35" t="str">
            <v>B08GS7XW73</v>
          </cell>
          <cell r="F35">
            <v>27</v>
          </cell>
          <cell r="G35">
            <v>556.34999999999968</v>
          </cell>
        </row>
        <row r="36">
          <cell r="E36" t="str">
            <v>B08GY7286R</v>
          </cell>
          <cell r="F36">
            <v>9</v>
          </cell>
          <cell r="G36">
            <v>197.10000000000002</v>
          </cell>
        </row>
        <row r="37">
          <cell r="E37" t="str">
            <v>B08JM7SZ36</v>
          </cell>
          <cell r="F37">
            <v>86</v>
          </cell>
          <cell r="G37">
            <v>3431.4000000000051</v>
          </cell>
        </row>
        <row r="38">
          <cell r="E38" t="str">
            <v>B08JYDDFZ2</v>
          </cell>
          <cell r="F38">
            <v>158</v>
          </cell>
          <cell r="G38">
            <v>2588.2000000000035</v>
          </cell>
        </row>
        <row r="39">
          <cell r="E39" t="str">
            <v>B08KSBDTQD</v>
          </cell>
          <cell r="F39">
            <v>15</v>
          </cell>
          <cell r="G39">
            <v>598.49999999999989</v>
          </cell>
        </row>
        <row r="40">
          <cell r="E40" t="str">
            <v>B08LZN1PWY</v>
          </cell>
          <cell r="F40">
            <v>19</v>
          </cell>
          <cell r="G40">
            <v>1430.1</v>
          </cell>
        </row>
        <row r="41">
          <cell r="E41" t="str">
            <v>B096MX229M</v>
          </cell>
          <cell r="F41">
            <v>6</v>
          </cell>
          <cell r="G41">
            <v>91.4</v>
          </cell>
        </row>
        <row r="42">
          <cell r="E42" t="str">
            <v>B097HRQNRG</v>
          </cell>
          <cell r="F42">
            <v>5</v>
          </cell>
          <cell r="G42">
            <v>189.5</v>
          </cell>
        </row>
        <row r="43">
          <cell r="E43" t="str">
            <v>B09ZBHJ91Q</v>
          </cell>
          <cell r="F43">
            <v>4</v>
          </cell>
          <cell r="G43">
            <v>99.6</v>
          </cell>
        </row>
        <row r="44">
          <cell r="E44" t="str">
            <v>B0B39H1Z8J</v>
          </cell>
          <cell r="F44">
            <v>7</v>
          </cell>
          <cell r="G44">
            <v>76.300000000000011</v>
          </cell>
        </row>
        <row r="45">
          <cell r="E45" t="str">
            <v>B0B6JPXDN6</v>
          </cell>
          <cell r="F45">
            <v>2</v>
          </cell>
          <cell r="G45">
            <v>44.8</v>
          </cell>
        </row>
        <row r="46">
          <cell r="E46" t="str">
            <v>B0B8DLSNJF</v>
          </cell>
          <cell r="F46">
            <v>8</v>
          </cell>
          <cell r="G46">
            <v>199.20000000000002</v>
          </cell>
        </row>
        <row r="47">
          <cell r="E47" t="str">
            <v>B0CLVR5JN6</v>
          </cell>
          <cell r="F47">
            <v>5</v>
          </cell>
          <cell r="G47">
            <v>124.5</v>
          </cell>
        </row>
        <row r="48">
          <cell r="E48" t="str">
            <v>B0CLVS3FH6</v>
          </cell>
          <cell r="F48">
            <v>56</v>
          </cell>
          <cell r="G48">
            <v>1063.5799999999995</v>
          </cell>
        </row>
        <row r="49">
          <cell r="E49" t="str">
            <v>B0CLY2CF4T</v>
          </cell>
          <cell r="F49">
            <v>107</v>
          </cell>
          <cell r="G49">
            <v>2664.3000000000025</v>
          </cell>
        </row>
        <row r="50">
          <cell r="E50" t="str">
            <v>Totale complessivo</v>
          </cell>
          <cell r="F50">
            <v>3389</v>
          </cell>
          <cell r="G50">
            <v>93407.279999999722</v>
          </cell>
        </row>
      </sheetData>
      <sheetData sheetId="6" refreshError="1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6.647476157406" createdVersion="8" refreshedVersion="8" minRefreshableVersion="3" recordCount="996" xr:uid="{5D57688E-EA2B-4386-B3AD-07FA029E71F6}">
  <cacheSource type="worksheet">
    <worksheetSource ref="A1:J997" sheet="ds_ALL_MP"/>
  </cacheSource>
  <cacheFields count="10">
    <cacheField name="ASIN" numFmtId="0">
      <sharedItems containsBlank="1" count="387">
        <m/>
        <s v="B0050IHH4E"/>
        <s v="B009O92WU4"/>
        <s v="B00BH202XK"/>
        <s v="B00C5CCJP0"/>
        <s v="B00CMAD2FG"/>
        <s v="B00EYDRS1I"/>
        <s v="B00EYF02AU"/>
        <s v="B00EZ4185S"/>
        <s v="B00FAJUDU8"/>
        <s v="B00FFBED98"/>
        <s v="B00FFBFVG2"/>
        <s v="B00FMZ2VW8"/>
        <s v="B00J7MNQFS"/>
        <s v="B00L5GPWFG"/>
        <s v="B00L5H5KUW"/>
        <s v="B00NSNZSLM"/>
        <s v="B00OKE4RTM"/>
        <s v="B00OLZPU5K"/>
        <s v="B00WR5UPZG"/>
        <s v="B00YAIEPNQ"/>
        <s v="B00YCPX8R6"/>
        <s v="B00YH3FRV8"/>
        <s v="B00ZINWP5W"/>
        <s v="B011LFM60E"/>
        <s v="B011LFVLW8"/>
        <s v="B011LLILUM"/>
        <s v="B016MWFVIU"/>
        <s v="B017IUJA50"/>
        <s v="B01CA687DI"/>
        <s v="B01CHW1L88"/>
        <s v="B01CNX6T10"/>
        <s v="B01CNX6UIM"/>
        <s v="B01CNX6Z78"/>
        <s v="B01CNX704K"/>
        <s v="B01CNX71NA"/>
        <s v="B01HGS9EPA"/>
        <s v="B01HM47LF8"/>
        <s v="B01HM47LI0"/>
        <s v="B01I497WWM"/>
        <s v="B01IHGX2HQ"/>
        <s v="B01II660SS"/>
        <s v="B01II7S968"/>
        <s v="B01ITBZK38"/>
        <s v="B01KMJ9OXW"/>
        <s v="B01M4O6145"/>
        <s v="B01MFCQKVN"/>
        <s v="B01MTAUFYF"/>
        <s v="B01MTSEGF9"/>
        <s v="B01N12PI05"/>
        <s v="B01N4L0SUV"/>
        <s v="B01N5R491F"/>
        <s v="B01N6SQYFM"/>
        <s v="B06VWNNKF9"/>
        <s v="B06VWTF7V3"/>
        <s v="B06WGS8ZVG"/>
        <s v="B06XPK3BTC"/>
        <s v="B06XPYSCGJ"/>
        <s v="B06XQ25NLB"/>
        <s v="B06XSJPGR9"/>
        <s v="B06XYLCVBP"/>
        <s v="B06XYMCV3W"/>
        <s v="B06Y17FS6D"/>
        <s v="B06Y195DJN"/>
        <s v="B06Y1997YH"/>
        <s v="B06Y1P6DPZ"/>
        <s v="B06Y4GZ9QP"/>
        <s v="B072C5RN48"/>
        <s v="B072FW64RR"/>
        <s v="B073B57HQH"/>
        <s v="B073B67PLQ"/>
        <s v="B0757TJRR9"/>
        <s v="B075FX6RFP"/>
        <s v="B075K5C2QG"/>
        <s v="B075RF5S3N"/>
        <s v="B075RF8FM9"/>
        <s v="B075XR3T8V"/>
        <s v="B0763R9MPM"/>
        <s v="B076D74TC7"/>
        <s v="B076DC4VWG"/>
        <s v="B076DCKSTJ"/>
        <s v="B076DCL19C"/>
        <s v="B076DCX3JH"/>
        <s v="B076DD26WW"/>
        <s v="B076DD35DZ"/>
        <s v="B076DN647N"/>
        <s v="B076Q7BR6F"/>
        <s v="B076QCMZX1"/>
        <s v="B076QDRTK6"/>
        <s v="B076QFRRZ5"/>
        <s v="B079SB5VJZ"/>
        <s v="B07B7YLZ6Z"/>
        <s v="B07B9CBD91"/>
        <s v="B07B9CPH62"/>
        <s v="B07BB2DQ4V"/>
        <s v="B07BHCZR84"/>
        <s v="B07BHTW4WV"/>
        <s v="B07BHTW4X8"/>
        <s v="B07BHVLCF5"/>
        <s v="B07CZ4WMB8"/>
        <s v="B07F187NFQ"/>
        <s v="B07FN14FSN"/>
        <s v="B07HFPYL56"/>
        <s v="B07HFQH172"/>
        <s v="B07HHDSJHM"/>
        <s v="B07HHHBXHL"/>
        <s v="B07HM7P6MP"/>
        <s v="B07J25HN6L"/>
        <s v="B07JGVMFY1"/>
        <s v="B07JXMJLG9"/>
        <s v="B07KG9T4M7"/>
        <s v="B07KYWNC7Z"/>
        <s v="B07MC8ZVRM"/>
        <s v="B07N4C3H3V"/>
        <s v="B07NNZSW1W"/>
        <s v="B07NP6YY5W"/>
        <s v="B07NQ1T7YK"/>
        <s v="B07NQ2VYGD"/>
        <s v="B07NQ2ZBPV"/>
        <s v="B07NQ4G4NX"/>
        <s v="B07NQ9JF3Z"/>
        <s v="B07NQC6S9V"/>
        <s v="B07P7GGGQM"/>
        <s v="B07P7GH655"/>
        <s v="B07P7L18T9"/>
        <s v="B07PCQJ1P8"/>
        <s v="B07PTQPT16"/>
        <s v="B07Q38Z7CK"/>
        <s v="B07Q47DQ4M"/>
        <s v="B07QX1RJRH"/>
        <s v="B07QY47V9Y"/>
        <s v="B07QZ89PLH"/>
        <s v="B07R984VMS"/>
        <s v="B07RMZYDCJ"/>
        <s v="B07RN75ZFL"/>
        <s v="B07RQ7FRCS"/>
        <s v="B07RRBP1YR"/>
        <s v="B07RRBS54G"/>
        <s v="B07RTKKND8"/>
        <s v="B07RVKV56Z"/>
        <s v="B07RVLJ2KL"/>
        <s v="B07SSLRCT6"/>
        <s v="B07TJGZNPN"/>
        <s v="B07TQVD94L"/>
        <s v="B07TSNB5WG"/>
        <s v="B07TSNCJ5J"/>
        <s v="B07TTJQDC2"/>
        <s v="B07TVSJDCL"/>
        <s v="B07TVTGQ5B"/>
        <s v="B07TWX1RX3"/>
        <s v="B07TWX2L8N"/>
        <s v="B07V131F5W"/>
        <s v="B07V5TWWXM"/>
        <s v="B07W7S9KYM"/>
        <s v="B07XLT78B7"/>
        <s v="B07XVWXVK1"/>
        <s v="B07XYJ64GP"/>
        <s v="B07Y3XHMMV"/>
        <s v="B07YBFRMM7"/>
        <s v="B07YBM3P68"/>
        <s v="B07YBN2FS3"/>
        <s v="B07YBNB2QY"/>
        <s v="B07YBNPZPJ"/>
        <s v="B07YZZZVXP"/>
        <s v="B07ZHSCYF5"/>
        <s v="B07ZJMFB3R"/>
        <s v="B07ZJQTGG8"/>
        <s v="B0813VLDQY"/>
        <s v="B081QRX1K7"/>
        <s v="B0823CLCWM"/>
        <s v="B0823CVGHX"/>
        <s v="B08485QRVZ"/>
        <s v="B084C3JTC2"/>
        <s v="B084HK5BF8"/>
        <s v="B084PN7WPZ"/>
        <s v="B084TG23R3"/>
        <s v="B084TG4594"/>
        <s v="B084TGLFLM"/>
        <s v="B084TGLSDV"/>
        <s v="B085JHSTQS"/>
        <s v="B085JHSWJH"/>
        <s v="B085JHSWJW"/>
        <s v="B085JHTR6J"/>
        <s v="B085JHTR6Q"/>
        <s v="B085JHZT67"/>
        <s v="B085JJ747G"/>
        <s v="B085JJ81R7"/>
        <s v="B085JJ8RC6"/>
        <s v="B085JJ9J4N"/>
        <s v="B085JJFLGY"/>
        <s v="B085JJJR91"/>
        <s v="B085JJMBM7"/>
        <s v="B085R2GCKX"/>
        <s v="B085R2NT18"/>
        <s v="B088PL1CY6"/>
        <s v="B088RZXVDL"/>
        <s v="B088V4DR59"/>
        <s v="B088V7DR7L"/>
        <s v="B088V9LKW7"/>
        <s v="B088XJQ37J"/>
        <s v="B089BGZSNM"/>
        <s v="B089BKBZV3"/>
        <s v="B089DTP1BQ"/>
        <s v="B08B66J4C3"/>
        <s v="B08B8M2B7B"/>
        <s v="B08C7TN27W"/>
        <s v="B08C7YJB5N"/>
        <s v="B08DHZDXVV"/>
        <s v="B08DJ3K9J8"/>
        <s v="B08DL66NZ9"/>
        <s v="B08F5GYFKS"/>
        <s v="B08FDP7T13"/>
        <s v="B08FDYW72J"/>
        <s v="B08FF245TD"/>
        <s v="B08FJGGZ1D"/>
        <s v="B08FMLPKY9"/>
        <s v="B08FMS5ZDK"/>
        <s v="B08GS7XW73"/>
        <s v="B08GS96GPT"/>
        <s v="B08GSK6C18"/>
        <s v="B08GY7286R"/>
        <s v="B08HCT78N3"/>
        <s v="B08HN4DPJV"/>
        <s v="B08J47XH38"/>
        <s v="B08JM7SZ36"/>
        <s v="B08JYDDFZ2"/>
        <s v="B08JYWF3PK"/>
        <s v="B08JZDZTPG"/>
        <s v="B08KSBDTQD"/>
        <s v="B08KYZ2FLN"/>
        <s v="B08L9D9KR9"/>
        <s v="B08LDDKBYG"/>
        <s v="B08LVS1MMY"/>
        <s v="B08LZN1PWY"/>
        <s v="B08MM2VK11"/>
        <s v="B08MX1SQKC"/>
        <s v="B08NDZKNF5"/>
        <s v="B08NF8TQKT"/>
        <s v="B08NTD853X"/>
        <s v="B08V4VTTQN"/>
        <s v="B08X4VZV3S"/>
        <s v="B08XQT9P5C"/>
        <s v="B08XVV3PVK"/>
        <s v="B08XWBGJHR"/>
        <s v="B08Y6RJ69Y"/>
        <s v="B08YN2SRQS"/>
        <s v="B08ZJHV47V"/>
        <s v="B09146GTKW"/>
        <s v="B091C5XQZN"/>
        <s v="B091LRR67V"/>
        <s v="B091VSY78C"/>
        <s v="B09251R9RJ"/>
        <s v="B09294Z7XG"/>
        <s v="B0929CVW7Q"/>
        <s v="B092DN1NCS"/>
        <s v="B092J2RHL8"/>
        <s v="B092JNYG6Z"/>
        <s v="B092QXCQ8K"/>
        <s v="B09495C38F"/>
        <s v="B0953R2W31"/>
        <s v="B0957PWXL8"/>
        <s v="B095PQJGKX"/>
        <s v="B095SWNCBS"/>
        <s v="B095WCSSLC"/>
        <s v="B095X9KDJR"/>
        <s v="B096KVY46G"/>
        <s v="B096MX229M"/>
        <s v="B096SVXQDX"/>
        <s v="B097785V2V"/>
        <s v="B0978ZKW4S"/>
        <s v="B097F45J2B"/>
        <s v="B097HRQNRG"/>
        <s v="B097YTGFH7"/>
        <s v="B098F33WBD"/>
        <s v="B098QM485T"/>
        <s v="B098TQ6NHC"/>
        <s v="B09968BKDS"/>
        <s v="B09B15P5H1"/>
        <s v="B09B2NT2SV"/>
        <s v="B09B47S644"/>
        <s v="B09BBFTDLJ"/>
        <s v="B09BD8BG34"/>
        <s v="B09BG1GGSM"/>
        <s v="B09C2K1HQW"/>
        <s v="B09D8G2H7Q"/>
        <s v="B09HMK8JDN"/>
        <s v="B09HQN1LQ2"/>
        <s v="B09J57VDX5"/>
        <s v="B09KYD9JGY"/>
        <s v="B09L4SLDSZ"/>
        <s v="B09LHXJXQL"/>
        <s v="B09MFYXGV9"/>
        <s v="B09MKJBD92"/>
        <s v="B09MS5H54V"/>
        <s v="B09NBXYF5J"/>
        <s v="B09PGHNKWP"/>
        <s v="B09VQLJ1WK"/>
        <s v="B09XN3Z69T"/>
        <s v="B09XR94HF8"/>
        <s v="B09Y9DBPK5"/>
        <s v="B09YVL4VQ6"/>
        <s v="B09ZBHJ91Q"/>
        <s v="B0B131VWYS"/>
        <s v="B0B2F48ZMP"/>
        <s v="B0B2SB1ZQL"/>
        <s v="B0B39H1Z8J"/>
        <s v="B0B3N9ZNT2"/>
        <s v="B0B57933BC"/>
        <s v="B0B57FLJFX"/>
        <s v="B0B5XB4X2T"/>
        <s v="B0B6JKJNCP"/>
        <s v="B0B6JPXDN6"/>
        <s v="B0B7WVD9L3"/>
        <s v="B0B887SKJ1"/>
        <s v="B0B8DLSNJF"/>
        <s v="B0B8JVTQYQ"/>
        <s v="B0B94FL5H8"/>
        <s v="B0BBH12BYN"/>
        <s v="B0BD4VX5JB"/>
        <s v="B0BD83RNDG"/>
        <s v="B0BDFXPXY7"/>
        <s v="B0BFS7CYLQ"/>
        <s v="B0BHHV552D"/>
        <s v="B0BHTBMNX8"/>
        <s v="B0BJ2DC3KX"/>
        <s v="B0BJ2TBPJW"/>
        <s v="B0BJL1Z674"/>
        <s v="B0BKGZC9YH"/>
        <s v="B0BLSQJZJ3"/>
        <s v="B0BNNH9RZQ"/>
        <s v="B0BQJSQ6PF"/>
        <s v="B0BRQB2J4B"/>
        <s v="B0BTHSH5MK"/>
        <s v="B0BVBY1RWS"/>
        <s v="B0BVZG7FPY"/>
        <s v="B0BWS8WNS9"/>
        <s v="B0BWSFLRWN"/>
        <s v="B0BXDTH4VN"/>
        <s v="B0BYZTG56X"/>
        <s v="B0BYZTX2NR"/>
        <s v="B0BYZZKNN1"/>
        <s v="B0C154W8S4"/>
        <s v="B0C28S79G8"/>
        <s v="B0C2Q58PTZ"/>
        <s v="B0C3R6NJVT"/>
        <s v="B0C94Q6QZ9"/>
        <s v="B0C9V6YP8X"/>
        <s v="B0CC5QZ9CJ"/>
        <s v="B0CFB71DMN"/>
        <s v="B0CHF7YW6B"/>
        <s v="B0CHFQXMZX"/>
        <s v="B0CHFVXXND"/>
        <s v="B0CHWMFNNT"/>
        <s v="B0CLVR5JN6"/>
        <s v="B0CLVS3FH6"/>
        <s v="B0CLY2CF4T"/>
        <s v="B0CMHZ2WNV"/>
        <s v="B0CPFRMPTM"/>
        <s v="B0CXJCJF5B"/>
        <s v="B00SNJ2R6K"/>
        <s v="B011LH9V8M"/>
        <s v="B015T5GR0C"/>
        <s v="B016MWFE7S"/>
        <s v="B01CHW1MSM"/>
        <s v="B01CHW1YD0"/>
        <s v="B01CHW20UQ"/>
        <s v="B01CNXP36C"/>
        <s v="B01K6P6NT0"/>
        <s v="B01MFA4H6K"/>
        <s v="B01N042GD5"/>
        <s v="B06W2JZMNV"/>
        <s v="B0719SSDBX"/>
        <s v="B076DCF8PV"/>
        <s v="B076DDBK1G"/>
        <s v="B07J26M3W1"/>
        <s v="B07NNZKB8R"/>
        <s v="B07YBMWZ4S"/>
        <s v="B088PKV3VL"/>
        <s v="B093LRRNWT"/>
        <s v="B09L8KL121"/>
        <s v="B0BGQ9M54N"/>
        <s v="B0BVGFCVY7"/>
        <s v="B0BW4HKZWQ"/>
        <s v="B0C1C43RC7"/>
        <s v="B0C2D47K4T"/>
        <s v="B0CHYQJ6F5"/>
        <s v="Totale complessivo" u="1"/>
      </sharedItems>
    </cacheField>
    <cacheField name="SKU" numFmtId="0">
      <sharedItems containsBlank="1" count="385">
        <m/>
        <s v="40.979"/>
        <s v="40.999"/>
        <s v="40.808A"/>
        <s v="40.993"/>
        <s v="HK-NV009W"/>
        <s v="90.349"/>
        <s v="90.502"/>
        <s v="RI.501SL"/>
        <s v="40.967N"/>
        <s v="40.11"/>
        <s v="40.100"/>
        <s v="HK-HQ601C PINK"/>
        <s v="40.994"/>
        <s v="40.120"/>
        <s v="40.121"/>
        <s v="90.602"/>
        <s v="90.386"/>
        <s v="40.947"/>
        <s v="40.978"/>
        <s v="90.605"/>
        <s v="40.969"/>
        <s v="40.998"/>
        <s v="40.996"/>
        <s v="40.948T"/>
        <s v="90.620"/>
        <s v="90.520"/>
        <s v="40.761"/>
        <s v="90.920G"/>
        <s v="90.514"/>
        <s v="PE.001"/>
        <s v="PE.165"/>
        <s v="PE.300"/>
        <s v="90.820"/>
        <s v="90.825"/>
        <s v="90.871"/>
        <s v="40.531"/>
        <s v="MD.004"/>
        <s v="MD.002"/>
        <s v="90.920R"/>
        <s v="MD.104"/>
        <s v="MD.213"/>
        <s v="MD.217"/>
        <s v="PO.002"/>
        <s v="90.590Y"/>
        <s v="90.071"/>
        <s v="90.836"/>
        <s v="PE.361"/>
        <s v="50.700"/>
        <s v="PE.301"/>
        <s v="40.926"/>
        <s v="PE.376"/>
        <s v="PE.377"/>
        <s v="90.130F2"/>
        <s v="90.436H"/>
        <s v="90.131"/>
        <s v="40.450GO"/>
        <s v="40.939"/>
        <s v="40.220"/>
        <s v="50.130"/>
        <s v="50.920V"/>
        <s v="90.485H"/>
        <s v="90.550"/>
        <s v="90.882"/>
        <s v="90.883"/>
        <s v="VE.112"/>
        <s v="90.350V"/>
        <s v="BT.001R"/>
        <s v="40.957N"/>
        <s v="90.886"/>
        <s v="90.884"/>
        <s v="40.500"/>
        <s v="BC.040N"/>
        <s v="RI.201"/>
        <s v="BC.160A"/>
        <s v="BC.160G"/>
        <s v="BT.600Y"/>
        <s v="BP.600"/>
        <s v="BT.700Y"/>
        <s v="40.501"/>
        <s v="BT.602H"/>
        <s v="BP.720"/>
        <s v="BB.103"/>
        <s v="CA.010"/>
        <s v="BC.002"/>
        <s v="BB.001"/>
        <s v="BC.041N"/>
        <s v="40.821"/>
        <s v="40.915"/>
        <s v="40.931"/>
        <s v="50451"/>
        <s v="BF.550"/>
        <s v="VE.550"/>
        <s v="BG.200Y"/>
        <s v="BT.150Y"/>
        <s v="BA.200Y"/>
        <s v="VE.210"/>
        <s v="VE.402"/>
        <s v="BC.130"/>
        <s v="40.330"/>
        <s v="50.900"/>
        <s v="50.160"/>
        <s v="BC.353"/>
        <s v="BC.250"/>
        <s v="BI.504"/>
        <s v="50.940GO"/>
        <s v="RI.080"/>
        <s v="ri.093"/>
        <s v="BP.581"/>
        <s v="RI.552"/>
        <s v="50600"/>
        <s v="40.405"/>
        <s v="40.452"/>
        <s v="BT.110"/>
        <s v="BP.200"/>
        <s v="BP.101H"/>
        <s v="BT.710Y"/>
        <s v="BT.300"/>
        <s v="BP.500"/>
        <s v="BT.604"/>
        <s v="BT.651Y"/>
        <s v="BP.961"/>
        <s v="BT.450"/>
        <s v="40.102"/>
        <s v="BT.410"/>
        <s v="BF.570"/>
        <s v="BC.060"/>
        <s v="BB.105"/>
        <s v="40.742"/>
        <s v="40.453"/>
        <s v="40.403"/>
        <s v="BI.505"/>
        <s v="MD.127"/>
        <s v="50.401"/>
        <s v="BB.002"/>
        <s v="VE.502"/>
        <s v="BP.620"/>
        <s v="BP.630"/>
        <s v="CA.013"/>
        <s v="BC.300"/>
        <s v="BP.304"/>
        <s v="BP.654"/>
        <s v="BP.690"/>
        <s v="BP.102"/>
        <s v="BP.800"/>
        <s v="70.404"/>
        <s v="MD.500"/>
        <s v="40.918"/>
        <s v="40.919"/>
        <s v="40.361"/>
        <s v="40.490"/>
        <s v="BC.200"/>
        <s v="BB.200"/>
        <s v="1"/>
        <s v="RI.503"/>
        <s v="RI.064"/>
        <s v="BP.604"/>
        <s v="BB.210"/>
        <s v="RI.096"/>
        <s v="BF.640"/>
        <s v="50161"/>
        <s v="BP.552"/>
        <s v="MD.404"/>
        <s v="BF.700"/>
        <s v="BC.510"/>
        <s v="50.245"/>
        <s v="BI.507"/>
        <s v="40.473"/>
        <s v="BT.800"/>
        <s v="BP.400"/>
        <s v="BC.261"/>
        <s v="40.406"/>
        <s v="RI.424"/>
        <s v="XUADA001"/>
        <s v="C102BOT001"/>
        <s v="C102BOT003"/>
        <s v="C102BOT002"/>
        <s v="C102BOT004"/>
        <s v="P206VEN410"/>
        <s v="BP.802"/>
        <s v="RCOBP630"/>
        <s v="BC.125"/>
        <s v="BP.790"/>
        <s v="P206VEN420"/>
        <s v="P206VEN260"/>
        <s v="RCO9003028"/>
        <s v="BB.050"/>
        <s v="P206RAF200"/>
        <s v="RCO9003022"/>
        <s v="BC.210"/>
        <s v="P206VEN400"/>
        <s v="40.332"/>
        <s v="3BEPI001"/>
        <s v="P206VEN100"/>
        <s v="P206ZAN020"/>
        <s v="P206ZAN040"/>
        <s v="P206VEN130"/>
        <s v="P206VEN230"/>
        <s v="C301ABE001"/>
        <s v="P101CUD001"/>
        <s v="P101TOS001"/>
        <s v="XUADA010"/>
        <s v="P101PIA001"/>
        <s v="P102EST001"/>
        <s v="P204FER001"/>
        <s v="P201UTP001"/>
        <s v="P102SBA100"/>
        <s v="p102rob100"/>
        <s v="P301ASC001"/>
        <s v="P102FRU001"/>
        <s v="P101FOR001"/>
        <s v="P101CUD100"/>
        <s v="P101CUD500"/>
        <s v="70.405"/>
        <s v="P201UTP004"/>
        <s v="P201UTP002"/>
        <s v="P204FER250"/>
        <s v="P204FER100"/>
        <s v="P204FER200"/>
        <s v="P203TFO001"/>
        <s v="P202ASP400"/>
        <s v="P201UTP003"/>
        <s v="RCORI552"/>
        <s v="C206UTI001"/>
        <s v="C206UTI002"/>
        <s v="C102COC101"/>
        <s v="BP.803"/>
        <s v="P102ROB001"/>
        <s v="P101FRI001"/>
        <s v="P202VAL001"/>
        <s v="P202VAL002"/>
        <s v="P202VAL100"/>
        <s v="P101TEM001"/>
        <s v="P302MAS001"/>
        <s v="P302VIS001"/>
        <s v="P102CON001"/>
        <s v="P102FRU100"/>
        <s v="P102SBA006"/>
        <s v="C107UTT001"/>
        <s v="P303BIP001"/>
        <s v="P102GEL001"/>
        <s v="P303MED001"/>
        <s v="P101PIA002"/>
        <s v="P204CAL001"/>
        <s v="P206ZAN001"/>
        <s v="P206VEN150"/>
        <s v="P302VIS002"/>
        <s v="P202ASP001"/>
        <s v="P101FRI050"/>
        <s v="P303BIP050"/>
        <s v="P304CAP001"/>
        <s v="P206ZAN300"/>
        <s v="P206ZAN110"/>
        <s v="P206VEN440"/>
        <s v="P206ZAN200"/>
        <s v="P204CAL201"/>
        <s v="P205DIF001"/>
        <s v="P204FER002"/>
        <s v="P102ACP001"/>
        <s v="P102ACP010"/>
        <s v="C107UTT002"/>
        <s v="P101TOS500"/>
        <s v="C301ABE101"/>
        <s v="P101BOL100"/>
        <s v="P303MED050"/>
        <s v="P102ROB050"/>
        <s v="P201UTP011"/>
        <s v="P202VAL110"/>
        <s v="P205DIF100"/>
        <s v="P102FRU500"/>
        <s v="P101FRI100"/>
        <s v="P102ROB200"/>
        <s v="RCO4091819"/>
        <s v="P101CUD050"/>
        <s v="P201UTP010"/>
        <s v="P102FRU003"/>
        <s v="P102FRU200"/>
        <s v="P102FRU150"/>
        <s v="P101CUD501"/>
        <s v="P101TOS501"/>
        <s v="P301PIS001"/>
        <s v="P204FER003"/>
        <s v="P302MAS050"/>
        <s v="P102SBA500"/>
        <s v="P203TER001"/>
        <s v="P203TER100"/>
        <s v="P203TER200"/>
        <s v="P301PIS100"/>
        <s v="P203TFO100"/>
        <s v="P102SBA007"/>
        <s v="P101FRI012"/>
        <s v="CP.007"/>
        <s v="P101TOS502"/>
        <s v="P101TOS002"/>
        <s v="AC.116"/>
        <s v="P204FER004"/>
        <s v="P206VEN350"/>
        <s v="C301ACC001"/>
        <s v="P101CUD300"/>
        <s v="P302MAS100"/>
        <s v="P201UTP100"/>
        <s v="P201UTP020"/>
        <s v="P102GEL100"/>
        <s v="P102EST100"/>
        <s v="C106CAS001"/>
        <s v="P101CUD051"/>
        <s v="P102FRU300"/>
        <s v="P302VIS003"/>
        <s v="P102ACP100"/>
        <s v="P201UTP201"/>
        <s v="P201UTP200"/>
        <s v="P205DIF050"/>
        <s v="P102SBA008"/>
        <s v="P302VIS050"/>
        <s v="P101CUD200"/>
        <s v="PE.387"/>
        <s v="P101COS001"/>
        <s v="P203PAN002"/>
        <s v="C106CAS002"/>
        <s v="P202ASP200"/>
        <s v="P101CUD052"/>
        <s v="P203TER201"/>
        <s v="P101CUD250"/>
        <s v="P101FRI080"/>
        <s v="C206UTI004"/>
        <s v="C102SPE001"/>
        <s v="C301ABE200"/>
        <s v="C206UTI005"/>
        <s v="P302VIS060"/>
        <s v="P101CUD600"/>
        <s v="PET005"/>
        <s v="C103ACC001"/>
        <s v="P206VEN550"/>
        <s v="P206VEN600"/>
        <s v="P206ZAN250"/>
        <s v="P206VEN151"/>
        <s v="P206VEN152"/>
        <s v="P201UTP101"/>
        <s v="P201UTP102"/>
        <s v="P201UTP103"/>
        <s v="P206VEN450"/>
        <s v="P206VEN430"/>
        <s v="P207OUT002"/>
        <s v="P101FRI090"/>
        <s v="P101TOS100"/>
        <s v="C301ABE002"/>
        <s v="C206UTI006"/>
        <s v="C203PUL004"/>
        <s v="P203PAN010"/>
        <s v="P203PAN001"/>
        <s v="P203TER010"/>
        <s v="P202ASP250"/>
        <s v="P201UTP112"/>
        <s v="P201UTP111"/>
        <s v="P201UTP113"/>
        <s v="P101FRI051"/>
        <s v="P101CAF001"/>
        <s v="P101PIA003"/>
        <s v="40.992"/>
        <s v="40.958V"/>
        <s v="40.760"/>
        <s v="90.890R"/>
        <s v="PE.005"/>
        <s v="PE.140"/>
        <s v="PE.400"/>
        <s v="40.981N"/>
        <s v="40.400"/>
        <s v="S304"/>
        <s v="40.925"/>
        <s v="90.200"/>
        <s v="BT.001N"/>
        <s v="BB.102"/>
        <s v="BB.104"/>
        <s v="ri.423"/>
        <s v="BP.602"/>
        <s v="50101"/>
        <s v="P206VEN300"/>
        <s v="P102EST010"/>
        <s v="P203TFO110"/>
        <s v="P202VAL200"/>
        <s v="P206VEN161"/>
        <s v="P206VEN131"/>
        <s v="P206VEN650"/>
        <s v="P102CON550"/>
        <s v="P202ASP300"/>
      </sharedItems>
    </cacheField>
    <cacheField name="Somma di Ordini Vendor 24" numFmtId="0">
      <sharedItems containsString="0" containsBlank="1" containsNumber="1" containsInteger="1" minValue="-14" maxValue="1354"/>
    </cacheField>
    <cacheField name="Somma di Valori ordini Vendor 24" numFmtId="0">
      <sharedItems containsString="0" containsBlank="1" containsNumber="1" minValue="-377.07" maxValue="16822.21"/>
    </cacheField>
    <cacheField name="Somma di Ordini Seller" numFmtId="0">
      <sharedItems containsString="0" containsBlank="1" containsNumber="1" containsInteger="1" minValue="0" maxValue="1084"/>
    </cacheField>
    <cacheField name="Somma di Valori ordini Seller" numFmtId="0">
      <sharedItems containsString="0" containsBlank="1" containsNumber="1" minValue="0" maxValue="28528.140000000447"/>
    </cacheField>
    <cacheField name="Somma di Ordini Complessivi" numFmtId="0">
      <sharedItems containsString="0" containsBlank="1" containsNumber="1" containsInteger="1" minValue="-6" maxValue="1354"/>
    </cacheField>
    <cacheField name="Somma di Valori ordini Complessivi" numFmtId="0">
      <sharedItems containsString="0" containsBlank="1" containsNumber="1" minValue="-377.07" maxValue="29202.530000000446"/>
    </cacheField>
    <cacheField name="Somma di Ordini Vendor 23" numFmtId="0">
      <sharedItems containsString="0" containsBlank="1" containsNumber="1" containsInteger="1" minValue="-3" maxValue="4056"/>
    </cacheField>
    <cacheField name="Somma di Valori ordini Vendor 23" numFmtId="0">
      <sharedItems containsString="0" containsBlank="1" containsNumber="1" minValue="-55.37" maxValue="47676.07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urari" refreshedDate="45387.47788622685" createdVersion="8" refreshedVersion="8" minRefreshableVersion="3" recordCount="1052" xr:uid="{A7244B73-7934-4C3B-91E1-42B06CBDD3CD}">
  <cacheSource type="worksheet">
    <worksheetSource ref="A3:N1055" sheet="ds_IT"/>
  </cacheSource>
  <cacheFields count="14">
    <cacheField name="ASIN" numFmtId="0">
      <sharedItems containsBlank="1" count="390">
        <s v="B0050IHH4E"/>
        <s v="B009O92WU4"/>
        <s v="B00BH202XK"/>
        <s v="B00CMAD2FG"/>
        <s v="B00EYDRS1I"/>
        <s v="B00FFBFVG2"/>
        <s v="B00FMZ2VW8"/>
        <s v="B00L5GPWFG"/>
        <s v="B00L5H5KUW"/>
        <s v="B00NSNZSLM"/>
        <s v="B00OKE4RTM"/>
        <s v="B00YH3FRV8"/>
        <s v="B011LFM60E"/>
        <s v="B011LFVLW8"/>
        <s v="B017IUJA50"/>
        <s v="B01CHW1L88"/>
        <s v="B01CNX6T10"/>
        <s v="B01CNX6UIM"/>
        <s v="B01CNX6Z78"/>
        <s v="B01CNX704K"/>
        <s v="B01CNX71NA"/>
        <s v="B01HM47LF8"/>
        <s v="B01I497WWM"/>
        <s v="B01IHGX2HQ"/>
        <s v="B01II7S968"/>
        <s v="B01KMJ9OXW"/>
        <s v="B01M4O6145"/>
        <s v="B01MTSEGF9"/>
        <s v="B01N12PI05"/>
        <s v="B06WGS8ZVG"/>
        <s v="B06XPK3BTC"/>
        <s v="B06XPYSCGJ"/>
        <s v="B06XQ25NLB"/>
        <s v="B06XSJPGR9"/>
        <s v="B06XYMCV3W"/>
        <s v="B06Y17FS6D"/>
        <s v="B06Y195DJN"/>
        <s v="B06Y1997YH"/>
        <s v="B06Y1P6DPZ"/>
        <s v="B073B67PLQ"/>
        <s v="B0757TJRR9"/>
        <s v="B075FX6RFP"/>
        <s v="B075K5C2QG"/>
        <s v="B075RF5S3N"/>
        <s v="B075RF8FM9"/>
        <s v="B075XR3T8V"/>
        <s v="B076D74TC7"/>
        <s v="B076DC4VWG"/>
        <s v="B076DCKSTJ"/>
        <s v="B076DCL19C"/>
        <s v="B076DCX3JH"/>
        <s v="B076DD26WW"/>
        <s v="B076DD35DZ"/>
        <s v="B076Q7BR6F"/>
        <s v="B076QCMZX1"/>
        <s v="B076QFRRZ5"/>
        <s v="B079SB5VJZ"/>
        <s v="B07B9CBD91"/>
        <s v="B07B9CPH62"/>
        <s v="B07BB2DQ4V"/>
        <s v="B07BHCZR84"/>
        <s v="B07BHTW4WV"/>
        <s v="B07CZ4WMB8"/>
        <s v="B07F187NFQ"/>
        <s v="B07FN14FSN"/>
        <s v="B07HFPYL56"/>
        <s v="B07HFQH172"/>
        <s v="B07HHDSJHM"/>
        <s v="B07HM7P6MP"/>
        <s v="B07JGVMFY1"/>
        <s v="B07KYWNC7Z"/>
        <s v="B07MC8ZVRM"/>
        <s v="B07N4C3H3V"/>
        <s v="B07NNZSW1W"/>
        <s v="B07NP6YY5W"/>
        <s v="B07NQ1T7YK"/>
        <s v="B07NQ2VYGD"/>
        <s v="B07NQC6S9V"/>
        <s v="B07P7GGGQM"/>
        <s v="B07P7L18T9"/>
        <s v="B07PCQJ1P8"/>
        <s v="B07PTQPT16"/>
        <s v="B07Q38Z7CK"/>
        <s v="B07QX1RJRH"/>
        <s v="B07QZ89PLH"/>
        <s v="B07R984VMS"/>
        <s v="B07RN75ZFL"/>
        <s v="B07RRBP1YR"/>
        <s v="B07RRBS54G"/>
        <s v="B07SSLRCT6"/>
        <s v="B07TJGZNPN"/>
        <s v="B07TQVD94L"/>
        <s v="B07TSNB5WG"/>
        <s v="B07TSNCJ5J"/>
        <s v="B07TTJQDC2"/>
        <s v="B07TVSJDCL"/>
        <s v="B07TWX2L8N"/>
        <s v="B07V131F5W"/>
        <s v="B07W7S9KYM"/>
        <s v="B07XVWXVK1"/>
        <s v="B07Y3XHMMV"/>
        <s v="B07YBFRMM7"/>
        <s v="B07YBM3P68"/>
        <s v="B07YBN2FS3"/>
        <s v="B07YBNB2QY"/>
        <s v="B07YBNPZPJ"/>
        <s v="B07YZZZVXP"/>
        <s v="B07ZHSCYF5"/>
        <s v="B07ZJMFB3R"/>
        <s v="B07ZJQTGG8"/>
        <s v="B081QRX1K7"/>
        <s v="B0823CVGHX"/>
        <s v="B08485QRVZ"/>
        <s v="B084C3JTC2"/>
        <s v="B084PN7WPZ"/>
        <s v="B084TG23R3"/>
        <s v="B084TG4594"/>
        <s v="B084TGLFLM"/>
        <s v="B084TGLSDV"/>
        <s v="B085JHSTQS"/>
        <s v="B085JHSWJH"/>
        <s v="B085JHSWJW"/>
        <s v="B085JHTR6Q"/>
        <s v="B085JHZT67"/>
        <s v="B085JJ747G"/>
        <s v="B085JJ81R7"/>
        <s v="B085JJ8RC6"/>
        <s v="B085JJ9J4N"/>
        <s v="B085JJFLGY"/>
        <s v="B085JJMBM7"/>
        <s v="B085R2GCKX"/>
        <s v="B085R2NT18"/>
        <s v="B088PL1CY6"/>
        <s v="B088V4DR59"/>
        <s v="B088V7DR7L"/>
        <s v="B088XJQ37J"/>
        <s v="B089BGZSNM"/>
        <s v="B08B66J4C3"/>
        <s v="B08B8M2B7B"/>
        <s v="B08C7YJB5N"/>
        <s v="B08DHZDXVV"/>
        <s v="B08DJ3K9J8"/>
        <s v="B08DL66NZ9"/>
        <s v="B08F5GYFKS"/>
        <s v="B08FDP7T13"/>
        <s v="B08FDYW72J"/>
        <s v="B08FF245TD"/>
        <s v="B08FJGGZ1D"/>
        <s v="B08FMLPKY9"/>
        <s v="B08FMS5ZDK"/>
        <s v="B08GS7XW73"/>
        <s v="B08GS96GPT"/>
        <s v="B08GSK6C18"/>
        <s v="B08GY7286R"/>
        <s v="B08HCT78N3"/>
        <s v="B08HN4DPJV"/>
        <s v="B08JYDDFZ2"/>
        <s v="B08JYWF3PK"/>
        <s v="B08JZDZTPG"/>
        <s v="B08KSBDTQD"/>
        <s v="B08KYZ2FLN"/>
        <s v="B08L9D9KR9"/>
        <s v="B08LDDKBYG"/>
        <s v="B08LVS1MMY"/>
        <s v="B08LZN1PWY"/>
        <s v="B08MM2VK11"/>
        <s v="B08MX1SQKC"/>
        <s v="B08NDZKNF5"/>
        <s v="B08NF8TQKT"/>
        <s v="B08NTD853X"/>
        <s v="B08V4VTTQN"/>
        <s v="B08X4VZV3S"/>
        <s v="B08XQT9P5C"/>
        <s v="B08XVV3PVK"/>
        <s v="B08XWBGJHR"/>
        <s v="B08Y6RJ69Y"/>
        <s v="B08YN2SRQS"/>
        <s v="B08ZJHV47V"/>
        <s v="B09146GTKW"/>
        <s v="B091C5XQZN"/>
        <s v="B091LRR67V"/>
        <s v="B091VSY78C"/>
        <s v="B09251R9RJ"/>
        <s v="B09294Z7XG"/>
        <s v="B0929CVW7Q"/>
        <s v="B092DN1NCS"/>
        <s v="B092J2RHL8"/>
        <s v="B092QXCQ8K"/>
        <s v="B09495C38F"/>
        <s v="B0953R2W31"/>
        <s v="B0957PWXL8"/>
        <s v="B095PQJGKX"/>
        <s v="B095WCSSLC"/>
        <s v="B095X9KDJR"/>
        <s v="B096KVY46G"/>
        <s v="B096MX229M"/>
        <s v="B096SVXQDX"/>
        <s v="B097785V2V"/>
        <s v="B0978ZKW4S"/>
        <s v="B097F45J2B"/>
        <s v="B097HRQNRG"/>
        <s v="B097YTGFH7"/>
        <s v="B098F33WBD"/>
        <s v="B098QM485T"/>
        <s v="B09968BKDS"/>
        <s v="B09B15P5H1"/>
        <s v="B09B2NT2SV"/>
        <s v="B09B47S644"/>
        <s v="B09BBFTDLJ"/>
        <s v="B09BD8BG34"/>
        <s v="B09BG1GGSM"/>
        <s v="B09D8G2H7Q"/>
        <s v="B09HMK8JDN"/>
        <s v="B09HQN1LQ2"/>
        <s v="B09KYD9JGY"/>
        <s v="B09L4SLDSZ"/>
        <s v="B09LHXJXQL"/>
        <s v="B09MS5H54V"/>
        <s v="B09NBXYF5J"/>
        <s v="B09PGHNKWP"/>
        <s v="B09VQLJ1WK"/>
        <s v="B09XN3Z69T"/>
        <s v="B09XR94HF8"/>
        <s v="B09Y9DBPK5"/>
        <s v="B09YVL4VQ6"/>
        <s v="B09ZBHJ91Q"/>
        <s v="B0B131VWYS"/>
        <s v="B0B2F48ZMP"/>
        <s v="B0B2SB1ZQL"/>
        <s v="B0B39H1Z8J"/>
        <s v="B0B3N9ZNT2"/>
        <s v="B0B57933BC"/>
        <s v="B0B5XB4X2T"/>
        <s v="B0B6JKJNCP"/>
        <s v="B0B6JPXDN6"/>
        <s v="B0B7WVD9L3"/>
        <s v="B0B887SKJ1"/>
        <s v="B0B8DLSNJF"/>
        <s v="B0B8JVTQYQ"/>
        <s v="B0B94FL5H8"/>
        <s v="B0BBH12BYN"/>
        <s v="B0BD4VX5JB"/>
        <s v="B0BD83RNDG"/>
        <s v="B0BDFXPXY7"/>
        <s v="B0BFS7CYLQ"/>
        <s v="B0BHHV552D"/>
        <s v="B0BHTBMNX8"/>
        <s v="B0BJ2DC3KX"/>
        <s v="B0BJ2TBPJW"/>
        <s v="B0BJL1Z674"/>
        <s v="B0BKGZC9YH"/>
        <s v="B0BLSQJZJ3"/>
        <s v="B0BNNH9RZQ"/>
        <s v="B0BQJSQ6PF"/>
        <s v="B0BTHSH5MK"/>
        <s v="B0BVBY1RWS"/>
        <s v="B0BVZG7FPY"/>
        <s v="B0BWS8WNS9"/>
        <s v="B0BWSFLRWN"/>
        <s v="B0BXDTH4VN"/>
        <s v="B0BYZTG56X"/>
        <s v="B0BYZTX2NR"/>
        <s v="B0BYZZKNN1"/>
        <s v="B0C154W8S4"/>
        <s v="B0C28S79G8"/>
        <s v="B0C2Q58PTZ"/>
        <s v="B0C3R6NJVT"/>
        <s v="B0C94Q6QZ9"/>
        <s v="B0C9V6YP8X"/>
        <s v="B0CC5QZ9CJ"/>
        <s v="B0CFB71DMN"/>
        <s v="B0CHF7YW6B"/>
        <s v="B0CHFQXMZX"/>
        <s v="B0CHFVXXND"/>
        <s v="B0CHWMFNNT"/>
        <s v="B0CLVR5JN6"/>
        <s v="B0CLVS3FH6"/>
        <s v="B0CLY2CF4T"/>
        <s v="B0CMHZ2WNV"/>
        <s v="B0CPFRMPTM"/>
        <s v="B0CXJCJF5B"/>
        <s v="B00C5CCJP0"/>
        <s v="B00EYF02AU"/>
        <s v="B00EZ4185S"/>
        <s v="B00FAJUDU8"/>
        <s v="B00FFBED98"/>
        <s v="B00J7MNQFS"/>
        <s v="B00OLZPU5K"/>
        <s v="B00WR5UPZG"/>
        <s v="B00YAIEPNQ"/>
        <s v="B00YCPX8R6"/>
        <s v="B00ZINWP5W"/>
        <s v="B011LLILUM"/>
        <s v="B016MWFVIU"/>
        <s v="B01CA687DI"/>
        <s v="B01HGS9EPA"/>
        <s v="B01HM47LI0"/>
        <s v="B01II660SS"/>
        <s v="B01ITBZK38"/>
        <s v="B01MFCQKVN"/>
        <s v="B01MTAUFYF"/>
        <s v="B01N4L0SUV"/>
        <s v="B01N5R491F"/>
        <s v="B01N6SQYFM"/>
        <s v="B06VWNNKF9"/>
        <s v="B06VWTF7V3"/>
        <s v="B06XYLCVBP"/>
        <s v="B06Y4GZ9QP"/>
        <s v="B072C5RN48"/>
        <s v="B072FW64RR"/>
        <s v="B073B57HQH"/>
        <s v="B0763R9MPM"/>
        <s v="B076DN647N"/>
        <s v="B076QDRTK6"/>
        <s v="B07B7YLZ6Z"/>
        <s v="B07BHTW4X8"/>
        <s v="B07BHVLCF5"/>
        <s v="B07HHHBXHL"/>
        <s v="B07J25HN6L"/>
        <s v="B07JXMJLG9"/>
        <s v="B07KG9T4M7"/>
        <s v="B07NQ2ZBPV"/>
        <s v="B07NQ4G4NX"/>
        <s v="B07NQ9JF3Z"/>
        <s v="B07P7GH655"/>
        <s v="B07Q47DQ4M"/>
        <s v="B07QY47V9Y"/>
        <s v="B07RMZYDCJ"/>
        <s v="B07RQ7FRCS"/>
        <s v="B07RTKKND8"/>
        <s v="B07RVKV56Z"/>
        <s v="B07RVLJ2KL"/>
        <s v="B07TVTGQ5B"/>
        <s v="B07TWX1RX3"/>
        <s v="B07V5TWWXM"/>
        <s v="B07XLT78B7"/>
        <s v="B07XYJ64GP"/>
        <s v="B0813VLDQY"/>
        <s v="B0823CLCWM"/>
        <s v="B084HK5BF8"/>
        <s v="B085JHTR6J"/>
        <s v="B085JJJR91"/>
        <s v="B088RZXVDL"/>
        <s v="B088V9LKW7"/>
        <s v="B089BKBZV3"/>
        <s v="B089DTP1BQ"/>
        <s v="B08C7TN27W"/>
        <s v="B08J47XH38"/>
        <s v="B08JM7SZ36"/>
        <s v="B092JNYG6Z"/>
        <s v="B095SWNCBS"/>
        <s v="B098TQ6NHC"/>
        <s v="B09C2K1HQW"/>
        <s v="B09J57VDX5"/>
        <s v="B09MFYXGV9"/>
        <s v="B09MKJBD92"/>
        <s v="B0B57FLJFX"/>
        <s v="B0BRQB2J4B"/>
        <m/>
        <s v="B011LH9V8M"/>
        <s v="B015T5GR0C"/>
        <s v="B01CHW1YD0"/>
        <s v="B01CHW20UQ"/>
        <s v="B01CNXP36C"/>
        <s v="B01K6P6NT0"/>
        <s v="B01MFA4H6K"/>
        <s v="B06W2JZMNV"/>
        <s v="B076DCF8PV"/>
        <s v="B088PKV3VL"/>
        <s v="B0BGQ9M54N"/>
        <s v="B0BVGFCVY7"/>
        <s v="B0BW4HKZWQ"/>
        <s v="B0C1C43RC7"/>
        <s v="B0C2D47K4T"/>
        <s v="B0CHYQJ6F5"/>
        <s v="B00SNJ2R6K"/>
        <s v="B016MWFE7S"/>
        <s v="B01CHW1MSM"/>
        <s v="B01N042GD5"/>
        <s v="B0719SSDBX"/>
        <s v="B076DDBK1G"/>
        <s v="B07J26M3W1"/>
        <s v="B07NNZKB8R"/>
        <s v="B07YBMWZ4S"/>
        <s v="B093LRRNWT"/>
        <s v="B09L8KL121"/>
        <s v="B00YF2M62O"/>
        <s v="B011LFL5XS"/>
        <s v="B07RRBRGGN"/>
        <s v="B07ZJP81R3"/>
      </sharedItems>
    </cacheField>
    <cacheField name="SKU" numFmtId="0">
      <sharedItems containsBlank="1" count="389">
        <s v="40.979"/>
        <s v="40.999"/>
        <s v="40.808A"/>
        <s v="HK-NV009W"/>
        <s v="90.349"/>
        <s v="40.100"/>
        <s v="HK-HQ601C PINK"/>
        <s v="40.120"/>
        <s v="40.121"/>
        <s v="90.602"/>
        <s v="90.386"/>
        <s v="40.998"/>
        <s v="40.948T"/>
        <s v="90.620"/>
        <s v="90.920G"/>
        <s v="PE.001"/>
        <s v="PE.165"/>
        <s v="PE.300"/>
        <s v="90.820"/>
        <s v="90.825"/>
        <s v="90.871"/>
        <s v="MD.004"/>
        <s v="90.920R"/>
        <s v="MD.104"/>
        <s v="MD.217"/>
        <s v="90.590Y"/>
        <s v="90.071"/>
        <s v="50.700"/>
        <s v="PE.301"/>
        <s v="90.131"/>
        <s v="40.450GO"/>
        <s v="40.939"/>
        <s v="40.220"/>
        <s v="50.130"/>
        <s v="90.485H"/>
        <s v="90.550"/>
        <s v="90.882"/>
        <s v="90.883"/>
        <s v="VE.112"/>
        <s v="90.884"/>
        <s v="40.500"/>
        <s v="BC.040N"/>
        <s v="RI.201"/>
        <s v="BC.160A"/>
        <s v="BC.160G"/>
        <s v="BT.600Y"/>
        <s v="BT.700Y"/>
        <s v="40.501"/>
        <s v="BT.602H"/>
        <s v="BP.720"/>
        <s v="BB.103"/>
        <s v="CA.010"/>
        <s v="BC.002"/>
        <s v="BC.041N"/>
        <s v="40.821"/>
        <s v="40.931"/>
        <s v="50451"/>
        <s v="VE.550"/>
        <s v="BG.200Y"/>
        <s v="BT.150Y"/>
        <s v="BA.200Y"/>
        <s v="VE.210"/>
        <s v="40.330"/>
        <s v="50.900"/>
        <s v="50.160"/>
        <s v="BC.353"/>
        <s v="BC.250"/>
        <s v="BI.504"/>
        <s v="RI.080"/>
        <s v="BP.581"/>
        <s v="40.405"/>
        <s v="40.452"/>
        <s v="BT.110"/>
        <s v="BP.200"/>
        <s v="BP.101H"/>
        <s v="BT.710Y"/>
        <s v="BT.651Y"/>
        <s v="BP.961"/>
        <s v="40.102"/>
        <s v="BT.410"/>
        <s v="BF.570"/>
        <s v="BC.060"/>
        <s v="40.742"/>
        <s v="40.403"/>
        <s v="BI.505"/>
        <s v="50.401"/>
        <s v="VE.502"/>
        <s v="BP.620"/>
        <s v="BP.304"/>
        <s v="BP.654"/>
        <s v="BP.690"/>
        <s v="BP.102"/>
        <s v="BP.800"/>
        <s v="70.404"/>
        <s v="MD.500"/>
        <s v="40.361"/>
        <s v="40.490"/>
        <s v="BB.200"/>
        <s v="RI.503"/>
        <s v="BP.604"/>
        <s v="BB.210"/>
        <s v="RI.096"/>
        <s v="BF.640"/>
        <s v="50161"/>
        <s v="BP.552"/>
        <s v="MD.404"/>
        <s v="BF.700"/>
        <s v="BC.510"/>
        <s v="50.245"/>
        <s v="40.473"/>
        <s v="BP.400"/>
        <s v="BC.261"/>
        <s v="40.406"/>
        <s v="XUADA001"/>
        <s v="C102BOT001"/>
        <s v="C102BOT003"/>
        <s v="C102BOT002"/>
        <s v="C102BOT004"/>
        <s v="P206VEN410"/>
        <s v="BP.802"/>
        <s v="RCOBP630"/>
        <s v="BP.790"/>
        <s v="P206VEN420"/>
        <s v="P206VEN260"/>
        <s v="RCO9003028"/>
        <s v="BB.050"/>
        <s v="P206RAF200"/>
        <s v="RCO9003022"/>
        <s v="P206VEN400"/>
        <s v="40.332"/>
        <s v="3BEPI001"/>
        <s v="P206VEN100"/>
        <s v="P206ZAN040"/>
        <s v="P206VEN130"/>
        <s v="C301ABE001"/>
        <s v="P101CUD001"/>
        <s v="P101PIA001"/>
        <s v="P102EST001"/>
        <s v="P201UTP001"/>
        <s v="P102SBA100"/>
        <s v="p102rob100"/>
        <s v="P301ASC001"/>
        <s v="P102FRU001"/>
        <s v="P101FOR001"/>
        <s v="P101CUD100"/>
        <s v="P101CUD500"/>
        <s v="70.405"/>
        <s v="P201UTP004"/>
        <s v="P201UTP002"/>
        <s v="P204FER250"/>
        <s v="P204FER100"/>
        <s v="P204FER200"/>
        <s v="P203TFO001"/>
        <s v="P202ASP400"/>
        <s v="P201UTP003"/>
        <s v="C206UTI002"/>
        <s v="C102COC101"/>
        <s v="BP.803"/>
        <s v="P102ROB001"/>
        <s v="P101FRI001"/>
        <s v="P202VAL001"/>
        <s v="P202VAL002"/>
        <s v="P202VAL100"/>
        <s v="P101TEM001"/>
        <s v="P302MAS001"/>
        <s v="P302VIS001"/>
        <s v="P102CON001"/>
        <s v="P102FRU100"/>
        <s v="P102SBA006"/>
        <s v="C107UTT001"/>
        <s v="P303BIP001"/>
        <s v="P102GEL001"/>
        <s v="P303MED001"/>
        <s v="P101PIA002"/>
        <s v="P204CAL001"/>
        <s v="P206ZAN001"/>
        <s v="P206VEN150"/>
        <s v="P302VIS002"/>
        <s v="P202ASP001"/>
        <s v="P101FRI050"/>
        <s v="P303BIP050"/>
        <s v="P304CAP001"/>
        <s v="P206ZAN300"/>
        <s v="P206ZAN110"/>
        <s v="P206VEN440"/>
        <s v="P206ZAN200"/>
        <s v="P205DIF001"/>
        <s v="P204FER002"/>
        <s v="P102ACP001"/>
        <s v="P102ACP010"/>
        <s v="C107UTT002"/>
        <s v="C301ABE101"/>
        <s v="P101BOL100"/>
        <s v="P303MED050"/>
        <s v="P102ROB050"/>
        <s v="P201UTP011"/>
        <s v="P202VAL110"/>
        <s v="P205DIF100"/>
        <s v="P102FRU500"/>
        <s v="P101FRI100"/>
        <s v="P102ROB200"/>
        <s v="RCO4091819"/>
        <s v="P101CUD050"/>
        <s v="P102FRU003"/>
        <s v="P102FRU200"/>
        <s v="P102FRU150"/>
        <s v="P101CUD501"/>
        <s v="P101TOS501"/>
        <s v="P301PIS001"/>
        <s v="P204FER003"/>
        <s v="P102SBA500"/>
        <s v="P203TER001"/>
        <s v="P203TER100"/>
        <s v="P301PIS100"/>
        <s v="P203TFO100"/>
        <s v="P102SBA007"/>
        <s v="P101TOS502"/>
        <s v="P101TOS002"/>
        <s v="AC.116"/>
        <s v="P204FER004"/>
        <s v="P206VEN350"/>
        <s v="C301ACC001"/>
        <s v="P101CUD300"/>
        <s v="P302MAS100"/>
        <s v="P201UTP100"/>
        <s v="P201UTP020"/>
        <s v="P102GEL100"/>
        <s v="P102EST100"/>
        <s v="C106CAS001"/>
        <s v="P101CUD051"/>
        <s v="P102FRU300"/>
        <s v="P102ACP100"/>
        <s v="P201UTP201"/>
        <s v="P201UTP200"/>
        <s v="P205DIF050"/>
        <s v="P102SBA008"/>
        <s v="P302VIS050"/>
        <s v="P101CUD200"/>
        <s v="PE.387"/>
        <s v="P101COS001"/>
        <s v="P203PAN002"/>
        <s v="C106CAS002"/>
        <s v="P202ASP200"/>
        <s v="P101CUD052"/>
        <s v="P203TER201"/>
        <s v="P101CUD250"/>
        <s v="P101FRI080"/>
        <s v="C206UTI004"/>
        <s v="C102SPE001"/>
        <s v="C301ABE200"/>
        <s v="C206UTI005"/>
        <s v="P302VIS060"/>
        <s v="P101CUD600"/>
        <s v="C103ACC001"/>
        <s v="P206VEN550"/>
        <s v="P206VEN600"/>
        <s v="P206ZAN250"/>
        <s v="P206VEN151"/>
        <s v="P206VEN152"/>
        <s v="P201UTP101"/>
        <s v="P201UTP102"/>
        <s v="P201UTP103"/>
        <s v="P206VEN450"/>
        <s v="P206VEN430"/>
        <s v="P207OUT002"/>
        <s v="P101FRI090"/>
        <s v="P101TOS100"/>
        <s v="C301ABE002"/>
        <s v="C206UTI006"/>
        <s v="C203PUL004"/>
        <s v="P203PAN010"/>
        <s v="P203PAN001"/>
        <s v="P203TER010"/>
        <s v="P202ASP250"/>
        <s v="P201UTP112"/>
        <s v="P201UTP111"/>
        <s v="P201UTP113"/>
        <s v="P101FRI051"/>
        <s v="P101CAF001"/>
        <s v="P101PIA003"/>
        <s v="40.993"/>
        <s v="90.502"/>
        <s v="RI.501SL"/>
        <s v="40.967N"/>
        <s v="40.11"/>
        <s v="40.994"/>
        <s v="40.947"/>
        <s v="40.978"/>
        <s v="90.605"/>
        <s v="40.969"/>
        <s v="40.996"/>
        <s v="90.520"/>
        <s v="40.761"/>
        <s v="90.514"/>
        <s v="40.531"/>
        <s v="MD.002"/>
        <s v="MD.213"/>
        <s v="PO.002"/>
        <s v="90.836"/>
        <s v="PE.361"/>
        <s v="40.926"/>
        <s v="PE.376"/>
        <s v="PE.377"/>
        <s v="90.130F2"/>
        <s v="90.436H"/>
        <s v="50.920V"/>
        <s v="90.350V"/>
        <s v="BT.001R"/>
        <s v="40.957N"/>
        <s v="90.886"/>
        <s v="BP.600"/>
        <s v="BB.001"/>
        <s v="40.915"/>
        <s v="BF.550"/>
        <s v="VE.402"/>
        <s v="BC.130"/>
        <s v="50.940GO"/>
        <s v="ri.093"/>
        <s v="RI.552"/>
        <s v="50600"/>
        <s v="BT.300"/>
        <s v="BP.500"/>
        <s v="BT.604"/>
        <s v="BT.450"/>
        <s v="BB.105"/>
        <s v="40.453"/>
        <s v="MD.127"/>
        <s v="BB.002"/>
        <s v="BP.630"/>
        <s v="CA.013"/>
        <s v="BC.300"/>
        <s v="40.918"/>
        <s v="40.919"/>
        <s v="BC.200"/>
        <s v="1"/>
        <s v="RI.064"/>
        <s v="BI.507"/>
        <s v="BT.800"/>
        <s v="RI.424"/>
        <s v="BC.125"/>
        <s v="BC.210"/>
        <s v="P206ZAN020"/>
        <s v="P206VEN230"/>
        <s v="P101TOS001"/>
        <s v="XUADA010"/>
        <s v="P204FER001"/>
        <s v="RCORI552"/>
        <s v="C206UTI001"/>
        <s v="P204CAL201"/>
        <s v="P101TOS500"/>
        <s v="P201UTP010"/>
        <s v="P302MAS050"/>
        <s v="P203TER200"/>
        <s v="P101FRI012"/>
        <s v="CP.007"/>
        <s v="P302VIS003"/>
        <s v="PET005"/>
        <m/>
        <s v="40.958V"/>
        <s v="40.760"/>
        <s v="PE.140"/>
        <s v="PE.400"/>
        <s v="40.981N"/>
        <s v="40.400"/>
        <s v="S304"/>
        <s v="90.200"/>
        <s v="BB.102"/>
        <s v="P206VEN300"/>
        <s v="P202VAL200"/>
        <s v="P206VEN161"/>
        <s v="P206VEN131"/>
        <s v="P206VEN650"/>
        <s v="P102CON550"/>
        <s v="P202ASP300"/>
        <s v="40.992"/>
        <s v="90.890R"/>
        <s v="PE.005"/>
        <s v="40.925"/>
        <s v="BT.001N"/>
        <s v="BB.104"/>
        <s v="ri.423"/>
        <s v="BP.602"/>
        <s v="50101"/>
        <s v="P102EST010"/>
        <s v="P203TFO110"/>
        <s v="90.396Y"/>
        <s v="40.913"/>
        <s v="BT.750Y"/>
        <s v="BT.050"/>
      </sharedItems>
    </cacheField>
    <cacheField name="Ordini Vendor 24" numFmtId="0">
      <sharedItems containsString="0" containsBlank="1" containsNumber="1" containsInteger="1" minValue="-15" maxValue="638"/>
    </cacheField>
    <cacheField name="Valori ordini Vendor 24" numFmtId="0">
      <sharedItems containsString="0" containsBlank="1" containsNumber="1" minValue="-377.07" maxValue="9465.85"/>
    </cacheField>
    <cacheField name="Ordini Seller 24" numFmtId="0">
      <sharedItems containsString="0" containsBlank="1" containsNumber="1" containsInteger="1" minValue="0" maxValue="1084"/>
    </cacheField>
    <cacheField name="Valori ordini Seller 24" numFmtId="0">
      <sharedItems containsString="0" containsBlank="1" containsNumber="1" minValue="0" maxValue="21587.91000000016"/>
    </cacheField>
    <cacheField name="% seller / totale" numFmtId="0">
      <sharedItems containsString="0" containsBlank="1" containsNumber="1" minValue="0" maxValue="1.0652136412387214"/>
    </cacheField>
    <cacheField name="Ordini Complessivi 24" numFmtId="0">
      <sharedItems containsString="0" containsBlank="1" containsNumber="1" containsInteger="1" minValue="-6" maxValue="1086"/>
    </cacheField>
    <cacheField name="Valori ordini Complessivi 24" numFmtId="0">
      <sharedItems containsString="0" containsBlank="1" containsNumber="1" minValue="-377.07" maxValue="21620.530000000159"/>
    </cacheField>
    <cacheField name="Ordini Vendor 23" numFmtId="0">
      <sharedItems containsString="0" containsBlank="1" containsNumber="1" containsInteger="1" minValue="-3" maxValue="2989"/>
    </cacheField>
    <cacheField name="Valori ordini Vendor 23" numFmtId="0">
      <sharedItems containsString="0" containsBlank="1" containsNumber="1" minValue="-129.22" maxValue="36493.17"/>
    </cacheField>
    <cacheField name="Differenza Ordini" numFmtId="0">
      <sharedItems containsBlank="1" containsMixedTypes="1" containsNumber="1" containsInteger="1" minValue="-2882" maxValue="580" count="258">
        <n v="475"/>
        <n v="0"/>
        <n v="5"/>
        <n v="-1"/>
        <n v="-73"/>
        <n v="-9"/>
        <n v="-14"/>
        <n v="17"/>
        <n v="-339"/>
        <n v="-5"/>
        <n v="1"/>
        <n v="2"/>
        <n v="-80"/>
        <n v="-1472"/>
        <n v="6"/>
        <n v="-2"/>
        <n v="-11"/>
        <n v="-2374"/>
        <n v="-7"/>
        <n v="-279"/>
        <n v="-23"/>
        <n v="-258"/>
        <n v="-6"/>
        <n v="-537"/>
        <n v="18"/>
        <n v="-54"/>
        <n v="-24"/>
        <n v="82"/>
        <n v="3"/>
        <n v="-379"/>
        <n v="-188"/>
        <n v="160"/>
        <n v="-141"/>
        <n v="-398"/>
        <n v="-17"/>
        <n v="20"/>
        <n v="-64"/>
        <n v="-12"/>
        <n v="-22"/>
        <n v="-148"/>
        <n v="229"/>
        <n v="-118"/>
        <n v="19"/>
        <n v="-304"/>
        <n v="-3"/>
        <n v="56"/>
        <n v="-10"/>
        <n v="-794"/>
        <n v="-36"/>
        <n v="-38"/>
        <n v="4"/>
        <n v="26"/>
        <n v="-21"/>
        <n v="-2882"/>
        <n v="29"/>
        <n v="-852"/>
        <n v="-217"/>
        <n v="34"/>
        <n v="10"/>
        <n v="7"/>
        <n v="-48"/>
        <n v="-199"/>
        <n v="-817"/>
        <n v="-168"/>
        <n v="-186"/>
        <n v="12"/>
        <n v="21"/>
        <n v="-25"/>
        <n v="-8"/>
        <n v="-15"/>
        <n v="-4"/>
        <n v="-109"/>
        <n v="-93"/>
        <n v="-810"/>
        <n v="-68"/>
        <n v="-18"/>
        <n v="-360"/>
        <n v="-160"/>
        <n v="-126"/>
        <n v="23"/>
        <n v="-97"/>
        <n v="-1292"/>
        <n v="-44"/>
        <n v="-40"/>
        <n v="-28"/>
        <n v="-144"/>
        <n v="-106"/>
        <n v="-465"/>
        <n v="-121"/>
        <n v="-49"/>
        <n v="-347"/>
        <n v="-19"/>
        <n v="-84"/>
        <n v="-33"/>
        <n v="-55"/>
        <n v="-115"/>
        <n v="-1362"/>
        <n v="-26"/>
        <n v="-53"/>
        <n v="-711"/>
        <n v="44"/>
        <n v="-136"/>
        <n v="-364"/>
        <n v="-59"/>
        <n v="-2410"/>
        <n v="99"/>
        <n v="168"/>
        <n v="11"/>
        <n v="24"/>
        <n v="199"/>
        <n v="51"/>
        <n v="85"/>
        <n v="95"/>
        <n v="324"/>
        <n v="137"/>
        <n v="40"/>
        <n v="8"/>
        <e v="#REF!"/>
        <n v="-138"/>
        <n v="-16"/>
        <m/>
        <n v="288"/>
        <n v="-142"/>
        <n v="-56"/>
        <n v="222"/>
        <n v="-419"/>
        <n v="-79"/>
        <n v="-42"/>
        <n v="-1136"/>
        <n v="-207"/>
        <n v="32"/>
        <n v="31"/>
        <n v="-31"/>
        <n v="220"/>
        <n v="25"/>
        <n v="-129"/>
        <n v="103"/>
        <n v="-92"/>
        <n v="-324"/>
        <n v="45"/>
        <n v="-87"/>
        <n v="126"/>
        <n v="-46"/>
        <n v="580"/>
        <n v="-261"/>
        <n v="76"/>
        <n v="-655"/>
        <n v="-147"/>
        <n v="28"/>
        <n v="-65"/>
        <n v="-1425"/>
        <n v="79"/>
        <n v="-595"/>
        <n v="-89"/>
        <n v="-52"/>
        <n v="-120"/>
        <n v="-317"/>
        <n v="-37"/>
        <n v="-842"/>
        <n v="-131"/>
        <n v="-47"/>
        <n v="-482"/>
        <n v="-86"/>
        <n v="-70"/>
        <n v="-98"/>
        <n v="-685"/>
        <n v="-351"/>
        <n v="-653"/>
        <n v="-101"/>
        <n v="-111"/>
        <n v="-515"/>
        <n v="-27"/>
        <n v="-146"/>
        <n v="-62"/>
        <n v="-349"/>
        <n v="-67"/>
        <n v="-212"/>
        <n v="36"/>
        <n v="-171"/>
        <n v="-30"/>
        <n v="-958"/>
        <n v="-60"/>
        <n v="50"/>
        <n v="74"/>
        <n v="-85"/>
        <n v="193"/>
        <n v="15"/>
        <n v="119"/>
        <n v="188"/>
        <n v="41"/>
        <n v="203"/>
        <n v="277"/>
        <n v="253"/>
        <n v="354"/>
        <n v="53"/>
        <n v="48"/>
        <n v="382"/>
        <n v="-34"/>
        <n v="-41"/>
        <n v="-39"/>
        <n v="192"/>
        <n v="278"/>
        <n v="-444"/>
        <n v="-177"/>
        <n v="-751"/>
        <n v="-104"/>
        <n v="16"/>
        <n v="65"/>
        <n v="-263"/>
        <n v="-13"/>
        <n v="-100"/>
        <n v="-195"/>
        <n v="-608"/>
        <n v="-20"/>
        <n v="-1589"/>
        <n v="60"/>
        <n v="-74"/>
        <n v="-166"/>
        <n v="-652"/>
        <n v="-94"/>
        <n v="-214"/>
        <n v="-270"/>
        <n v="-545"/>
        <n v="-95"/>
        <n v="-43"/>
        <n v="-346"/>
        <n v="-679"/>
        <n v="-635"/>
        <n v="-82"/>
        <n v="-45"/>
        <n v="-455"/>
        <n v="-420"/>
        <n v="-58"/>
        <n v="-394"/>
        <n v="13"/>
        <n v="-110"/>
        <n v="-185"/>
        <n v="-71"/>
        <n v="-358"/>
        <n v="-881"/>
        <n v="-712"/>
        <n v="-167"/>
        <n v="558"/>
        <n v="-426"/>
        <n v="9"/>
        <n v="132"/>
        <n v="100"/>
        <n v="380"/>
        <n v="244"/>
        <n v="499"/>
        <n v="-140"/>
        <n v="87"/>
        <n v="-251"/>
        <n v="-211"/>
        <n v="-50"/>
        <n v="37"/>
        <n v="86"/>
        <n v="-105"/>
      </sharedItems>
    </cacheField>
    <cacheField name="Differenza Valore" numFmtId="0">
      <sharedItems containsString="0" containsBlank="1" containsNumber="1" minValue="-35147.42" maxValue="17328.229999999905"/>
    </cacheField>
    <cacheField name="Differenza Valore %" numFmtId="0">
      <sharedItems containsString="0" containsBlank="1" containsNumber="1" minValue="-103.66278356836297" maxValue="57.32802359882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6">
  <r>
    <x v="0"/>
    <x v="0"/>
    <m/>
    <m/>
    <m/>
    <m/>
    <m/>
    <m/>
    <m/>
    <m/>
  </r>
  <r>
    <x v="1"/>
    <x v="1"/>
    <n v="1183"/>
    <n v="16822.21"/>
    <n v="3"/>
    <n v="60.699999999999996"/>
    <n v="1186"/>
    <n v="16882.91"/>
    <n v="14"/>
    <n v="182.42"/>
  </r>
  <r>
    <x v="2"/>
    <x v="2"/>
    <n v="1"/>
    <n v="5.03"/>
    <n v="0"/>
    <n v="0"/>
    <n v="1"/>
    <n v="5.03"/>
    <n v="0"/>
    <n v="0"/>
  </r>
  <r>
    <x v="3"/>
    <x v="3"/>
    <n v="10"/>
    <n v="127.35"/>
    <n v="0"/>
    <n v="0"/>
    <n v="10"/>
    <n v="127.35"/>
    <n v="1"/>
    <n v="20.59"/>
  </r>
  <r>
    <x v="4"/>
    <x v="4"/>
    <n v="0"/>
    <n v="0"/>
    <n v="0"/>
    <n v="0"/>
    <n v="0"/>
    <n v="0"/>
    <n v="8"/>
    <n v="121.8"/>
  </r>
  <r>
    <x v="5"/>
    <x v="5"/>
    <n v="1"/>
    <n v="15.18"/>
    <n v="0"/>
    <n v="0"/>
    <n v="1"/>
    <n v="15.18"/>
    <n v="2"/>
    <n v="34.18"/>
  </r>
  <r>
    <x v="6"/>
    <x v="6"/>
    <n v="48"/>
    <n v="271.81"/>
    <n v="0"/>
    <n v="0"/>
    <n v="48"/>
    <n v="271.81"/>
    <n v="119"/>
    <n v="828.55000000000007"/>
  </r>
  <r>
    <x v="7"/>
    <x v="7"/>
    <n v="0"/>
    <n v="0"/>
    <n v="0"/>
    <n v="0"/>
    <n v="0"/>
    <n v="0"/>
    <n v="0"/>
    <n v="0"/>
  </r>
  <r>
    <x v="8"/>
    <x v="8"/>
    <n v="0"/>
    <n v="0"/>
    <n v="0"/>
    <n v="0"/>
    <n v="0"/>
    <n v="0"/>
    <n v="1"/>
    <n v="119.51"/>
  </r>
  <r>
    <x v="9"/>
    <x v="9"/>
    <n v="0"/>
    <n v="0"/>
    <n v="27"/>
    <n v="822.29999999999961"/>
    <n v="27"/>
    <n v="822.29999999999961"/>
    <n v="302"/>
    <n v="6543.9599999999991"/>
  </r>
  <r>
    <x v="10"/>
    <x v="10"/>
    <n v="0"/>
    <n v="0"/>
    <n v="0"/>
    <n v="0"/>
    <n v="0"/>
    <n v="0"/>
    <n v="1"/>
    <n v="28.03"/>
  </r>
  <r>
    <x v="11"/>
    <x v="11"/>
    <n v="0"/>
    <n v="0"/>
    <n v="0"/>
    <n v="0"/>
    <n v="0"/>
    <n v="0"/>
    <n v="13"/>
    <n v="104.24"/>
  </r>
  <r>
    <x v="12"/>
    <x v="12"/>
    <n v="0"/>
    <n v="0"/>
    <n v="0"/>
    <n v="0"/>
    <n v="0"/>
    <n v="0"/>
    <n v="0"/>
    <n v="0"/>
  </r>
  <r>
    <x v="13"/>
    <x v="13"/>
    <n v="0"/>
    <n v="0"/>
    <n v="0"/>
    <n v="0"/>
    <n v="0"/>
    <n v="0"/>
    <n v="0"/>
    <n v="0"/>
  </r>
  <r>
    <x v="14"/>
    <x v="14"/>
    <n v="6"/>
    <n v="147.9"/>
    <n v="0"/>
    <n v="0"/>
    <n v="6"/>
    <n v="147.9"/>
    <n v="20"/>
    <n v="325.83999999999997"/>
  </r>
  <r>
    <x v="15"/>
    <x v="15"/>
    <n v="275"/>
    <n v="5023.29"/>
    <n v="0"/>
    <n v="0"/>
    <n v="275"/>
    <n v="5023.29"/>
    <n v="573"/>
    <n v="9291.39"/>
  </r>
  <r>
    <x v="16"/>
    <x v="16"/>
    <n v="1"/>
    <n v="20.41"/>
    <n v="48"/>
    <n v="1440.2000000000007"/>
    <n v="49"/>
    <n v="1460.6100000000008"/>
    <n v="400"/>
    <n v="8213.58"/>
  </r>
  <r>
    <x v="17"/>
    <x v="17"/>
    <n v="2"/>
    <n v="98.08"/>
    <n v="0"/>
    <n v="0"/>
    <n v="2"/>
    <n v="98.08"/>
    <n v="8"/>
    <n v="425.01"/>
  </r>
  <r>
    <x v="18"/>
    <x v="18"/>
    <n v="0"/>
    <n v="0"/>
    <n v="0"/>
    <n v="0"/>
    <n v="0"/>
    <n v="0"/>
    <n v="7"/>
    <n v="71.13"/>
  </r>
  <r>
    <x v="19"/>
    <x v="19"/>
    <n v="0"/>
    <n v="0"/>
    <n v="0"/>
    <n v="0"/>
    <n v="0"/>
    <n v="0"/>
    <n v="0"/>
    <n v="0"/>
  </r>
  <r>
    <x v="20"/>
    <x v="20"/>
    <n v="0"/>
    <n v="0"/>
    <n v="0"/>
    <n v="0"/>
    <n v="0"/>
    <n v="0"/>
    <n v="2"/>
    <n v="55.14"/>
  </r>
  <r>
    <x v="21"/>
    <x v="21"/>
    <n v="0"/>
    <n v="0"/>
    <n v="0"/>
    <n v="0"/>
    <n v="0"/>
    <n v="0"/>
    <n v="4"/>
    <n v="27.55"/>
  </r>
  <r>
    <x v="22"/>
    <x v="22"/>
    <n v="1"/>
    <n v="7.43"/>
    <n v="0"/>
    <n v="0"/>
    <n v="1"/>
    <n v="7.43"/>
    <n v="0"/>
    <n v="0"/>
  </r>
  <r>
    <x v="23"/>
    <x v="23"/>
    <n v="0"/>
    <n v="0"/>
    <n v="0"/>
    <n v="0"/>
    <n v="0"/>
    <n v="0"/>
    <n v="-1"/>
    <n v="-16.97"/>
  </r>
  <r>
    <x v="24"/>
    <x v="24"/>
    <n v="2"/>
    <n v="12.96"/>
    <n v="0"/>
    <n v="0"/>
    <n v="2"/>
    <n v="12.96"/>
    <n v="0"/>
    <n v="0"/>
  </r>
  <r>
    <x v="25"/>
    <x v="25"/>
    <n v="19"/>
    <n v="686.19"/>
    <n v="0"/>
    <n v="0"/>
    <n v="19"/>
    <n v="686.19"/>
    <n v="99"/>
    <n v="2832.39"/>
  </r>
  <r>
    <x v="26"/>
    <x v="26"/>
    <n v="0"/>
    <n v="0"/>
    <n v="0"/>
    <n v="0"/>
    <n v="0"/>
    <n v="0"/>
    <n v="1"/>
    <n v="31.23"/>
  </r>
  <r>
    <x v="27"/>
    <x v="27"/>
    <n v="0"/>
    <n v="0"/>
    <n v="0"/>
    <n v="0"/>
    <n v="0"/>
    <n v="0"/>
    <n v="1"/>
    <n v="11.82"/>
  </r>
  <r>
    <x v="28"/>
    <x v="28"/>
    <n v="15"/>
    <n v="209.45"/>
    <n v="0"/>
    <n v="0"/>
    <n v="15"/>
    <n v="209.45"/>
    <n v="1584"/>
    <n v="20644.509999999998"/>
  </r>
  <r>
    <x v="29"/>
    <x v="29"/>
    <n v="0"/>
    <n v="0"/>
    <n v="0"/>
    <n v="0"/>
    <n v="0"/>
    <n v="0"/>
    <n v="1"/>
    <n v="27.93"/>
  </r>
  <r>
    <x v="30"/>
    <x v="30"/>
    <n v="1"/>
    <n v="15.05"/>
    <n v="0"/>
    <n v="0"/>
    <n v="1"/>
    <n v="15.05"/>
    <n v="0"/>
    <n v="0"/>
  </r>
  <r>
    <x v="31"/>
    <x v="31"/>
    <n v="1"/>
    <n v="18.03"/>
    <n v="0"/>
    <n v="0"/>
    <n v="1"/>
    <n v="18.03"/>
    <n v="0"/>
    <n v="0"/>
  </r>
  <r>
    <x v="32"/>
    <x v="32"/>
    <n v="3"/>
    <n v="17.190000000000001"/>
    <n v="0"/>
    <n v="0"/>
    <n v="3"/>
    <n v="17.190000000000001"/>
    <n v="0"/>
    <n v="0"/>
  </r>
  <r>
    <x v="33"/>
    <x v="33"/>
    <n v="9"/>
    <n v="199.98"/>
    <n v="0"/>
    <n v="0"/>
    <n v="9"/>
    <n v="199.98"/>
    <n v="75"/>
    <n v="1575.73"/>
  </r>
  <r>
    <x v="34"/>
    <x v="34"/>
    <n v="1"/>
    <n v="22.97"/>
    <n v="6"/>
    <n v="281.39999999999998"/>
    <n v="7"/>
    <n v="304.37"/>
    <n v="8"/>
    <n v="319.21999999999997"/>
  </r>
  <r>
    <x v="35"/>
    <x v="35"/>
    <n v="12"/>
    <n v="1075.69"/>
    <n v="0"/>
    <n v="0"/>
    <n v="12"/>
    <n v="1075.69"/>
    <n v="13"/>
    <n v="973.92"/>
  </r>
  <r>
    <x v="36"/>
    <x v="36"/>
    <n v="0"/>
    <n v="0"/>
    <n v="0"/>
    <n v="0"/>
    <n v="0"/>
    <n v="0"/>
    <n v="0"/>
    <n v="0"/>
  </r>
  <r>
    <x v="37"/>
    <x v="37"/>
    <n v="3"/>
    <n v="10.49"/>
    <n v="0"/>
    <n v="0"/>
    <n v="3"/>
    <n v="10.49"/>
    <n v="13"/>
    <n v="44.07"/>
  </r>
  <r>
    <x v="38"/>
    <x v="38"/>
    <n v="0"/>
    <n v="0"/>
    <n v="0"/>
    <n v="0"/>
    <n v="0"/>
    <n v="0"/>
    <n v="1"/>
    <n v="5.54"/>
  </r>
  <r>
    <x v="39"/>
    <x v="39"/>
    <n v="23"/>
    <n v="410.8"/>
    <n v="534"/>
    <n v="10674.529999999895"/>
    <n v="557"/>
    <n v="11085.329999999894"/>
    <n v="3002"/>
    <n v="35627.11"/>
  </r>
  <r>
    <x v="40"/>
    <x v="40"/>
    <n v="14"/>
    <n v="58.41"/>
    <n v="0"/>
    <n v="0"/>
    <n v="14"/>
    <n v="58.41"/>
    <n v="9"/>
    <n v="37.22"/>
  </r>
  <r>
    <x v="41"/>
    <x v="41"/>
    <n v="0"/>
    <n v="0"/>
    <n v="0"/>
    <n v="0"/>
    <n v="0"/>
    <n v="0"/>
    <n v="43"/>
    <n v="284.53999999999996"/>
  </r>
  <r>
    <x v="42"/>
    <x v="42"/>
    <n v="6"/>
    <n v="36.93"/>
    <n v="0"/>
    <n v="0"/>
    <n v="6"/>
    <n v="36.93"/>
    <n v="9"/>
    <n v="54.099999999999994"/>
  </r>
  <r>
    <x v="43"/>
    <x v="43"/>
    <n v="0"/>
    <n v="0"/>
    <n v="0"/>
    <n v="0"/>
    <n v="0"/>
    <n v="0"/>
    <n v="1"/>
    <n v="24.92"/>
  </r>
  <r>
    <x v="44"/>
    <x v="44"/>
    <n v="9"/>
    <n v="267.95999999999998"/>
    <n v="394"/>
    <n v="14503.529999999904"/>
    <n v="403"/>
    <n v="14771.489999999903"/>
    <n v="1143"/>
    <n v="33655.870000000003"/>
  </r>
  <r>
    <x v="45"/>
    <x v="45"/>
    <n v="66"/>
    <n v="1357.8700000000001"/>
    <n v="0"/>
    <n v="0"/>
    <n v="66"/>
    <n v="1357.8700000000001"/>
    <n v="72"/>
    <n v="1646.1000000000001"/>
  </r>
  <r>
    <x v="46"/>
    <x v="46"/>
    <n v="0"/>
    <n v="0"/>
    <n v="0"/>
    <n v="0"/>
    <n v="0"/>
    <n v="0"/>
    <n v="10"/>
    <n v="315.68"/>
  </r>
  <r>
    <x v="47"/>
    <x v="47"/>
    <n v="0"/>
    <n v="0"/>
    <n v="0"/>
    <n v="0"/>
    <n v="0"/>
    <n v="0"/>
    <n v="-2"/>
    <n v="-16.5"/>
  </r>
  <r>
    <x v="48"/>
    <x v="48"/>
    <n v="0"/>
    <n v="0"/>
    <n v="8"/>
    <n v="432.79999999999995"/>
    <n v="8"/>
    <n v="432.79999999999995"/>
    <n v="266"/>
    <n v="7610.26"/>
  </r>
  <r>
    <x v="49"/>
    <x v="49"/>
    <n v="11"/>
    <n v="45.739999999999995"/>
    <n v="0"/>
    <n v="0"/>
    <n v="11"/>
    <n v="45.739999999999995"/>
    <n v="0"/>
    <n v="0"/>
  </r>
  <r>
    <x v="50"/>
    <x v="50"/>
    <n v="0"/>
    <n v="0"/>
    <n v="0"/>
    <n v="0"/>
    <n v="0"/>
    <n v="0"/>
    <n v="8"/>
    <n v="137.27000000000001"/>
  </r>
  <r>
    <x v="51"/>
    <x v="51"/>
    <n v="0"/>
    <n v="0"/>
    <n v="0"/>
    <n v="0"/>
    <n v="0"/>
    <n v="0"/>
    <n v="38"/>
    <n v="329.21000000000004"/>
  </r>
  <r>
    <x v="52"/>
    <x v="52"/>
    <n v="0"/>
    <n v="0"/>
    <n v="0"/>
    <n v="0"/>
    <n v="0"/>
    <n v="0"/>
    <n v="46"/>
    <n v="405.53999999999996"/>
  </r>
  <r>
    <x v="53"/>
    <x v="53"/>
    <n v="0"/>
    <n v="0"/>
    <n v="0"/>
    <n v="0"/>
    <n v="0"/>
    <n v="0"/>
    <n v="1"/>
    <n v="13.06"/>
  </r>
  <r>
    <x v="54"/>
    <x v="54"/>
    <n v="0"/>
    <n v="0"/>
    <n v="0"/>
    <n v="0"/>
    <n v="0"/>
    <n v="0"/>
    <n v="0"/>
    <n v="0"/>
  </r>
  <r>
    <x v="55"/>
    <x v="55"/>
    <n v="2"/>
    <n v="27.28"/>
    <n v="0"/>
    <n v="0"/>
    <n v="2"/>
    <n v="27.28"/>
    <n v="8"/>
    <n v="100.16"/>
  </r>
  <r>
    <x v="56"/>
    <x v="56"/>
    <n v="4"/>
    <n v="51.29"/>
    <n v="0"/>
    <n v="0"/>
    <n v="4"/>
    <n v="51.29"/>
    <n v="6"/>
    <n v="98.39"/>
  </r>
  <r>
    <x v="57"/>
    <x v="57"/>
    <n v="36"/>
    <n v="3.64"/>
    <n v="0"/>
    <n v="0"/>
    <n v="36"/>
    <n v="3.64"/>
    <n v="17"/>
    <n v="72.960000000000008"/>
  </r>
  <r>
    <x v="58"/>
    <x v="58"/>
    <n v="0"/>
    <n v="0"/>
    <n v="0"/>
    <n v="0"/>
    <n v="0"/>
    <n v="0"/>
    <n v="0"/>
    <n v="0"/>
  </r>
  <r>
    <x v="59"/>
    <x v="59"/>
    <n v="0"/>
    <n v="0"/>
    <n v="0"/>
    <n v="0"/>
    <n v="0"/>
    <n v="0"/>
    <n v="0"/>
    <n v="0"/>
  </r>
  <r>
    <x v="60"/>
    <x v="60"/>
    <n v="0"/>
    <n v="0"/>
    <n v="0"/>
    <n v="0"/>
    <n v="0"/>
    <n v="0"/>
    <n v="-1"/>
    <n v="-11.39"/>
  </r>
  <r>
    <x v="61"/>
    <x v="61"/>
    <n v="0"/>
    <n v="0"/>
    <n v="0"/>
    <n v="0"/>
    <n v="0"/>
    <n v="0"/>
    <n v="0"/>
    <n v="0"/>
  </r>
  <r>
    <x v="62"/>
    <x v="62"/>
    <n v="49"/>
    <n v="1395.95"/>
    <n v="1"/>
    <n v="0"/>
    <n v="50"/>
    <n v="1395.95"/>
    <n v="633"/>
    <n v="15925.61"/>
  </r>
  <r>
    <x v="63"/>
    <x v="63"/>
    <n v="1"/>
    <n v="31.06"/>
    <n v="18"/>
    <n v="898.1999999999997"/>
    <n v="19"/>
    <n v="929.25999999999965"/>
    <n v="17"/>
    <n v="651.91000000000008"/>
  </r>
  <r>
    <x v="64"/>
    <x v="64"/>
    <n v="15"/>
    <n v="942.38"/>
    <n v="0"/>
    <n v="0"/>
    <n v="15"/>
    <n v="942.38"/>
    <n v="68"/>
    <n v="3790.13"/>
  </r>
  <r>
    <x v="65"/>
    <x v="65"/>
    <n v="1"/>
    <n v="66.58"/>
    <n v="0"/>
    <n v="0"/>
    <n v="1"/>
    <n v="66.58"/>
    <n v="0"/>
    <n v="0"/>
  </r>
  <r>
    <x v="66"/>
    <x v="66"/>
    <n v="0"/>
    <n v="0"/>
    <n v="0"/>
    <n v="0"/>
    <n v="0"/>
    <n v="0"/>
    <n v="0"/>
    <n v="0"/>
  </r>
  <r>
    <x v="67"/>
    <x v="67"/>
    <n v="0"/>
    <n v="0"/>
    <n v="0"/>
    <n v="0"/>
    <n v="0"/>
    <n v="0"/>
    <n v="0"/>
    <n v="0"/>
  </r>
  <r>
    <x v="68"/>
    <x v="68"/>
    <n v="0"/>
    <n v="0"/>
    <n v="0"/>
    <n v="0"/>
    <n v="0"/>
    <n v="0"/>
    <n v="2"/>
    <n v="23.6"/>
  </r>
  <r>
    <x v="69"/>
    <x v="69"/>
    <n v="0"/>
    <n v="0"/>
    <n v="0"/>
    <n v="0"/>
    <n v="0"/>
    <n v="0"/>
    <n v="3"/>
    <n v="325.48"/>
  </r>
  <r>
    <x v="70"/>
    <x v="70"/>
    <n v="25"/>
    <n v="1858.24"/>
    <n v="0"/>
    <n v="0"/>
    <n v="25"/>
    <n v="1858.24"/>
    <n v="43"/>
    <n v="3112.52"/>
  </r>
  <r>
    <x v="71"/>
    <x v="71"/>
    <n v="1"/>
    <n v="26.97"/>
    <n v="388"/>
    <n v="12795.269999999911"/>
    <n v="389"/>
    <n v="12822.239999999911"/>
    <n v="803"/>
    <n v="20999.620000000003"/>
  </r>
  <r>
    <x v="72"/>
    <x v="72"/>
    <n v="3"/>
    <n v="101.14"/>
    <n v="0"/>
    <n v="0"/>
    <n v="3"/>
    <n v="101.14"/>
    <n v="4"/>
    <n v="139.68"/>
  </r>
  <r>
    <x v="73"/>
    <x v="73"/>
    <n v="2"/>
    <n v="40.82"/>
    <n v="0"/>
    <n v="0"/>
    <n v="2"/>
    <n v="40.82"/>
    <n v="-1"/>
    <n v="-14.75"/>
  </r>
  <r>
    <x v="74"/>
    <x v="74"/>
    <n v="5"/>
    <n v="129.21"/>
    <n v="0"/>
    <n v="0"/>
    <n v="5"/>
    <n v="129.21"/>
    <n v="19"/>
    <n v="465.69"/>
  </r>
  <r>
    <x v="75"/>
    <x v="75"/>
    <n v="0"/>
    <n v="0"/>
    <n v="0"/>
    <n v="0"/>
    <n v="0"/>
    <n v="0"/>
    <n v="2"/>
    <n v="49.02"/>
  </r>
  <r>
    <x v="76"/>
    <x v="76"/>
    <n v="7"/>
    <n v="257.01"/>
    <n v="0"/>
    <n v="0"/>
    <n v="7"/>
    <n v="257.01"/>
    <n v="11"/>
    <n v="311.01"/>
  </r>
  <r>
    <x v="77"/>
    <x v="77"/>
    <n v="0"/>
    <n v="0"/>
    <n v="0"/>
    <n v="0"/>
    <n v="0"/>
    <n v="0"/>
    <n v="1"/>
    <n v="21.51"/>
  </r>
  <r>
    <x v="78"/>
    <x v="78"/>
    <n v="4"/>
    <n v="156.28"/>
    <n v="1"/>
    <n v="36.99"/>
    <n v="5"/>
    <n v="193.27"/>
    <n v="43"/>
    <n v="1264.96"/>
  </r>
  <r>
    <x v="79"/>
    <x v="79"/>
    <n v="6"/>
    <n v="150.78"/>
    <n v="0"/>
    <n v="0"/>
    <n v="6"/>
    <n v="150.78"/>
    <n v="7"/>
    <n v="169.26"/>
  </r>
  <r>
    <x v="80"/>
    <x v="80"/>
    <n v="5"/>
    <n v="103.55"/>
    <n v="36"/>
    <n v="906.39999999999952"/>
    <n v="41"/>
    <n v="1009.9499999999995"/>
    <n v="573"/>
    <n v="11649.880000000001"/>
  </r>
  <r>
    <x v="81"/>
    <x v="81"/>
    <n v="19"/>
    <n v="922.48"/>
    <n v="0"/>
    <n v="0"/>
    <n v="19"/>
    <n v="922.48"/>
    <n v="23"/>
    <n v="1319.95"/>
  </r>
  <r>
    <x v="82"/>
    <x v="82"/>
    <n v="1"/>
    <n v="19.59"/>
    <n v="0"/>
    <n v="0"/>
    <n v="1"/>
    <n v="19.59"/>
    <n v="2"/>
    <n v="49.42"/>
  </r>
  <r>
    <x v="83"/>
    <x v="83"/>
    <n v="-1"/>
    <n v="-5.12"/>
    <n v="0"/>
    <n v="0"/>
    <n v="-1"/>
    <n v="-5.12"/>
    <n v="0"/>
    <n v="0"/>
  </r>
  <r>
    <x v="84"/>
    <x v="84"/>
    <n v="3"/>
    <n v="130.44"/>
    <n v="0"/>
    <n v="0"/>
    <n v="3"/>
    <n v="130.44"/>
    <n v="4"/>
    <n v="167.39"/>
  </r>
  <r>
    <x v="85"/>
    <x v="85"/>
    <n v="0"/>
    <n v="0"/>
    <n v="0"/>
    <n v="0"/>
    <n v="0"/>
    <n v="0"/>
    <n v="-1"/>
    <n v="-10.75"/>
  </r>
  <r>
    <x v="86"/>
    <x v="86"/>
    <n v="43"/>
    <n v="1896.1"/>
    <n v="0"/>
    <n v="0"/>
    <n v="43"/>
    <n v="1896.1"/>
    <n v="244"/>
    <n v="9958.3100000000013"/>
  </r>
  <r>
    <x v="87"/>
    <x v="87"/>
    <n v="170"/>
    <n v="2082.7000000000003"/>
    <n v="0"/>
    <n v="0"/>
    <n v="170"/>
    <n v="2082.7000000000003"/>
    <n v="4"/>
    <n v="67.509999999999991"/>
  </r>
  <r>
    <x v="88"/>
    <x v="88"/>
    <n v="0"/>
    <n v="0"/>
    <n v="0"/>
    <n v="0"/>
    <n v="0"/>
    <n v="0"/>
    <n v="14"/>
    <n v="71.680000000000007"/>
  </r>
  <r>
    <x v="89"/>
    <x v="89"/>
    <n v="52"/>
    <n v="763.70999999999992"/>
    <n v="0"/>
    <n v="0"/>
    <n v="52"/>
    <n v="763.70999999999992"/>
    <n v="212"/>
    <n v="3204.1000000000004"/>
  </r>
  <r>
    <x v="90"/>
    <x v="90"/>
    <n v="7"/>
    <n v="325.84000000000003"/>
    <n v="0"/>
    <n v="0"/>
    <n v="7"/>
    <n v="325.84000000000003"/>
    <n v="401"/>
    <n v="13128.1"/>
  </r>
  <r>
    <x v="91"/>
    <x v="91"/>
    <n v="0"/>
    <n v="0"/>
    <n v="0"/>
    <n v="0"/>
    <n v="0"/>
    <n v="0"/>
    <n v="1"/>
    <n v="64.61"/>
  </r>
  <r>
    <x v="92"/>
    <x v="92"/>
    <n v="1"/>
    <n v="117.41"/>
    <n v="0"/>
    <n v="0"/>
    <n v="1"/>
    <n v="117.41"/>
    <n v="0"/>
    <n v="0"/>
  </r>
  <r>
    <x v="93"/>
    <x v="93"/>
    <n v="46"/>
    <n v="2537.23"/>
    <n v="0"/>
    <n v="0"/>
    <n v="46"/>
    <n v="2537.23"/>
    <n v="30"/>
    <n v="1541.3400000000001"/>
  </r>
  <r>
    <x v="94"/>
    <x v="94"/>
    <n v="47"/>
    <n v="1409.6499999999999"/>
    <n v="13"/>
    <n v="626.89999999999986"/>
    <n v="60"/>
    <n v="2036.5499999999997"/>
    <n v="67"/>
    <n v="1995.43"/>
  </r>
  <r>
    <x v="95"/>
    <x v="95"/>
    <n v="32"/>
    <n v="372.1"/>
    <n v="0"/>
    <n v="0"/>
    <n v="32"/>
    <n v="372.1"/>
    <n v="32"/>
    <n v="241.24"/>
  </r>
  <r>
    <x v="96"/>
    <x v="96"/>
    <n v="0"/>
    <n v="0"/>
    <n v="0"/>
    <n v="0"/>
    <n v="0"/>
    <n v="0"/>
    <n v="0"/>
    <n v="0"/>
  </r>
  <r>
    <x v="97"/>
    <x v="97"/>
    <n v="0"/>
    <n v="0"/>
    <n v="0"/>
    <n v="0"/>
    <n v="0"/>
    <n v="0"/>
    <n v="0"/>
    <n v="0"/>
  </r>
  <r>
    <x v="98"/>
    <x v="98"/>
    <n v="0"/>
    <n v="0"/>
    <n v="0"/>
    <n v="0"/>
    <n v="0"/>
    <n v="0"/>
    <n v="2"/>
    <n v="143.11000000000001"/>
  </r>
  <r>
    <x v="99"/>
    <x v="99"/>
    <n v="9"/>
    <n v="206.62"/>
    <n v="0"/>
    <n v="0"/>
    <n v="9"/>
    <n v="206.62"/>
    <n v="0"/>
    <n v="0"/>
  </r>
  <r>
    <x v="100"/>
    <x v="100"/>
    <n v="3"/>
    <n v="14.35"/>
    <n v="0"/>
    <n v="0"/>
    <n v="3"/>
    <n v="14.35"/>
    <n v="0"/>
    <n v="0"/>
  </r>
  <r>
    <x v="101"/>
    <x v="101"/>
    <n v="1"/>
    <n v="29.03"/>
    <n v="0"/>
    <n v="0"/>
    <n v="1"/>
    <n v="29.03"/>
    <n v="0"/>
    <n v="0"/>
  </r>
  <r>
    <x v="102"/>
    <x v="102"/>
    <n v="1"/>
    <n v="55.62"/>
    <n v="0"/>
    <n v="0"/>
    <n v="1"/>
    <n v="55.62"/>
    <n v="0"/>
    <n v="0"/>
  </r>
  <r>
    <x v="103"/>
    <x v="103"/>
    <n v="1"/>
    <n v="41.58"/>
    <n v="0"/>
    <n v="0"/>
    <n v="1"/>
    <n v="41.58"/>
    <n v="15"/>
    <n v="623.70000000000005"/>
  </r>
  <r>
    <x v="104"/>
    <x v="104"/>
    <n v="0"/>
    <n v="0"/>
    <n v="0"/>
    <n v="0"/>
    <n v="0"/>
    <n v="0"/>
    <n v="0"/>
    <n v="0"/>
  </r>
  <r>
    <x v="105"/>
    <x v="105"/>
    <n v="0"/>
    <n v="0"/>
    <n v="0"/>
    <n v="0"/>
    <n v="0"/>
    <n v="0"/>
    <n v="2"/>
    <n v="49.02"/>
  </r>
  <r>
    <x v="106"/>
    <x v="106"/>
    <n v="10"/>
    <n v="253.92"/>
    <n v="17"/>
    <n v="542.9899999999999"/>
    <n v="27"/>
    <n v="796.90999999999985"/>
    <n v="100"/>
    <n v="2466.4"/>
  </r>
  <r>
    <x v="107"/>
    <x v="107"/>
    <n v="0"/>
    <n v="0"/>
    <n v="0"/>
    <n v="0"/>
    <n v="0"/>
    <n v="0"/>
    <n v="1"/>
    <n v="20.41"/>
  </r>
  <r>
    <x v="108"/>
    <x v="108"/>
    <n v="199"/>
    <n v="2973.83"/>
    <n v="0"/>
    <n v="0"/>
    <n v="199"/>
    <n v="2973.83"/>
    <n v="17"/>
    <n v="261.64999999999998"/>
  </r>
  <r>
    <x v="109"/>
    <x v="109"/>
    <n v="0"/>
    <n v="0"/>
    <n v="0"/>
    <n v="0"/>
    <n v="0"/>
    <n v="0"/>
    <n v="0"/>
    <n v="0"/>
  </r>
  <r>
    <x v="110"/>
    <x v="110"/>
    <n v="0"/>
    <n v="0"/>
    <n v="0"/>
    <n v="0"/>
    <n v="0"/>
    <n v="0"/>
    <n v="2"/>
    <n v="139.94999999999999"/>
  </r>
  <r>
    <x v="111"/>
    <x v="111"/>
    <n v="30"/>
    <n v="665.80000000000007"/>
    <n v="0"/>
    <n v="0"/>
    <n v="30"/>
    <n v="665.80000000000007"/>
    <n v="37"/>
    <n v="878.32"/>
  </r>
  <r>
    <x v="112"/>
    <x v="112"/>
    <n v="8"/>
    <n v="196.7"/>
    <n v="0"/>
    <n v="0"/>
    <n v="8"/>
    <n v="196.7"/>
    <n v="0"/>
    <n v="0"/>
  </r>
  <r>
    <x v="113"/>
    <x v="111"/>
    <n v="2"/>
    <n v="22.14"/>
    <n v="45"/>
    <n v="672.80999999999949"/>
    <n v="47"/>
    <n v="694.94999999999948"/>
    <n v="85"/>
    <n v="1021.69"/>
  </r>
  <r>
    <x v="114"/>
    <x v="113"/>
    <n v="4"/>
    <n v="64.509999999999991"/>
    <n v="0"/>
    <n v="0"/>
    <n v="4"/>
    <n v="64.509999999999991"/>
    <n v="0"/>
    <n v="0"/>
  </r>
  <r>
    <x v="115"/>
    <x v="114"/>
    <n v="1"/>
    <n v="91.6"/>
    <n v="0"/>
    <n v="0"/>
    <n v="1"/>
    <n v="91.6"/>
    <n v="0"/>
    <n v="0"/>
  </r>
  <r>
    <x v="116"/>
    <x v="115"/>
    <n v="203"/>
    <n v="2645.87"/>
    <n v="0"/>
    <n v="0"/>
    <n v="203"/>
    <n v="2645.87"/>
    <n v="164"/>
    <n v="2010.57"/>
  </r>
  <r>
    <x v="117"/>
    <x v="116"/>
    <n v="72"/>
    <n v="2028.94"/>
    <n v="365"/>
    <n v="12257.319999999916"/>
    <n v="437"/>
    <n v="14286.259999999917"/>
    <n v="375"/>
    <n v="11812.32"/>
  </r>
  <r>
    <x v="118"/>
    <x v="117"/>
    <n v="0"/>
    <n v="0"/>
    <n v="0"/>
    <n v="0"/>
    <n v="0"/>
    <n v="0"/>
    <n v="0"/>
    <n v="0"/>
  </r>
  <r>
    <x v="119"/>
    <x v="118"/>
    <n v="0"/>
    <n v="0"/>
    <n v="0"/>
    <n v="0"/>
    <n v="0"/>
    <n v="0"/>
    <n v="6"/>
    <n v="394.15999999999997"/>
  </r>
  <r>
    <x v="120"/>
    <x v="119"/>
    <n v="0"/>
    <n v="0"/>
    <n v="0"/>
    <n v="0"/>
    <n v="0"/>
    <n v="0"/>
    <n v="1"/>
    <n v="28.84"/>
  </r>
  <r>
    <x v="121"/>
    <x v="120"/>
    <n v="5"/>
    <n v="186.48000000000002"/>
    <n v="20"/>
    <n v="1037.9999999999998"/>
    <n v="25"/>
    <n v="1224.4799999999998"/>
    <n v="287"/>
    <n v="10625.77"/>
  </r>
  <r>
    <x v="122"/>
    <x v="121"/>
    <n v="62"/>
    <n v="2621.2599999999998"/>
    <n v="19"/>
    <n v="1138.0999999999999"/>
    <n v="81"/>
    <n v="3759.3599999999997"/>
    <n v="62"/>
    <n v="2954.2999999999997"/>
  </r>
  <r>
    <x v="123"/>
    <x v="122"/>
    <n v="0"/>
    <n v="0"/>
    <n v="0"/>
    <n v="0"/>
    <n v="0"/>
    <n v="0"/>
    <n v="1"/>
    <n v="44.57"/>
  </r>
  <r>
    <x v="124"/>
    <x v="123"/>
    <n v="1"/>
    <n v="13.81"/>
    <n v="0"/>
    <n v="0"/>
    <n v="1"/>
    <n v="13.81"/>
    <n v="1"/>
    <n v="18.239999999999998"/>
  </r>
  <r>
    <x v="125"/>
    <x v="124"/>
    <n v="1"/>
    <n v="33.25"/>
    <n v="0"/>
    <n v="0"/>
    <n v="1"/>
    <n v="33.25"/>
    <n v="2"/>
    <n v="71.099999999999994"/>
  </r>
  <r>
    <x v="126"/>
    <x v="125"/>
    <n v="1"/>
    <n v="54.9"/>
    <n v="0"/>
    <n v="0"/>
    <n v="1"/>
    <n v="54.9"/>
    <n v="0"/>
    <n v="0"/>
  </r>
  <r>
    <x v="127"/>
    <x v="126"/>
    <n v="178"/>
    <n v="3604.5600000000004"/>
    <n v="0"/>
    <n v="0"/>
    <n v="178"/>
    <n v="3604.5600000000004"/>
    <n v="491"/>
    <n v="10102.950000000001"/>
  </r>
  <r>
    <x v="128"/>
    <x v="127"/>
    <n v="0"/>
    <n v="0"/>
    <n v="0"/>
    <n v="0"/>
    <n v="0"/>
    <n v="0"/>
    <n v="0"/>
    <n v="0"/>
  </r>
  <r>
    <x v="129"/>
    <x v="128"/>
    <n v="3"/>
    <n v="72.88"/>
    <n v="0"/>
    <n v="0"/>
    <n v="3"/>
    <n v="72.88"/>
    <n v="6"/>
    <n v="134.09"/>
  </r>
  <r>
    <x v="130"/>
    <x v="129"/>
    <n v="0"/>
    <n v="0"/>
    <n v="0"/>
    <n v="0"/>
    <n v="0"/>
    <n v="0"/>
    <n v="8"/>
    <n v="156.72"/>
  </r>
  <r>
    <x v="131"/>
    <x v="130"/>
    <n v="1"/>
    <n v="17.07"/>
    <n v="0"/>
    <n v="0"/>
    <n v="1"/>
    <n v="17.07"/>
    <n v="0"/>
    <n v="0"/>
  </r>
  <r>
    <x v="132"/>
    <x v="131"/>
    <n v="93"/>
    <n v="687.96"/>
    <n v="0"/>
    <n v="0"/>
    <n v="93"/>
    <n v="687.96"/>
    <n v="31"/>
    <n v="255.23999999999998"/>
  </r>
  <r>
    <x v="133"/>
    <x v="132"/>
    <n v="0"/>
    <n v="0"/>
    <n v="0"/>
    <n v="0"/>
    <n v="0"/>
    <n v="0"/>
    <n v="1"/>
    <n v="8.32"/>
  </r>
  <r>
    <x v="134"/>
    <x v="133"/>
    <n v="24"/>
    <n v="339.75"/>
    <n v="0"/>
    <n v="0"/>
    <n v="24"/>
    <n v="339.75"/>
    <n v="3"/>
    <n v="86.73"/>
  </r>
  <r>
    <x v="135"/>
    <x v="134"/>
    <n v="0"/>
    <n v="0"/>
    <n v="0"/>
    <n v="0"/>
    <n v="0"/>
    <n v="0"/>
    <n v="1"/>
    <n v="24.51"/>
  </r>
  <r>
    <x v="136"/>
    <x v="135"/>
    <n v="2"/>
    <n v="151.86000000000001"/>
    <n v="0"/>
    <n v="0"/>
    <n v="2"/>
    <n v="151.86000000000001"/>
    <n v="2"/>
    <n v="162.30000000000001"/>
  </r>
  <r>
    <x v="137"/>
    <x v="136"/>
    <n v="7"/>
    <n v="332.73"/>
    <n v="0"/>
    <n v="0"/>
    <n v="7"/>
    <n v="332.73"/>
    <n v="11"/>
    <n v="525.08000000000004"/>
  </r>
  <r>
    <x v="138"/>
    <x v="137"/>
    <n v="0"/>
    <n v="0"/>
    <n v="0"/>
    <n v="0"/>
    <n v="0"/>
    <n v="0"/>
    <n v="0"/>
    <n v="0"/>
  </r>
  <r>
    <x v="139"/>
    <x v="138"/>
    <n v="0"/>
    <n v="0"/>
    <n v="0"/>
    <n v="0"/>
    <n v="0"/>
    <n v="0"/>
    <n v="-1"/>
    <n v="-10.84"/>
  </r>
  <r>
    <x v="140"/>
    <x v="139"/>
    <n v="0"/>
    <n v="0"/>
    <n v="0"/>
    <n v="0"/>
    <n v="0"/>
    <n v="0"/>
    <n v="2"/>
    <n v="98.2"/>
  </r>
  <r>
    <x v="141"/>
    <x v="140"/>
    <n v="361"/>
    <n v="5152.8799999999992"/>
    <n v="0"/>
    <n v="0"/>
    <n v="361"/>
    <n v="5152.8799999999992"/>
    <n v="187"/>
    <n v="2564.1999999999998"/>
  </r>
  <r>
    <x v="142"/>
    <x v="141"/>
    <n v="5"/>
    <n v="97.62"/>
    <n v="0"/>
    <n v="0"/>
    <n v="5"/>
    <n v="97.62"/>
    <n v="2"/>
    <n v="32.659999999999997"/>
  </r>
  <r>
    <x v="143"/>
    <x v="142"/>
    <n v="8"/>
    <n v="198.65"/>
    <n v="0"/>
    <n v="0"/>
    <n v="8"/>
    <n v="198.65"/>
    <n v="22"/>
    <n v="544.95000000000005"/>
  </r>
  <r>
    <x v="144"/>
    <x v="143"/>
    <n v="0"/>
    <n v="0"/>
    <n v="0"/>
    <n v="0"/>
    <n v="0"/>
    <n v="0"/>
    <n v="835"/>
    <n v="10271.709999999999"/>
  </r>
  <r>
    <x v="145"/>
    <x v="144"/>
    <n v="40"/>
    <n v="465.02000000000004"/>
    <n v="0"/>
    <n v="0"/>
    <n v="40"/>
    <n v="465.02000000000004"/>
    <n v="54"/>
    <n v="620.82000000000005"/>
  </r>
  <r>
    <x v="146"/>
    <x v="145"/>
    <n v="8"/>
    <n v="198.73000000000002"/>
    <n v="0"/>
    <n v="0"/>
    <n v="8"/>
    <n v="198.73000000000002"/>
    <n v="10"/>
    <n v="245.4"/>
  </r>
  <r>
    <x v="147"/>
    <x v="146"/>
    <n v="0"/>
    <n v="0"/>
    <n v="1"/>
    <n v="15.9"/>
    <n v="1"/>
    <n v="15.9"/>
    <n v="0"/>
    <n v="0"/>
  </r>
  <r>
    <x v="148"/>
    <x v="147"/>
    <n v="0"/>
    <n v="0"/>
    <n v="0"/>
    <n v="0"/>
    <n v="0"/>
    <n v="0"/>
    <n v="5"/>
    <n v="57.47"/>
  </r>
  <r>
    <x v="149"/>
    <x v="148"/>
    <n v="0"/>
    <n v="0"/>
    <n v="0"/>
    <n v="0"/>
    <n v="0"/>
    <n v="0"/>
    <n v="0"/>
    <n v="0"/>
  </r>
  <r>
    <x v="150"/>
    <x v="149"/>
    <n v="0"/>
    <n v="0"/>
    <n v="0"/>
    <n v="0"/>
    <n v="0"/>
    <n v="0"/>
    <n v="24"/>
    <n v="184.5"/>
  </r>
  <r>
    <x v="151"/>
    <x v="150"/>
    <n v="172"/>
    <n v="4167.01"/>
    <n v="104"/>
    <n v="3109.6000000000017"/>
    <n v="276"/>
    <n v="7276.6100000000024"/>
    <n v="352"/>
    <n v="8344.1"/>
  </r>
  <r>
    <x v="152"/>
    <x v="151"/>
    <n v="0"/>
    <n v="0"/>
    <n v="0"/>
    <n v="0"/>
    <n v="0"/>
    <n v="0"/>
    <n v="0"/>
    <n v="0"/>
  </r>
  <r>
    <x v="153"/>
    <x v="152"/>
    <n v="25"/>
    <n v="993.72"/>
    <n v="0"/>
    <n v="0"/>
    <n v="25"/>
    <n v="993.72"/>
    <n v="21"/>
    <n v="998.34"/>
  </r>
  <r>
    <x v="154"/>
    <x v="153"/>
    <n v="0"/>
    <n v="0"/>
    <n v="0"/>
    <n v="0"/>
    <n v="0"/>
    <n v="0"/>
    <n v="2"/>
    <n v="221.75"/>
  </r>
  <r>
    <x v="155"/>
    <x v="154"/>
    <n v="1"/>
    <n v="157.5"/>
    <n v="0"/>
    <n v="0"/>
    <n v="1"/>
    <n v="157.5"/>
    <n v="0"/>
    <n v="0"/>
  </r>
  <r>
    <x v="156"/>
    <x v="155"/>
    <n v="0"/>
    <n v="0"/>
    <n v="0"/>
    <n v="0"/>
    <n v="0"/>
    <n v="0"/>
    <n v="1"/>
    <n v="47.98"/>
  </r>
  <r>
    <x v="157"/>
    <x v="156"/>
    <n v="16"/>
    <n v="317.03000000000003"/>
    <n v="0"/>
    <n v="0"/>
    <n v="16"/>
    <n v="317.03000000000003"/>
    <n v="20"/>
    <n v="398.11"/>
  </r>
  <r>
    <x v="158"/>
    <x v="157"/>
    <n v="0"/>
    <n v="0"/>
    <n v="0"/>
    <n v="0"/>
    <n v="0"/>
    <n v="0"/>
    <n v="2"/>
    <n v="54.879999999999995"/>
  </r>
  <r>
    <x v="159"/>
    <x v="158"/>
    <n v="0"/>
    <n v="0"/>
    <n v="0"/>
    <n v="0"/>
    <n v="0"/>
    <n v="0"/>
    <n v="0"/>
    <n v="0"/>
  </r>
  <r>
    <x v="160"/>
    <x v="159"/>
    <n v="0"/>
    <n v="0"/>
    <n v="28"/>
    <n v="2275.400000000001"/>
    <n v="28"/>
    <n v="2275.400000000001"/>
    <n v="10"/>
    <n v="710.11"/>
  </r>
  <r>
    <x v="161"/>
    <x v="160"/>
    <n v="9"/>
    <n v="384.04"/>
    <n v="3"/>
    <n v="149.69999999999999"/>
    <n v="12"/>
    <n v="533.74"/>
    <n v="69"/>
    <n v="3127.7400000000002"/>
  </r>
  <r>
    <x v="162"/>
    <x v="161"/>
    <n v="6"/>
    <n v="165.58"/>
    <n v="0"/>
    <n v="0"/>
    <n v="6"/>
    <n v="165.58"/>
    <n v="48"/>
    <n v="1180.17"/>
  </r>
  <r>
    <x v="163"/>
    <x v="162"/>
    <n v="-4"/>
    <n v="-230.16"/>
    <n v="0"/>
    <n v="0"/>
    <n v="-4"/>
    <n v="-230.16"/>
    <n v="180"/>
    <n v="10892.220000000001"/>
  </r>
  <r>
    <x v="164"/>
    <x v="163"/>
    <n v="1"/>
    <n v="78.16"/>
    <n v="0"/>
    <n v="0"/>
    <n v="1"/>
    <n v="78.16"/>
    <n v="1"/>
    <n v="37.97"/>
  </r>
  <r>
    <x v="165"/>
    <x v="164"/>
    <n v="41"/>
    <n v="2246.3200000000002"/>
    <n v="0"/>
    <n v="0"/>
    <n v="41"/>
    <n v="2246.3200000000002"/>
    <n v="45"/>
    <n v="2654.8399999999997"/>
  </r>
  <r>
    <x v="166"/>
    <x v="165"/>
    <n v="120"/>
    <n v="1506.88"/>
    <n v="0"/>
    <n v="0"/>
    <n v="120"/>
    <n v="1506.88"/>
    <n v="3622"/>
    <n v="44366.180000000008"/>
  </r>
  <r>
    <x v="167"/>
    <x v="166"/>
    <n v="0"/>
    <n v="0"/>
    <n v="0"/>
    <n v="0"/>
    <n v="0"/>
    <n v="0"/>
    <n v="0"/>
    <n v="0"/>
  </r>
  <r>
    <x v="168"/>
    <x v="167"/>
    <n v="5"/>
    <n v="100.64000000000001"/>
    <n v="0"/>
    <n v="0"/>
    <n v="5"/>
    <n v="100.64000000000001"/>
    <n v="5"/>
    <n v="102.22"/>
  </r>
  <r>
    <x v="169"/>
    <x v="168"/>
    <n v="0"/>
    <n v="0"/>
    <n v="0"/>
    <n v="0"/>
    <n v="0"/>
    <n v="0"/>
    <n v="60"/>
    <n v="1001.77"/>
  </r>
  <r>
    <x v="170"/>
    <x v="169"/>
    <n v="0"/>
    <n v="0"/>
    <n v="31"/>
    <n v="1866.900000000001"/>
    <n v="31"/>
    <n v="1866.900000000001"/>
    <n v="98"/>
    <n v="5258.27"/>
  </r>
  <r>
    <x v="171"/>
    <x v="170"/>
    <n v="1"/>
    <n v="24.88"/>
    <n v="42"/>
    <n v="1333.8200000000004"/>
    <n v="43"/>
    <n v="1358.7000000000005"/>
    <n v="955"/>
    <n v="20195.070000000003"/>
  </r>
  <r>
    <x v="172"/>
    <x v="171"/>
    <n v="30"/>
    <n v="726.79"/>
    <n v="0"/>
    <n v="0"/>
    <n v="30"/>
    <n v="726.79"/>
    <n v="427"/>
    <n v="10551.099999999999"/>
  </r>
  <r>
    <x v="173"/>
    <x v="172"/>
    <n v="0"/>
    <n v="0"/>
    <n v="0"/>
    <n v="0"/>
    <n v="0"/>
    <n v="0"/>
    <n v="-1"/>
    <n v="-16.309999999999999"/>
  </r>
  <r>
    <x v="174"/>
    <x v="173"/>
    <n v="6"/>
    <n v="31"/>
    <n v="0"/>
    <n v="0"/>
    <n v="6"/>
    <n v="31"/>
    <n v="7"/>
    <n v="41.82"/>
  </r>
  <r>
    <x v="175"/>
    <x v="174"/>
    <n v="1"/>
    <n v="7.62"/>
    <n v="0"/>
    <n v="0"/>
    <n v="1"/>
    <n v="7.62"/>
    <n v="94"/>
    <n v="642.25000000000011"/>
  </r>
  <r>
    <x v="176"/>
    <x v="175"/>
    <n v="62"/>
    <n v="393.92"/>
    <n v="0"/>
    <n v="0"/>
    <n v="62"/>
    <n v="393.92"/>
    <n v="17"/>
    <n v="112.24"/>
  </r>
  <r>
    <x v="177"/>
    <x v="176"/>
    <n v="82"/>
    <n v="542.86000000000013"/>
    <n v="0"/>
    <n v="0"/>
    <n v="82"/>
    <n v="542.86000000000013"/>
    <n v="126"/>
    <n v="754.6"/>
  </r>
  <r>
    <x v="178"/>
    <x v="177"/>
    <n v="110"/>
    <n v="709.19"/>
    <n v="0"/>
    <n v="0"/>
    <n v="110"/>
    <n v="709.19"/>
    <n v="73"/>
    <n v="467.90000000000003"/>
  </r>
  <r>
    <x v="179"/>
    <x v="178"/>
    <n v="0"/>
    <n v="0"/>
    <n v="0"/>
    <n v="0"/>
    <n v="0"/>
    <n v="0"/>
    <n v="0"/>
    <n v="0"/>
  </r>
  <r>
    <x v="180"/>
    <x v="179"/>
    <n v="95"/>
    <n v="1248.69"/>
    <n v="0"/>
    <n v="0"/>
    <n v="95"/>
    <n v="1248.69"/>
    <n v="52"/>
    <n v="818.72"/>
  </r>
  <r>
    <x v="181"/>
    <x v="180"/>
    <n v="1"/>
    <n v="5.98"/>
    <n v="0"/>
    <n v="0"/>
    <n v="1"/>
    <n v="5.98"/>
    <n v="0"/>
    <n v="0"/>
  </r>
  <r>
    <x v="182"/>
    <x v="181"/>
    <n v="0"/>
    <n v="0"/>
    <n v="0"/>
    <n v="0"/>
    <n v="0"/>
    <n v="0"/>
    <n v="83"/>
    <n v="1356.2"/>
  </r>
  <r>
    <x v="183"/>
    <x v="182"/>
    <n v="51"/>
    <n v="1264.3"/>
    <n v="1"/>
    <n v="29.9"/>
    <n v="52"/>
    <n v="1294.2"/>
    <n v="110"/>
    <n v="2772.9399999999996"/>
  </r>
  <r>
    <x v="184"/>
    <x v="183"/>
    <n v="8"/>
    <n v="131.02999999999997"/>
    <n v="0"/>
    <n v="0"/>
    <n v="8"/>
    <n v="131.02999999999997"/>
    <n v="0"/>
    <n v="0"/>
  </r>
  <r>
    <x v="185"/>
    <x v="184"/>
    <n v="0"/>
    <n v="0"/>
    <n v="0"/>
    <n v="0"/>
    <n v="0"/>
    <n v="0"/>
    <n v="0"/>
    <n v="0"/>
  </r>
  <r>
    <x v="186"/>
    <x v="185"/>
    <n v="65"/>
    <n v="429.35999999999996"/>
    <n v="0"/>
    <n v="0"/>
    <n v="65"/>
    <n v="429.35999999999996"/>
    <n v="240"/>
    <n v="1751.42"/>
  </r>
  <r>
    <x v="187"/>
    <x v="186"/>
    <n v="99"/>
    <n v="1328.46"/>
    <n v="0"/>
    <n v="0"/>
    <n v="99"/>
    <n v="1328.46"/>
    <n v="1211"/>
    <n v="15347.37"/>
  </r>
  <r>
    <x v="188"/>
    <x v="187"/>
    <n v="18"/>
    <n v="414.31"/>
    <n v="0"/>
    <n v="0"/>
    <n v="18"/>
    <n v="414.31"/>
    <n v="0"/>
    <n v="0"/>
  </r>
  <r>
    <x v="189"/>
    <x v="188"/>
    <n v="55"/>
    <n v="269.98"/>
    <n v="0"/>
    <n v="0"/>
    <n v="55"/>
    <n v="269.98"/>
    <n v="223"/>
    <n v="1083.48"/>
  </r>
  <r>
    <x v="190"/>
    <x v="189"/>
    <n v="0"/>
    <n v="0"/>
    <n v="0"/>
    <n v="0"/>
    <n v="0"/>
    <n v="0"/>
    <n v="14"/>
    <n v="451.56999999999994"/>
  </r>
  <r>
    <x v="191"/>
    <x v="190"/>
    <n v="4"/>
    <n v="42.46"/>
    <n v="0"/>
    <n v="0"/>
    <n v="4"/>
    <n v="42.46"/>
    <n v="9"/>
    <n v="107.09"/>
  </r>
  <r>
    <x v="192"/>
    <x v="191"/>
    <n v="83"/>
    <n v="1386.3000000000002"/>
    <n v="0"/>
    <n v="0"/>
    <n v="83"/>
    <n v="1386.3000000000002"/>
    <n v="497"/>
    <n v="7835.1800000000012"/>
  </r>
  <r>
    <x v="193"/>
    <x v="192"/>
    <n v="17"/>
    <n v="336.87"/>
    <n v="0"/>
    <n v="0"/>
    <n v="17"/>
    <n v="336.87"/>
    <n v="4"/>
    <n v="71.260000000000005"/>
  </r>
  <r>
    <x v="194"/>
    <x v="193"/>
    <n v="4"/>
    <n v="103.27"/>
    <n v="0"/>
    <n v="0"/>
    <n v="4"/>
    <n v="103.27"/>
    <n v="0"/>
    <n v="0"/>
  </r>
  <r>
    <x v="195"/>
    <x v="194"/>
    <n v="0"/>
    <n v="0"/>
    <n v="0"/>
    <n v="0"/>
    <n v="0"/>
    <n v="0"/>
    <n v="1"/>
    <n v="40.85"/>
  </r>
  <r>
    <x v="196"/>
    <x v="195"/>
    <n v="13"/>
    <n v="685.82999999999993"/>
    <n v="0"/>
    <n v="0"/>
    <n v="13"/>
    <n v="685.82999999999993"/>
    <n v="0"/>
    <n v="0"/>
  </r>
  <r>
    <x v="197"/>
    <x v="196"/>
    <n v="5"/>
    <n v="165.45"/>
    <n v="0"/>
    <n v="0"/>
    <n v="5"/>
    <n v="165.45"/>
    <n v="0"/>
    <n v="0"/>
  </r>
  <r>
    <x v="198"/>
    <x v="197"/>
    <n v="0"/>
    <n v="0"/>
    <n v="0"/>
    <n v="0"/>
    <n v="0"/>
    <n v="0"/>
    <n v="1"/>
    <n v="24.92"/>
  </r>
  <r>
    <x v="199"/>
    <x v="198"/>
    <n v="37"/>
    <n v="452.17"/>
    <n v="0"/>
    <n v="0"/>
    <n v="37"/>
    <n v="452.17"/>
    <n v="20"/>
    <n v="300.42"/>
  </r>
  <r>
    <x v="200"/>
    <x v="199"/>
    <n v="0"/>
    <n v="0"/>
    <n v="0"/>
    <n v="0"/>
    <n v="0"/>
    <n v="0"/>
    <n v="27"/>
    <n v="637.74000000000012"/>
  </r>
  <r>
    <x v="201"/>
    <x v="200"/>
    <n v="0"/>
    <n v="0"/>
    <n v="0"/>
    <n v="0"/>
    <n v="0"/>
    <n v="0"/>
    <n v="28"/>
    <n v="595.24"/>
  </r>
  <r>
    <x v="202"/>
    <x v="201"/>
    <n v="0"/>
    <n v="0"/>
    <n v="0"/>
    <n v="0"/>
    <n v="0"/>
    <n v="0"/>
    <n v="4"/>
    <n v="16.48"/>
  </r>
  <r>
    <x v="203"/>
    <x v="202"/>
    <n v="0"/>
    <n v="0"/>
    <n v="0"/>
    <n v="0"/>
    <n v="0"/>
    <n v="0"/>
    <n v="454"/>
    <n v="5565.4"/>
  </r>
  <r>
    <x v="204"/>
    <x v="203"/>
    <n v="10"/>
    <n v="327.83000000000004"/>
    <n v="0"/>
    <n v="0"/>
    <n v="10"/>
    <n v="327.83000000000004"/>
    <n v="19"/>
    <n v="624.26"/>
  </r>
  <r>
    <x v="205"/>
    <x v="204"/>
    <n v="0"/>
    <n v="0"/>
    <n v="0"/>
    <n v="0"/>
    <n v="0"/>
    <n v="0"/>
    <n v="0"/>
    <n v="0"/>
  </r>
  <r>
    <x v="206"/>
    <x v="205"/>
    <n v="35"/>
    <n v="465.99"/>
    <n v="0"/>
    <n v="0"/>
    <n v="35"/>
    <n v="465.99"/>
    <n v="58"/>
    <n v="708.18"/>
  </r>
  <r>
    <x v="207"/>
    <x v="206"/>
    <n v="6"/>
    <n v="133.04000000000002"/>
    <n v="0"/>
    <n v="0"/>
    <n v="6"/>
    <n v="133.04000000000002"/>
    <n v="23"/>
    <n v="292.07"/>
  </r>
  <r>
    <x v="208"/>
    <x v="207"/>
    <n v="2"/>
    <n v="19.579999999999998"/>
    <n v="0"/>
    <n v="0"/>
    <n v="2"/>
    <n v="19.579999999999998"/>
    <n v="3"/>
    <n v="32.47"/>
  </r>
  <r>
    <x v="209"/>
    <x v="208"/>
    <n v="11"/>
    <n v="229.16"/>
    <n v="0"/>
    <n v="0"/>
    <n v="11"/>
    <n v="229.16"/>
    <n v="11"/>
    <n v="250.83999999999997"/>
  </r>
  <r>
    <x v="210"/>
    <x v="209"/>
    <n v="1"/>
    <n v="10.45"/>
    <n v="0"/>
    <n v="0"/>
    <n v="1"/>
    <n v="10.45"/>
    <n v="9"/>
    <n v="111.46"/>
  </r>
  <r>
    <x v="211"/>
    <x v="210"/>
    <n v="1"/>
    <n v="74.430000000000007"/>
    <n v="0"/>
    <n v="0"/>
    <n v="1"/>
    <n v="74.430000000000007"/>
    <n v="1"/>
    <n v="75.790000000000006"/>
  </r>
  <r>
    <x v="212"/>
    <x v="211"/>
    <n v="65"/>
    <n v="1892.39"/>
    <n v="2"/>
    <n v="74.8"/>
    <n v="67"/>
    <n v="1967.19"/>
    <n v="160"/>
    <n v="4868.08"/>
  </r>
  <r>
    <x v="213"/>
    <x v="212"/>
    <n v="2"/>
    <n v="54.55"/>
    <n v="0"/>
    <n v="0"/>
    <n v="2"/>
    <n v="54.55"/>
    <n v="6"/>
    <n v="154.09"/>
  </r>
  <r>
    <x v="214"/>
    <x v="213"/>
    <n v="19"/>
    <n v="152.1"/>
    <n v="0"/>
    <n v="0"/>
    <n v="19"/>
    <n v="152.1"/>
    <n v="13"/>
    <n v="190.86"/>
  </r>
  <r>
    <x v="215"/>
    <x v="214"/>
    <n v="80"/>
    <n v="1377.6699999999998"/>
    <n v="0"/>
    <n v="0"/>
    <n v="80"/>
    <n v="1377.6699999999998"/>
    <n v="210"/>
    <n v="4153.5599999999995"/>
  </r>
  <r>
    <x v="216"/>
    <x v="215"/>
    <n v="0"/>
    <n v="0"/>
    <n v="0"/>
    <n v="0"/>
    <n v="0"/>
    <n v="0"/>
    <n v="-3"/>
    <n v="-55.37"/>
  </r>
  <r>
    <x v="217"/>
    <x v="216"/>
    <n v="133"/>
    <n v="2198.2800000000002"/>
    <n v="0"/>
    <n v="0"/>
    <n v="133"/>
    <n v="2198.2800000000002"/>
    <n v="317"/>
    <n v="5750.16"/>
  </r>
  <r>
    <x v="218"/>
    <x v="217"/>
    <n v="0"/>
    <n v="0"/>
    <n v="0"/>
    <n v="0"/>
    <n v="0"/>
    <n v="0"/>
    <n v="10"/>
    <n v="166.36"/>
  </r>
  <r>
    <x v="219"/>
    <x v="218"/>
    <n v="45"/>
    <n v="749.53"/>
    <n v="0"/>
    <n v="0"/>
    <n v="45"/>
    <n v="749.53"/>
    <n v="14"/>
    <n v="292.45999999999998"/>
  </r>
  <r>
    <x v="220"/>
    <x v="219"/>
    <n v="311"/>
    <n v="4353.78"/>
    <n v="94"/>
    <n v="2171.3700000000031"/>
    <n v="405"/>
    <n v="6525.1500000000033"/>
    <n v="1816"/>
    <n v="34974.229999999996"/>
  </r>
  <r>
    <x v="221"/>
    <x v="220"/>
    <n v="29"/>
    <n v="308.87"/>
    <n v="0"/>
    <n v="0"/>
    <n v="29"/>
    <n v="308.87"/>
    <n v="152"/>
    <n v="2186.64"/>
  </r>
  <r>
    <x v="222"/>
    <x v="221"/>
    <n v="2"/>
    <n v="24.9"/>
    <n v="0"/>
    <n v="0"/>
    <n v="2"/>
    <n v="24.9"/>
    <n v="34"/>
    <n v="451.27000000000004"/>
  </r>
  <r>
    <x v="223"/>
    <x v="222"/>
    <n v="0"/>
    <n v="0"/>
    <n v="0"/>
    <n v="0"/>
    <n v="0"/>
    <n v="0"/>
    <n v="29"/>
    <n v="371.13"/>
  </r>
  <r>
    <x v="224"/>
    <x v="223"/>
    <n v="0"/>
    <n v="0"/>
    <n v="21"/>
    <n v="842.89999999999975"/>
    <n v="21"/>
    <n v="842.89999999999975"/>
    <n v="98"/>
    <n v="2821.82"/>
  </r>
  <r>
    <x v="225"/>
    <x v="224"/>
    <n v="2"/>
    <n v="21.14"/>
    <n v="66"/>
    <n v="1051.3999999999994"/>
    <n v="68"/>
    <n v="1072.5399999999995"/>
    <n v="536"/>
    <n v="6360.58"/>
  </r>
  <r>
    <x v="226"/>
    <x v="225"/>
    <n v="164"/>
    <n v="1414.3200000000002"/>
    <n v="0"/>
    <n v="0"/>
    <n v="164"/>
    <n v="1414.3200000000002"/>
    <n v="459"/>
    <n v="4360.58"/>
  </r>
  <r>
    <x v="227"/>
    <x v="226"/>
    <n v="0"/>
    <n v="0"/>
    <n v="0"/>
    <n v="0"/>
    <n v="0"/>
    <n v="0"/>
    <n v="18"/>
    <n v="239.75"/>
  </r>
  <r>
    <x v="228"/>
    <x v="227"/>
    <n v="0"/>
    <n v="0"/>
    <n v="22"/>
    <n v="887.79999999999973"/>
    <n v="22"/>
    <n v="887.79999999999973"/>
    <n v="44"/>
    <n v="1196.7399999999998"/>
  </r>
  <r>
    <x v="229"/>
    <x v="228"/>
    <n v="12"/>
    <n v="509.98"/>
    <n v="0"/>
    <n v="0"/>
    <n v="12"/>
    <n v="509.98"/>
    <n v="236"/>
    <n v="10072.67"/>
  </r>
  <r>
    <x v="230"/>
    <x v="229"/>
    <n v="46"/>
    <n v="2711.67"/>
    <n v="5"/>
    <n v="349.5"/>
    <n v="51"/>
    <n v="3061.17"/>
    <n v="154"/>
    <n v="8345.619999999999"/>
  </r>
  <r>
    <x v="231"/>
    <x v="230"/>
    <n v="2"/>
    <n v="9.82"/>
    <n v="0"/>
    <n v="0"/>
    <n v="2"/>
    <n v="9.82"/>
    <n v="17"/>
    <n v="68.34"/>
  </r>
  <r>
    <x v="232"/>
    <x v="231"/>
    <n v="7"/>
    <n v="114.85"/>
    <n v="0"/>
    <n v="0"/>
    <n v="7"/>
    <n v="114.85"/>
    <n v="4"/>
    <n v="73"/>
  </r>
  <r>
    <x v="233"/>
    <x v="232"/>
    <n v="9"/>
    <n v="527.06999999999994"/>
    <n v="23"/>
    <n v="1820.7000000000005"/>
    <n v="32"/>
    <n v="2347.7700000000004"/>
    <n v="189"/>
    <n v="12965.4"/>
  </r>
  <r>
    <x v="234"/>
    <x v="233"/>
    <n v="5"/>
    <n v="103.59"/>
    <n v="0"/>
    <n v="0"/>
    <n v="5"/>
    <n v="103.59"/>
    <n v="13"/>
    <n v="376.60999999999996"/>
  </r>
  <r>
    <x v="235"/>
    <x v="234"/>
    <n v="34"/>
    <n v="389.38999999999993"/>
    <n v="0"/>
    <n v="0"/>
    <n v="34"/>
    <n v="389.38999999999993"/>
    <n v="154"/>
    <n v="1887.5"/>
  </r>
  <r>
    <x v="236"/>
    <x v="235"/>
    <n v="1"/>
    <n v="21.6"/>
    <n v="0"/>
    <n v="0"/>
    <n v="1"/>
    <n v="21.6"/>
    <n v="35"/>
    <n v="1010.8199999999999"/>
  </r>
  <r>
    <x v="237"/>
    <x v="236"/>
    <n v="16"/>
    <n v="360.32000000000005"/>
    <n v="0"/>
    <n v="0"/>
    <n v="16"/>
    <n v="360.32000000000005"/>
    <n v="9"/>
    <n v="220.59"/>
  </r>
  <r>
    <x v="238"/>
    <x v="237"/>
    <n v="0"/>
    <n v="0"/>
    <n v="0"/>
    <n v="0"/>
    <n v="0"/>
    <n v="0"/>
    <n v="21"/>
    <n v="172.9"/>
  </r>
  <r>
    <x v="239"/>
    <x v="238"/>
    <n v="11"/>
    <n v="55.180000000000007"/>
    <n v="0"/>
    <n v="0"/>
    <n v="11"/>
    <n v="55.180000000000007"/>
    <n v="27"/>
    <n v="191.08"/>
  </r>
  <r>
    <x v="240"/>
    <x v="239"/>
    <n v="0"/>
    <n v="0"/>
    <n v="0"/>
    <n v="0"/>
    <n v="0"/>
    <n v="0"/>
    <n v="1"/>
    <n v="10.57"/>
  </r>
  <r>
    <x v="241"/>
    <x v="240"/>
    <n v="3"/>
    <n v="135.37"/>
    <n v="0"/>
    <n v="0"/>
    <n v="3"/>
    <n v="135.37"/>
    <n v="5"/>
    <n v="194.29"/>
  </r>
  <r>
    <x v="242"/>
    <x v="241"/>
    <n v="3"/>
    <n v="47.239999999999995"/>
    <n v="0"/>
    <n v="0"/>
    <n v="3"/>
    <n v="47.239999999999995"/>
    <n v="4"/>
    <n v="45"/>
  </r>
  <r>
    <x v="243"/>
    <x v="242"/>
    <n v="0"/>
    <n v="0"/>
    <n v="0"/>
    <n v="0"/>
    <n v="0"/>
    <n v="0"/>
    <n v="0"/>
    <n v="0"/>
  </r>
  <r>
    <x v="244"/>
    <x v="243"/>
    <n v="8"/>
    <n v="464.51"/>
    <n v="0"/>
    <n v="0"/>
    <n v="8"/>
    <n v="464.51"/>
    <n v="0"/>
    <n v="0"/>
  </r>
  <r>
    <x v="245"/>
    <x v="244"/>
    <n v="2"/>
    <n v="35.200000000000003"/>
    <n v="0"/>
    <n v="0"/>
    <n v="2"/>
    <n v="35.200000000000003"/>
    <n v="0"/>
    <n v="0"/>
  </r>
  <r>
    <x v="246"/>
    <x v="245"/>
    <n v="0"/>
    <n v="0"/>
    <n v="0"/>
    <n v="0"/>
    <n v="0"/>
    <n v="0"/>
    <n v="0"/>
    <n v="0"/>
  </r>
  <r>
    <x v="247"/>
    <x v="246"/>
    <n v="648"/>
    <n v="6687.3600000000015"/>
    <n v="0"/>
    <n v="0"/>
    <n v="648"/>
    <n v="6687.3600000000015"/>
    <n v="4056"/>
    <n v="33322.03"/>
  </r>
  <r>
    <x v="248"/>
    <x v="247"/>
    <n v="0"/>
    <n v="0"/>
    <n v="0"/>
    <n v="0"/>
    <n v="0"/>
    <n v="0"/>
    <n v="3"/>
    <n v="168.63"/>
  </r>
  <r>
    <x v="249"/>
    <x v="248"/>
    <n v="9"/>
    <n v="536.88"/>
    <n v="0"/>
    <n v="0"/>
    <n v="9"/>
    <n v="536.88"/>
    <n v="66"/>
    <n v="4251.6399999999994"/>
  </r>
  <r>
    <x v="250"/>
    <x v="249"/>
    <n v="2"/>
    <n v="28.38"/>
    <n v="0"/>
    <n v="0"/>
    <n v="2"/>
    <n v="28.38"/>
    <n v="0"/>
    <n v="0"/>
  </r>
  <r>
    <x v="251"/>
    <x v="250"/>
    <n v="3"/>
    <n v="48.129999999999995"/>
    <n v="0"/>
    <n v="0"/>
    <n v="3"/>
    <n v="48.129999999999995"/>
    <n v="5"/>
    <n v="81.96"/>
  </r>
  <r>
    <x v="252"/>
    <x v="251"/>
    <n v="14"/>
    <n v="154.4"/>
    <n v="0"/>
    <n v="0"/>
    <n v="14"/>
    <n v="154.4"/>
    <n v="0"/>
    <n v="0"/>
  </r>
  <r>
    <x v="253"/>
    <x v="252"/>
    <n v="9"/>
    <n v="145.46"/>
    <n v="0"/>
    <n v="0"/>
    <n v="9"/>
    <n v="145.46"/>
    <n v="0"/>
    <n v="0"/>
  </r>
  <r>
    <x v="254"/>
    <x v="253"/>
    <n v="3"/>
    <n v="18.72"/>
    <n v="0"/>
    <n v="0"/>
    <n v="3"/>
    <n v="18.72"/>
    <n v="4"/>
    <n v="33"/>
  </r>
  <r>
    <x v="255"/>
    <x v="254"/>
    <n v="0"/>
    <n v="0"/>
    <n v="0"/>
    <n v="0"/>
    <n v="0"/>
    <n v="0"/>
    <n v="40"/>
    <n v="324.39999999999998"/>
  </r>
  <r>
    <x v="256"/>
    <x v="255"/>
    <n v="0"/>
    <n v="0"/>
    <n v="0"/>
    <n v="0"/>
    <n v="0"/>
    <n v="0"/>
    <n v="0"/>
    <n v="0"/>
  </r>
  <r>
    <x v="257"/>
    <x v="256"/>
    <n v="42"/>
    <n v="608.13"/>
    <n v="0"/>
    <n v="0"/>
    <n v="42"/>
    <n v="608.13"/>
    <n v="71"/>
    <n v="1141.3999999999999"/>
  </r>
  <r>
    <x v="258"/>
    <x v="257"/>
    <n v="4"/>
    <n v="65.52"/>
    <n v="0"/>
    <n v="0"/>
    <n v="4"/>
    <n v="65.52"/>
    <n v="204"/>
    <n v="3245.7499999999995"/>
  </r>
  <r>
    <x v="259"/>
    <x v="258"/>
    <n v="30"/>
    <n v="418.83"/>
    <n v="0"/>
    <n v="0"/>
    <n v="30"/>
    <n v="418.83"/>
    <n v="183"/>
    <n v="2226.5799999999995"/>
  </r>
  <r>
    <x v="260"/>
    <x v="259"/>
    <n v="5"/>
    <n v="112.74000000000001"/>
    <n v="0"/>
    <n v="0"/>
    <n v="5"/>
    <n v="112.74000000000001"/>
    <n v="6"/>
    <n v="148.26"/>
  </r>
  <r>
    <x v="261"/>
    <x v="260"/>
    <n v="343"/>
    <n v="3486.6300000000006"/>
    <n v="0"/>
    <n v="0"/>
    <n v="343"/>
    <n v="3486.6300000000006"/>
    <n v="3244"/>
    <n v="26543.63"/>
  </r>
  <r>
    <x v="262"/>
    <x v="261"/>
    <n v="0"/>
    <n v="0"/>
    <n v="0"/>
    <n v="0"/>
    <n v="0"/>
    <n v="0"/>
    <n v="0"/>
    <n v="0"/>
  </r>
  <r>
    <x v="263"/>
    <x v="262"/>
    <n v="29"/>
    <n v="234.67000000000002"/>
    <n v="0"/>
    <n v="0"/>
    <n v="29"/>
    <n v="234.67000000000002"/>
    <n v="268"/>
    <n v="2067.6999999999998"/>
  </r>
  <r>
    <x v="264"/>
    <x v="263"/>
    <n v="1"/>
    <n v="9.51"/>
    <n v="0"/>
    <n v="0"/>
    <n v="1"/>
    <n v="9.51"/>
    <n v="854"/>
    <n v="11391.91"/>
  </r>
  <r>
    <x v="265"/>
    <x v="264"/>
    <n v="1"/>
    <n v="16.45"/>
    <n v="0"/>
    <n v="0"/>
    <n v="1"/>
    <n v="16.45"/>
    <n v="26"/>
    <n v="259.92"/>
  </r>
  <r>
    <x v="266"/>
    <x v="265"/>
    <n v="678"/>
    <n v="8596.59"/>
    <n v="71"/>
    <n v="1077.8999999999992"/>
    <n v="749"/>
    <n v="9674.49"/>
    <n v="3859"/>
    <n v="47676.079999999994"/>
  </r>
  <r>
    <x v="267"/>
    <x v="266"/>
    <n v="24"/>
    <n v="276.97000000000003"/>
    <n v="0"/>
    <n v="0"/>
    <n v="24"/>
    <n v="276.97000000000003"/>
    <n v="13"/>
    <n v="146.68"/>
  </r>
  <r>
    <x v="268"/>
    <x v="267"/>
    <n v="1"/>
    <n v="5.42"/>
    <n v="0"/>
    <n v="0"/>
    <n v="1"/>
    <n v="5.42"/>
    <n v="1"/>
    <n v="12.65"/>
  </r>
  <r>
    <x v="269"/>
    <x v="268"/>
    <n v="35"/>
    <n v="428.14"/>
    <n v="0"/>
    <n v="0"/>
    <n v="35"/>
    <n v="428.14"/>
    <n v="47"/>
    <n v="561.33000000000004"/>
  </r>
  <r>
    <x v="270"/>
    <x v="269"/>
    <n v="2"/>
    <n v="65.400000000000006"/>
    <n v="0"/>
    <n v="0"/>
    <n v="2"/>
    <n v="65.400000000000006"/>
    <n v="0"/>
    <n v="0"/>
  </r>
  <r>
    <x v="271"/>
    <x v="270"/>
    <n v="5"/>
    <n v="150.29"/>
    <n v="8"/>
    <n v="291.2"/>
    <n v="13"/>
    <n v="441.49"/>
    <n v="220"/>
    <n v="6861.18"/>
  </r>
  <r>
    <x v="272"/>
    <x v="271"/>
    <n v="22"/>
    <n v="1103.1299999999999"/>
    <n v="0"/>
    <n v="0"/>
    <n v="22"/>
    <n v="1103.1299999999999"/>
    <n v="3"/>
    <n v="196.47"/>
  </r>
  <r>
    <x v="273"/>
    <x v="272"/>
    <n v="21"/>
    <n v="2.93"/>
    <n v="0"/>
    <n v="0"/>
    <n v="21"/>
    <n v="2.93"/>
    <n v="0"/>
    <n v="0"/>
  </r>
  <r>
    <x v="274"/>
    <x v="273"/>
    <n v="5"/>
    <n v="208.96"/>
    <n v="0"/>
    <n v="0"/>
    <n v="5"/>
    <n v="208.96"/>
    <n v="17"/>
    <n v="535.31000000000006"/>
  </r>
  <r>
    <x v="275"/>
    <x v="274"/>
    <n v="0"/>
    <n v="0"/>
    <n v="0"/>
    <n v="0"/>
    <n v="0"/>
    <n v="0"/>
    <n v="1"/>
    <n v="7.86"/>
  </r>
  <r>
    <x v="276"/>
    <x v="275"/>
    <n v="243"/>
    <n v="3443.5699999999997"/>
    <n v="0"/>
    <n v="0"/>
    <n v="243"/>
    <n v="3443.5699999999997"/>
    <n v="24"/>
    <n v="369.42999999999995"/>
  </r>
  <r>
    <x v="277"/>
    <x v="276"/>
    <n v="6"/>
    <n v="91.74"/>
    <n v="0"/>
    <n v="0"/>
    <n v="6"/>
    <n v="91.74"/>
    <n v="5"/>
    <n v="123.59"/>
  </r>
  <r>
    <x v="278"/>
    <x v="277"/>
    <n v="9"/>
    <n v="194.04"/>
    <n v="0"/>
    <n v="0"/>
    <n v="9"/>
    <n v="194.04"/>
    <n v="41"/>
    <n v="1357.55"/>
  </r>
  <r>
    <x v="279"/>
    <x v="278"/>
    <n v="79"/>
    <n v="2302.19"/>
    <n v="0"/>
    <n v="0"/>
    <n v="79"/>
    <n v="2302.19"/>
    <n v="166"/>
    <n v="4824.88"/>
  </r>
  <r>
    <x v="280"/>
    <x v="279"/>
    <n v="1"/>
    <n v="61.57"/>
    <n v="0"/>
    <n v="0"/>
    <n v="1"/>
    <n v="61.57"/>
    <n v="1"/>
    <n v="56.23"/>
  </r>
  <r>
    <x v="281"/>
    <x v="280"/>
    <n v="188"/>
    <n v="2349.3199999999997"/>
    <n v="0"/>
    <n v="0"/>
    <n v="188"/>
    <n v="2349.3199999999997"/>
    <n v="57"/>
    <n v="851.27"/>
  </r>
  <r>
    <x v="282"/>
    <x v="281"/>
    <n v="0"/>
    <n v="0"/>
    <n v="0"/>
    <n v="0"/>
    <n v="0"/>
    <n v="0"/>
    <n v="2"/>
    <n v="51.28"/>
  </r>
  <r>
    <x v="283"/>
    <x v="282"/>
    <n v="0"/>
    <n v="0"/>
    <n v="0"/>
    <n v="0"/>
    <n v="0"/>
    <n v="0"/>
    <n v="11"/>
    <n v="1190.25"/>
  </r>
  <r>
    <x v="284"/>
    <x v="283"/>
    <n v="16"/>
    <n v="1706.5"/>
    <n v="0"/>
    <n v="0"/>
    <n v="16"/>
    <n v="1706.5"/>
    <n v="12"/>
    <n v="1164.5"/>
  </r>
  <r>
    <x v="285"/>
    <x v="284"/>
    <n v="10"/>
    <n v="852.7"/>
    <n v="0"/>
    <n v="0"/>
    <n v="10"/>
    <n v="852.7"/>
    <n v="20"/>
    <n v="1474.56"/>
  </r>
  <r>
    <x v="286"/>
    <x v="285"/>
    <n v="1"/>
    <n v="58.2"/>
    <n v="0"/>
    <n v="0"/>
    <n v="1"/>
    <n v="58.2"/>
    <n v="7"/>
    <n v="401.1"/>
  </r>
  <r>
    <x v="287"/>
    <x v="286"/>
    <n v="0"/>
    <n v="0"/>
    <n v="0"/>
    <n v="0"/>
    <n v="0"/>
    <n v="0"/>
    <n v="0"/>
    <n v="0"/>
  </r>
  <r>
    <x v="288"/>
    <x v="287"/>
    <n v="28"/>
    <n v="720.15000000000009"/>
    <n v="0"/>
    <n v="0"/>
    <n v="28"/>
    <n v="720.15000000000009"/>
    <n v="211"/>
    <n v="4333.54"/>
  </r>
  <r>
    <x v="289"/>
    <x v="288"/>
    <n v="20"/>
    <n v="490.2"/>
    <n v="0"/>
    <n v="0"/>
    <n v="20"/>
    <n v="490.2"/>
    <n v="54"/>
    <n v="1323.3999999999999"/>
  </r>
  <r>
    <x v="290"/>
    <x v="289"/>
    <n v="121"/>
    <n v="2369.2999999999997"/>
    <n v="0"/>
    <n v="0"/>
    <n v="121"/>
    <n v="2369.2999999999997"/>
    <n v="179"/>
    <n v="2927.3399999999997"/>
  </r>
  <r>
    <x v="291"/>
    <x v="290"/>
    <n v="0"/>
    <n v="0"/>
    <n v="0"/>
    <n v="0"/>
    <n v="0"/>
    <n v="0"/>
    <n v="10"/>
    <n v="1189.24"/>
  </r>
  <r>
    <x v="292"/>
    <x v="291"/>
    <n v="0"/>
    <n v="0"/>
    <n v="0"/>
    <n v="0"/>
    <n v="0"/>
    <n v="0"/>
    <n v="0"/>
    <n v="0"/>
  </r>
  <r>
    <x v="293"/>
    <x v="292"/>
    <n v="1"/>
    <n v="49.1"/>
    <n v="0"/>
    <n v="0"/>
    <n v="1"/>
    <n v="49.1"/>
    <n v="0"/>
    <n v="0"/>
  </r>
  <r>
    <x v="294"/>
    <x v="293"/>
    <n v="0"/>
    <n v="0"/>
    <n v="0"/>
    <n v="0"/>
    <n v="0"/>
    <n v="0"/>
    <n v="55"/>
    <n v="1090.33"/>
  </r>
  <r>
    <x v="295"/>
    <x v="294"/>
    <n v="2"/>
    <n v="12.32"/>
    <n v="0"/>
    <n v="0"/>
    <n v="2"/>
    <n v="12.32"/>
    <n v="1"/>
    <n v="11.83"/>
  </r>
  <r>
    <x v="296"/>
    <x v="295"/>
    <n v="8"/>
    <n v="115.44"/>
    <n v="0"/>
    <n v="0"/>
    <n v="8"/>
    <n v="115.44"/>
    <n v="12"/>
    <n v="173.94"/>
  </r>
  <r>
    <x v="297"/>
    <x v="296"/>
    <n v="0"/>
    <n v="0"/>
    <n v="0"/>
    <n v="0"/>
    <n v="0"/>
    <n v="0"/>
    <n v="1"/>
    <n v="70.88"/>
  </r>
  <r>
    <x v="298"/>
    <x v="297"/>
    <n v="0"/>
    <n v="0"/>
    <n v="0"/>
    <n v="0"/>
    <n v="0"/>
    <n v="0"/>
    <n v="1"/>
    <n v="30.37"/>
  </r>
  <r>
    <x v="299"/>
    <x v="298"/>
    <n v="5"/>
    <n v="425.66999999999996"/>
    <n v="0"/>
    <n v="0"/>
    <n v="5"/>
    <n v="425.66999999999996"/>
    <n v="16"/>
    <n v="1195.8599999999999"/>
  </r>
  <r>
    <x v="300"/>
    <x v="299"/>
    <n v="3"/>
    <n v="106.26"/>
    <n v="0"/>
    <n v="0"/>
    <n v="3"/>
    <n v="106.26"/>
    <n v="0"/>
    <n v="0"/>
  </r>
  <r>
    <x v="301"/>
    <x v="300"/>
    <n v="110"/>
    <n v="1527.2000000000003"/>
    <n v="1"/>
    <n v="24.9"/>
    <n v="111"/>
    <n v="1552.1000000000004"/>
    <n v="354"/>
    <n v="5782.91"/>
  </r>
  <r>
    <x v="302"/>
    <x v="301"/>
    <n v="2"/>
    <n v="21.41"/>
    <n v="0"/>
    <n v="0"/>
    <n v="2"/>
    <n v="21.41"/>
    <n v="3"/>
    <n v="37.090000000000003"/>
  </r>
  <r>
    <x v="303"/>
    <x v="302"/>
    <n v="44"/>
    <n v="1593.6399999999999"/>
    <n v="0"/>
    <n v="0"/>
    <n v="44"/>
    <n v="1593.6399999999999"/>
    <n v="69"/>
    <n v="2737.92"/>
  </r>
  <r>
    <x v="304"/>
    <x v="303"/>
    <n v="15"/>
    <n v="379.73999999999995"/>
    <n v="0"/>
    <n v="0"/>
    <n v="15"/>
    <n v="379.73999999999995"/>
    <n v="23"/>
    <n v="567.01"/>
  </r>
  <r>
    <x v="305"/>
    <x v="304"/>
    <n v="520"/>
    <n v="5611.14"/>
    <n v="0"/>
    <n v="0"/>
    <n v="520"/>
    <n v="5611.14"/>
    <n v="2093"/>
    <n v="17037.66"/>
  </r>
  <r>
    <x v="306"/>
    <x v="305"/>
    <n v="16"/>
    <n v="526.41"/>
    <n v="0"/>
    <n v="0"/>
    <n v="16"/>
    <n v="526.41"/>
    <n v="81"/>
    <n v="2664.8700000000003"/>
  </r>
  <r>
    <x v="307"/>
    <x v="306"/>
    <n v="4"/>
    <n v="187.86"/>
    <n v="0"/>
    <n v="0"/>
    <n v="4"/>
    <n v="187.86"/>
    <n v="2"/>
    <n v="97.539999999999992"/>
  </r>
  <r>
    <x v="308"/>
    <x v="307"/>
    <n v="0"/>
    <n v="0"/>
    <n v="0"/>
    <n v="0"/>
    <n v="0"/>
    <n v="0"/>
    <n v="1"/>
    <n v="24.92"/>
  </r>
  <r>
    <x v="309"/>
    <x v="308"/>
    <n v="12"/>
    <n v="236.48000000000002"/>
    <n v="0"/>
    <n v="0"/>
    <n v="12"/>
    <n v="236.48000000000002"/>
    <n v="61"/>
    <n v="1012.73"/>
  </r>
  <r>
    <x v="310"/>
    <x v="309"/>
    <n v="20"/>
    <n v="366.40999999999997"/>
    <n v="0"/>
    <n v="0"/>
    <n v="20"/>
    <n v="366.40999999999997"/>
    <n v="58"/>
    <n v="961.99"/>
  </r>
  <r>
    <x v="311"/>
    <x v="310"/>
    <n v="32"/>
    <n v="608.34"/>
    <n v="14"/>
    <n v="348.6"/>
    <n v="46"/>
    <n v="956.94"/>
    <n v="232"/>
    <n v="3824.8900000000003"/>
  </r>
  <r>
    <x v="312"/>
    <x v="311"/>
    <n v="3"/>
    <n v="123.25999999999999"/>
    <n v="0"/>
    <n v="0"/>
    <n v="3"/>
    <n v="123.25999999999999"/>
    <n v="17"/>
    <n v="692.5"/>
  </r>
  <r>
    <x v="313"/>
    <x v="312"/>
    <n v="10"/>
    <n v="136.38999999999999"/>
    <n v="0"/>
    <n v="0"/>
    <n v="10"/>
    <n v="136.38999999999999"/>
    <n v="5"/>
    <n v="86.449999999999989"/>
  </r>
  <r>
    <x v="314"/>
    <x v="313"/>
    <n v="114"/>
    <n v="1866.3"/>
    <n v="17"/>
    <n v="418.80999999999989"/>
    <n v="131"/>
    <n v="2285.1099999999997"/>
    <n v="1061"/>
    <n v="17733.79"/>
  </r>
  <r>
    <x v="315"/>
    <x v="314"/>
    <n v="88"/>
    <n v="3901.1"/>
    <n v="0"/>
    <n v="0"/>
    <n v="88"/>
    <n v="3901.1"/>
    <n v="3"/>
    <n v="122.7"/>
  </r>
  <r>
    <x v="316"/>
    <x v="315"/>
    <n v="9"/>
    <n v="72.989999999999995"/>
    <n v="0"/>
    <n v="0"/>
    <n v="9"/>
    <n v="72.989999999999995"/>
    <n v="32"/>
    <n v="261.95999999999998"/>
  </r>
  <r>
    <x v="317"/>
    <x v="316"/>
    <n v="74"/>
    <n v="6564.6100000000006"/>
    <n v="0"/>
    <n v="0"/>
    <n v="74"/>
    <n v="6564.6100000000006"/>
    <n v="13"/>
    <n v="1278.33"/>
  </r>
  <r>
    <x v="318"/>
    <x v="317"/>
    <n v="4"/>
    <n v="380.8"/>
    <n v="0"/>
    <n v="0"/>
    <n v="4"/>
    <n v="380.8"/>
    <n v="55"/>
    <n v="4532.2699999999995"/>
  </r>
  <r>
    <x v="319"/>
    <x v="318"/>
    <n v="148"/>
    <n v="1752.33"/>
    <n v="0"/>
    <n v="0"/>
    <n v="148"/>
    <n v="1752.33"/>
    <n v="654"/>
    <n v="6992"/>
  </r>
  <r>
    <x v="320"/>
    <x v="319"/>
    <n v="1"/>
    <n v="58.74"/>
    <n v="0"/>
    <n v="0"/>
    <n v="1"/>
    <n v="58.74"/>
    <n v="0"/>
    <n v="0"/>
  </r>
  <r>
    <x v="321"/>
    <x v="320"/>
    <n v="2"/>
    <n v="88.34"/>
    <n v="0"/>
    <n v="0"/>
    <n v="2"/>
    <n v="88.34"/>
    <n v="9"/>
    <n v="345.89000000000004"/>
  </r>
  <r>
    <x v="322"/>
    <x v="321"/>
    <n v="623"/>
    <n v="10619.670000000002"/>
    <n v="0"/>
    <n v="0"/>
    <n v="623"/>
    <n v="10619.670000000002"/>
    <n v="1718"/>
    <n v="28242.18"/>
  </r>
  <r>
    <x v="323"/>
    <x v="322"/>
    <n v="2"/>
    <n v="96.87"/>
    <n v="0"/>
    <n v="0"/>
    <n v="2"/>
    <n v="96.87"/>
    <n v="1"/>
    <n v="31.75"/>
  </r>
  <r>
    <x v="324"/>
    <x v="323"/>
    <n v="1"/>
    <n v="160.65"/>
    <n v="0"/>
    <n v="0"/>
    <n v="1"/>
    <n v="160.65"/>
    <n v="0"/>
    <n v="0"/>
  </r>
  <r>
    <x v="325"/>
    <x v="324"/>
    <n v="569"/>
    <n v="2809.4100000000003"/>
    <n v="0"/>
    <n v="0"/>
    <n v="569"/>
    <n v="2809.4100000000003"/>
    <n v="686"/>
    <n v="2945.08"/>
  </r>
  <r>
    <x v="326"/>
    <x v="325"/>
    <n v="144"/>
    <n v="920.59"/>
    <n v="0"/>
    <n v="0"/>
    <n v="144"/>
    <n v="920.59"/>
    <n v="2465"/>
    <n v="9950.2499999999982"/>
  </r>
  <r>
    <x v="327"/>
    <x v="326"/>
    <n v="9"/>
    <n v="33.79"/>
    <n v="0"/>
    <n v="0"/>
    <n v="9"/>
    <n v="33.79"/>
    <n v="14"/>
    <n v="94.96"/>
  </r>
  <r>
    <x v="328"/>
    <x v="327"/>
    <n v="1"/>
    <n v="62.18"/>
    <n v="0"/>
    <n v="0"/>
    <n v="1"/>
    <n v="62.18"/>
    <n v="0"/>
    <n v="0"/>
  </r>
  <r>
    <x v="329"/>
    <x v="328"/>
    <n v="306"/>
    <n v="3686.1200000000003"/>
    <n v="0"/>
    <n v="0"/>
    <n v="306"/>
    <n v="3686.1200000000003"/>
    <n v="1"/>
    <n v="12.4"/>
  </r>
  <r>
    <x v="330"/>
    <x v="329"/>
    <n v="13"/>
    <n v="546.92000000000007"/>
    <n v="0"/>
    <n v="0"/>
    <n v="13"/>
    <n v="546.92000000000007"/>
    <n v="5"/>
    <n v="242.62"/>
  </r>
  <r>
    <x v="331"/>
    <x v="330"/>
    <n v="0"/>
    <n v="0"/>
    <n v="0"/>
    <n v="0"/>
    <n v="0"/>
    <n v="0"/>
    <n v="13"/>
    <n v="52.36"/>
  </r>
  <r>
    <x v="332"/>
    <x v="331"/>
    <n v="264"/>
    <n v="2285.4"/>
    <n v="0"/>
    <n v="0"/>
    <n v="264"/>
    <n v="2285.4"/>
    <n v="0"/>
    <n v="0"/>
  </r>
  <r>
    <x v="333"/>
    <x v="332"/>
    <n v="22"/>
    <n v="908.24000000000012"/>
    <n v="0"/>
    <n v="0"/>
    <n v="22"/>
    <n v="908.24000000000012"/>
    <n v="0"/>
    <n v="0"/>
  </r>
  <r>
    <x v="334"/>
    <x v="333"/>
    <n v="35"/>
    <n v="1273.7199999999998"/>
    <n v="0"/>
    <n v="0"/>
    <n v="35"/>
    <n v="1273.7199999999998"/>
    <n v="0"/>
    <n v="0"/>
  </r>
  <r>
    <x v="335"/>
    <x v="334"/>
    <n v="3"/>
    <n v="64.400000000000006"/>
    <n v="0"/>
    <n v="0"/>
    <n v="3"/>
    <n v="64.400000000000006"/>
    <n v="0"/>
    <n v="0"/>
  </r>
  <r>
    <x v="336"/>
    <x v="335"/>
    <n v="4"/>
    <n v="170.14999999999998"/>
    <n v="0"/>
    <n v="0"/>
    <n v="4"/>
    <n v="170.14999999999998"/>
    <n v="0"/>
    <n v="0"/>
  </r>
  <r>
    <x v="337"/>
    <x v="336"/>
    <n v="1"/>
    <n v="32.369999999999997"/>
    <n v="0"/>
    <n v="0"/>
    <n v="1"/>
    <n v="32.369999999999997"/>
    <n v="0"/>
    <n v="0"/>
  </r>
  <r>
    <x v="338"/>
    <x v="337"/>
    <n v="6"/>
    <n v="176.59"/>
    <n v="0"/>
    <n v="0"/>
    <n v="6"/>
    <n v="176.59"/>
    <n v="0"/>
    <n v="0"/>
  </r>
  <r>
    <x v="339"/>
    <x v="338"/>
    <n v="2"/>
    <n v="65.599999999999994"/>
    <n v="0"/>
    <n v="0"/>
    <n v="2"/>
    <n v="65.599999999999994"/>
    <n v="0"/>
    <n v="0"/>
  </r>
  <r>
    <x v="340"/>
    <x v="339"/>
    <n v="2"/>
    <n v="67.09"/>
    <n v="0"/>
    <n v="0"/>
    <n v="2"/>
    <n v="67.09"/>
    <n v="0"/>
    <n v="0"/>
  </r>
  <r>
    <x v="341"/>
    <x v="340"/>
    <n v="17"/>
    <n v="315.93"/>
    <n v="0"/>
    <n v="0"/>
    <n v="17"/>
    <n v="315.93"/>
    <n v="0"/>
    <n v="0"/>
  </r>
  <r>
    <x v="342"/>
    <x v="341"/>
    <n v="315"/>
    <n v="30.99"/>
    <n v="0"/>
    <n v="0"/>
    <n v="315"/>
    <n v="30.99"/>
    <n v="0"/>
    <n v="0"/>
  </r>
  <r>
    <x v="343"/>
    <x v="342"/>
    <n v="4"/>
    <n v="15.36"/>
    <n v="0"/>
    <n v="0"/>
    <n v="4"/>
    <n v="15.36"/>
    <n v="0"/>
    <n v="0"/>
  </r>
  <r>
    <x v="344"/>
    <x v="343"/>
    <n v="3"/>
    <n v="400.21"/>
    <n v="0"/>
    <n v="0"/>
    <n v="3"/>
    <n v="400.21"/>
    <n v="0"/>
    <n v="0"/>
  </r>
  <r>
    <x v="345"/>
    <x v="344"/>
    <n v="39"/>
    <n v="863.03000000000009"/>
    <n v="0"/>
    <n v="0"/>
    <n v="39"/>
    <n v="863.03000000000009"/>
    <n v="0"/>
    <n v="0"/>
  </r>
  <r>
    <x v="346"/>
    <x v="345"/>
    <n v="24"/>
    <n v="122.81"/>
    <n v="0"/>
    <n v="0"/>
    <n v="24"/>
    <n v="122.81"/>
    <n v="0"/>
    <n v="0"/>
  </r>
  <r>
    <x v="347"/>
    <x v="346"/>
    <n v="18"/>
    <n v="119.77"/>
    <n v="0"/>
    <n v="0"/>
    <n v="18"/>
    <n v="119.77"/>
    <n v="0"/>
    <n v="0"/>
  </r>
  <r>
    <x v="348"/>
    <x v="347"/>
    <n v="423"/>
    <n v="2621.3000000000002"/>
    <n v="0"/>
    <n v="0"/>
    <n v="423"/>
    <n v="2621.3000000000002"/>
    <n v="0"/>
    <n v="0"/>
  </r>
  <r>
    <x v="349"/>
    <x v="348"/>
    <n v="93"/>
    <n v="2805.25"/>
    <n v="0"/>
    <n v="0"/>
    <n v="93"/>
    <n v="2805.25"/>
    <n v="0"/>
    <n v="0"/>
  </r>
  <r>
    <x v="350"/>
    <x v="349"/>
    <n v="234"/>
    <n v="3595.7999999999997"/>
    <n v="0"/>
    <n v="0"/>
    <n v="234"/>
    <n v="3595.7999999999997"/>
    <n v="0"/>
    <n v="0"/>
  </r>
  <r>
    <x v="351"/>
    <x v="350"/>
    <n v="2"/>
    <n v="102.32"/>
    <n v="0"/>
    <n v="0"/>
    <n v="2"/>
    <n v="102.32"/>
    <n v="0"/>
    <n v="0"/>
  </r>
  <r>
    <x v="352"/>
    <x v="351"/>
    <n v="21"/>
    <n v="869.78"/>
    <n v="0"/>
    <n v="0"/>
    <n v="21"/>
    <n v="869.78"/>
    <n v="0"/>
    <n v="0"/>
  </r>
  <r>
    <x v="353"/>
    <x v="352"/>
    <n v="101"/>
    <n v="1663.64"/>
    <n v="0"/>
    <n v="0"/>
    <n v="101"/>
    <n v="1663.64"/>
    <n v="0"/>
    <n v="0"/>
  </r>
  <r>
    <x v="354"/>
    <x v="353"/>
    <n v="372"/>
    <n v="6196.29"/>
    <n v="0"/>
    <n v="0"/>
    <n v="372"/>
    <n v="6196.29"/>
    <n v="0"/>
    <n v="0"/>
  </r>
  <r>
    <x v="355"/>
    <x v="354"/>
    <n v="137"/>
    <n v="2234.4699999999998"/>
    <n v="0"/>
    <n v="0"/>
    <n v="137"/>
    <n v="2234.4699999999998"/>
    <n v="0"/>
    <n v="0"/>
  </r>
  <r>
    <x v="356"/>
    <x v="355"/>
    <n v="3"/>
    <n v="115.5"/>
    <n v="0"/>
    <n v="0"/>
    <n v="3"/>
    <n v="115.5"/>
    <n v="0"/>
    <n v="0"/>
  </r>
  <r>
    <x v="357"/>
    <x v="356"/>
    <n v="74"/>
    <n v="2091.16"/>
    <n v="0"/>
    <n v="0"/>
    <n v="74"/>
    <n v="2091.16"/>
    <n v="0"/>
    <n v="0"/>
  </r>
  <r>
    <x v="358"/>
    <x v="357"/>
    <n v="13"/>
    <n v="191.48999999999998"/>
    <n v="0"/>
    <n v="0"/>
    <n v="13"/>
    <n v="191.48999999999998"/>
    <n v="0"/>
    <n v="0"/>
  </r>
  <r>
    <x v="0"/>
    <x v="0"/>
    <m/>
    <m/>
    <m/>
    <m/>
    <m/>
    <m/>
    <m/>
    <m/>
  </r>
  <r>
    <x v="1"/>
    <x v="1"/>
    <n v="1117"/>
    <n v="16410.86"/>
    <n v="1"/>
    <n v="19.899999999999999"/>
    <n v="1118"/>
    <n v="16430.760000000002"/>
    <n v="31"/>
    <n v="404.70000000000005"/>
  </r>
  <r>
    <x v="3"/>
    <x v="3"/>
    <n v="2"/>
    <n v="22.85"/>
    <n v="0"/>
    <n v="0"/>
    <n v="2"/>
    <n v="22.85"/>
    <n v="2"/>
    <n v="35.729999999999997"/>
  </r>
  <r>
    <x v="4"/>
    <x v="4"/>
    <n v="0"/>
    <n v="0"/>
    <n v="0"/>
    <n v="0"/>
    <n v="0"/>
    <n v="0"/>
    <n v="4"/>
    <n v="43.540000000000006"/>
  </r>
  <r>
    <x v="5"/>
    <x v="5"/>
    <n v="0"/>
    <n v="0"/>
    <n v="0"/>
    <n v="0"/>
    <n v="0"/>
    <n v="0"/>
    <n v="2"/>
    <n v="32.58"/>
  </r>
  <r>
    <x v="6"/>
    <x v="6"/>
    <n v="23"/>
    <n v="131.27000000000001"/>
    <n v="0"/>
    <n v="0"/>
    <n v="23"/>
    <n v="131.27000000000001"/>
    <n v="198"/>
    <n v="1106.56"/>
  </r>
  <r>
    <x v="8"/>
    <x v="8"/>
    <n v="0"/>
    <n v="0"/>
    <n v="0"/>
    <n v="0"/>
    <n v="0"/>
    <n v="0"/>
    <n v="0"/>
    <n v="0"/>
  </r>
  <r>
    <x v="9"/>
    <x v="9"/>
    <n v="0"/>
    <n v="0"/>
    <n v="38"/>
    <n v="1231.71"/>
    <n v="38"/>
    <n v="1231.71"/>
    <n v="195"/>
    <n v="4239.5800000000008"/>
  </r>
  <r>
    <x v="10"/>
    <x v="10"/>
    <n v="1"/>
    <n v="41.24"/>
    <n v="0"/>
    <n v="0"/>
    <n v="1"/>
    <n v="41.24"/>
    <n v="0"/>
    <n v="0"/>
  </r>
  <r>
    <x v="11"/>
    <x v="11"/>
    <n v="0"/>
    <n v="0"/>
    <n v="0"/>
    <n v="0"/>
    <n v="0"/>
    <n v="0"/>
    <n v="5"/>
    <n v="32.25"/>
  </r>
  <r>
    <x v="12"/>
    <x v="12"/>
    <n v="0"/>
    <n v="0"/>
    <n v="0"/>
    <n v="0"/>
    <n v="0"/>
    <n v="0"/>
    <n v="0"/>
    <n v="0"/>
  </r>
  <r>
    <x v="13"/>
    <x v="13"/>
    <n v="3"/>
    <n v="61.3"/>
    <n v="0"/>
    <n v="0"/>
    <n v="3"/>
    <n v="61.3"/>
    <n v="4"/>
    <n v="69.7"/>
  </r>
  <r>
    <x v="14"/>
    <x v="14"/>
    <n v="3"/>
    <n v="73.53"/>
    <n v="0"/>
    <n v="0"/>
    <n v="3"/>
    <n v="73.53"/>
    <n v="2"/>
    <n v="49.02"/>
  </r>
  <r>
    <x v="15"/>
    <x v="15"/>
    <n v="424"/>
    <n v="7577.95"/>
    <n v="0"/>
    <n v="0"/>
    <n v="424"/>
    <n v="7577.95"/>
    <n v="374"/>
    <n v="6370.16"/>
  </r>
  <r>
    <x v="16"/>
    <x v="16"/>
    <n v="1"/>
    <n v="27.03"/>
    <n v="96"/>
    <n v="2882.4000000000051"/>
    <n v="97"/>
    <n v="2909.4300000000053"/>
    <n v="529"/>
    <n v="10857.32"/>
  </r>
  <r>
    <x v="17"/>
    <x v="17"/>
    <n v="3"/>
    <n v="147.35"/>
    <n v="0"/>
    <n v="0"/>
    <n v="3"/>
    <n v="147.35"/>
    <n v="1"/>
    <n v="53.22"/>
  </r>
  <r>
    <x v="18"/>
    <x v="18"/>
    <n v="1"/>
    <n v="10.57"/>
    <n v="0"/>
    <n v="0"/>
    <n v="1"/>
    <n v="10.57"/>
    <n v="3"/>
    <n v="31.71"/>
  </r>
  <r>
    <x v="359"/>
    <x v="358"/>
    <n v="0"/>
    <n v="0"/>
    <n v="0"/>
    <n v="0"/>
    <n v="0"/>
    <n v="0"/>
    <n v="1"/>
    <n v="17.07"/>
  </r>
  <r>
    <x v="19"/>
    <x v="19"/>
    <n v="0"/>
    <n v="0"/>
    <n v="0"/>
    <n v="0"/>
    <n v="0"/>
    <n v="0"/>
    <n v="-3"/>
    <n v="-28.5"/>
  </r>
  <r>
    <x v="20"/>
    <x v="20"/>
    <n v="0"/>
    <n v="0"/>
    <n v="0"/>
    <n v="0"/>
    <n v="0"/>
    <n v="0"/>
    <n v="1"/>
    <n v="20.41"/>
  </r>
  <r>
    <x v="21"/>
    <x v="21"/>
    <n v="0"/>
    <n v="0"/>
    <n v="0"/>
    <n v="0"/>
    <n v="0"/>
    <n v="0"/>
    <n v="34"/>
    <n v="192.44"/>
  </r>
  <r>
    <x v="24"/>
    <x v="24"/>
    <n v="0"/>
    <n v="0"/>
    <n v="0"/>
    <n v="0"/>
    <n v="0"/>
    <n v="0"/>
    <n v="1"/>
    <n v="3.22"/>
  </r>
  <r>
    <x v="25"/>
    <x v="25"/>
    <n v="24"/>
    <n v="784.8"/>
    <n v="0"/>
    <n v="0"/>
    <n v="24"/>
    <n v="784.8"/>
    <n v="103"/>
    <n v="2946.83"/>
  </r>
  <r>
    <x v="360"/>
    <x v="359"/>
    <n v="1"/>
    <n v="6.73"/>
    <n v="0"/>
    <n v="0"/>
    <n v="1"/>
    <n v="6.73"/>
    <n v="0"/>
    <n v="0"/>
  </r>
  <r>
    <x v="361"/>
    <x v="360"/>
    <n v="1"/>
    <n v="4.83"/>
    <n v="0"/>
    <n v="0"/>
    <n v="1"/>
    <n v="4.83"/>
    <n v="0"/>
    <n v="0"/>
  </r>
  <r>
    <x v="362"/>
    <x v="361"/>
    <n v="0"/>
    <n v="0"/>
    <n v="0"/>
    <n v="0"/>
    <n v="0"/>
    <n v="0"/>
    <n v="2"/>
    <n v="216.5"/>
  </r>
  <r>
    <x v="27"/>
    <x v="27"/>
    <n v="1"/>
    <n v="16.309999999999999"/>
    <n v="0"/>
    <n v="0"/>
    <n v="1"/>
    <n v="16.309999999999999"/>
    <n v="0"/>
    <n v="0"/>
  </r>
  <r>
    <x v="28"/>
    <x v="28"/>
    <n v="293"/>
    <n v="4779.6299999999992"/>
    <n v="7"/>
    <n v="155.61000000000001"/>
    <n v="300"/>
    <n v="4935.2399999999989"/>
    <n v="468"/>
    <n v="7132.71"/>
  </r>
  <r>
    <x v="29"/>
    <x v="29"/>
    <n v="0"/>
    <n v="0"/>
    <n v="0"/>
    <n v="0"/>
    <n v="0"/>
    <n v="0"/>
    <n v="0"/>
    <n v="0"/>
  </r>
  <r>
    <x v="30"/>
    <x v="30"/>
    <n v="1"/>
    <n v="9.5399999999999991"/>
    <n v="0"/>
    <n v="0"/>
    <n v="1"/>
    <n v="9.5399999999999991"/>
    <n v="0"/>
    <n v="0"/>
  </r>
  <r>
    <x v="363"/>
    <x v="362"/>
    <n v="0"/>
    <n v="0"/>
    <n v="0"/>
    <n v="0"/>
    <n v="0"/>
    <n v="0"/>
    <n v="1"/>
    <n v="16.72"/>
  </r>
  <r>
    <x v="364"/>
    <x v="363"/>
    <n v="2"/>
    <n v="19.03"/>
    <n v="0"/>
    <n v="0"/>
    <n v="2"/>
    <n v="19.03"/>
    <n v="0"/>
    <n v="0"/>
  </r>
  <r>
    <x v="365"/>
    <x v="364"/>
    <n v="1"/>
    <n v="11.39"/>
    <n v="0"/>
    <n v="0"/>
    <n v="1"/>
    <n v="11.39"/>
    <n v="0"/>
    <n v="0"/>
  </r>
  <r>
    <x v="32"/>
    <x v="32"/>
    <n v="2"/>
    <n v="10.81"/>
    <n v="0"/>
    <n v="0"/>
    <n v="2"/>
    <n v="10.81"/>
    <n v="0"/>
    <n v="0"/>
  </r>
  <r>
    <x v="33"/>
    <x v="33"/>
    <n v="11"/>
    <n v="244.89"/>
    <n v="0"/>
    <n v="0"/>
    <n v="11"/>
    <n v="244.89"/>
    <n v="42"/>
    <n v="878.33"/>
  </r>
  <r>
    <x v="34"/>
    <x v="34"/>
    <n v="1"/>
    <n v="21.26"/>
    <n v="5"/>
    <n v="234.5"/>
    <n v="6"/>
    <n v="255.76"/>
    <n v="2"/>
    <n v="70.34"/>
  </r>
  <r>
    <x v="35"/>
    <x v="35"/>
    <n v="9"/>
    <n v="891.66"/>
    <n v="0"/>
    <n v="0"/>
    <n v="9"/>
    <n v="891.66"/>
    <n v="7"/>
    <n v="566.9"/>
  </r>
  <r>
    <x v="366"/>
    <x v="365"/>
    <n v="1"/>
    <n v="9.1300000000000008"/>
    <n v="0"/>
    <n v="0"/>
    <n v="1"/>
    <n v="9.1300000000000008"/>
    <n v="0"/>
    <n v="0"/>
  </r>
  <r>
    <x v="36"/>
    <x v="36"/>
    <n v="0"/>
    <n v="0"/>
    <n v="0"/>
    <n v="0"/>
    <n v="0"/>
    <n v="0"/>
    <n v="-1"/>
    <n v="-17.09"/>
  </r>
  <r>
    <x v="37"/>
    <x v="37"/>
    <n v="3"/>
    <n v="10.220000000000001"/>
    <n v="0"/>
    <n v="0"/>
    <n v="3"/>
    <n v="10.220000000000001"/>
    <n v="9"/>
    <n v="30.95"/>
  </r>
  <r>
    <x v="39"/>
    <x v="39"/>
    <n v="4"/>
    <n v="66.56"/>
    <n v="1084"/>
    <n v="21587.910000000149"/>
    <n v="1088"/>
    <n v="21654.47000000015"/>
    <n v="2309"/>
    <n v="31490.19"/>
  </r>
  <r>
    <x v="40"/>
    <x v="40"/>
    <n v="13"/>
    <n v="50.63"/>
    <n v="0"/>
    <n v="0"/>
    <n v="13"/>
    <n v="50.63"/>
    <n v="2"/>
    <n v="11.51"/>
  </r>
  <r>
    <x v="41"/>
    <x v="41"/>
    <n v="0"/>
    <n v="0"/>
    <n v="0"/>
    <n v="0"/>
    <n v="0"/>
    <n v="0"/>
    <n v="30"/>
    <n v="203.06999999999996"/>
  </r>
  <r>
    <x v="42"/>
    <x v="42"/>
    <n v="5"/>
    <n v="29.95"/>
    <n v="0"/>
    <n v="0"/>
    <n v="5"/>
    <n v="29.95"/>
    <n v="1"/>
    <n v="5.46"/>
  </r>
  <r>
    <x v="43"/>
    <x v="43"/>
    <n v="0"/>
    <n v="0"/>
    <n v="0"/>
    <n v="0"/>
    <n v="0"/>
    <n v="0"/>
    <n v="1"/>
    <n v="18.29"/>
  </r>
  <r>
    <x v="367"/>
    <x v="366"/>
    <n v="0"/>
    <n v="0"/>
    <n v="0"/>
    <n v="0"/>
    <n v="0"/>
    <n v="0"/>
    <n v="1"/>
    <n v="18.93"/>
  </r>
  <r>
    <x v="44"/>
    <x v="44"/>
    <n v="5"/>
    <n v="145.4"/>
    <n v="346"/>
    <n v="12658.719999999917"/>
    <n v="351"/>
    <n v="12804.119999999917"/>
    <n v="677"/>
    <n v="21012.58"/>
  </r>
  <r>
    <x v="45"/>
    <x v="45"/>
    <n v="69"/>
    <n v="1416.1100000000001"/>
    <n v="0"/>
    <n v="0"/>
    <n v="69"/>
    <n v="1416.1100000000001"/>
    <n v="71"/>
    <n v="1552.3899999999999"/>
  </r>
  <r>
    <x v="368"/>
    <x v="367"/>
    <n v="0"/>
    <n v="0"/>
    <n v="0"/>
    <n v="0"/>
    <n v="0"/>
    <n v="0"/>
    <n v="0"/>
    <n v="0"/>
  </r>
  <r>
    <x v="46"/>
    <x v="46"/>
    <n v="0"/>
    <n v="0"/>
    <n v="0"/>
    <n v="0"/>
    <n v="0"/>
    <n v="0"/>
    <n v="12"/>
    <n v="341.40000000000003"/>
  </r>
  <r>
    <x v="48"/>
    <x v="48"/>
    <n v="0"/>
    <n v="0"/>
    <n v="31"/>
    <n v="1446.9000000000005"/>
    <n v="31"/>
    <n v="1446.9000000000005"/>
    <n v="228"/>
    <n v="6544.37"/>
  </r>
  <r>
    <x v="369"/>
    <x v="368"/>
    <n v="0"/>
    <n v="0"/>
    <n v="0"/>
    <n v="0"/>
    <n v="0"/>
    <n v="0"/>
    <n v="1"/>
    <n v="18.489999999999998"/>
  </r>
  <r>
    <x v="49"/>
    <x v="49"/>
    <n v="10"/>
    <n v="36.22"/>
    <n v="0"/>
    <n v="0"/>
    <n v="10"/>
    <n v="36.22"/>
    <n v="0"/>
    <n v="0"/>
  </r>
  <r>
    <x v="50"/>
    <x v="50"/>
    <n v="1"/>
    <n v="20.92"/>
    <n v="0"/>
    <n v="0"/>
    <n v="1"/>
    <n v="20.92"/>
    <n v="-1"/>
    <n v="-15.29"/>
  </r>
  <r>
    <x v="51"/>
    <x v="51"/>
    <n v="0"/>
    <n v="0"/>
    <n v="0"/>
    <n v="0"/>
    <n v="0"/>
    <n v="0"/>
    <n v="25"/>
    <n v="224.77"/>
  </r>
  <r>
    <x v="52"/>
    <x v="52"/>
    <n v="0"/>
    <n v="0"/>
    <n v="0"/>
    <n v="0"/>
    <n v="0"/>
    <n v="0"/>
    <n v="89"/>
    <n v="748.81000000000006"/>
  </r>
  <r>
    <x v="53"/>
    <x v="53"/>
    <n v="0"/>
    <n v="0"/>
    <n v="0"/>
    <n v="0"/>
    <n v="0"/>
    <n v="0"/>
    <n v="0"/>
    <n v="0"/>
  </r>
  <r>
    <x v="370"/>
    <x v="369"/>
    <n v="1"/>
    <n v="36.58"/>
    <n v="0"/>
    <n v="0"/>
    <n v="1"/>
    <n v="36.58"/>
    <n v="0"/>
    <n v="0"/>
  </r>
  <r>
    <x v="55"/>
    <x v="55"/>
    <n v="2"/>
    <n v="25.04"/>
    <n v="0"/>
    <n v="0"/>
    <n v="2"/>
    <n v="25.04"/>
    <n v="5"/>
    <n v="56.77"/>
  </r>
  <r>
    <x v="56"/>
    <x v="56"/>
    <n v="8"/>
    <n v="105.87"/>
    <n v="0"/>
    <n v="0"/>
    <n v="8"/>
    <n v="105.87"/>
    <n v="10"/>
    <n v="153.44999999999999"/>
  </r>
  <r>
    <x v="57"/>
    <x v="57"/>
    <n v="4"/>
    <n v="15.41"/>
    <n v="0"/>
    <n v="0"/>
    <n v="4"/>
    <n v="15.41"/>
    <n v="17"/>
    <n v="64.22"/>
  </r>
  <r>
    <x v="58"/>
    <x v="58"/>
    <n v="0"/>
    <n v="0"/>
    <n v="0"/>
    <n v="0"/>
    <n v="0"/>
    <n v="0"/>
    <n v="0"/>
    <n v="0"/>
  </r>
  <r>
    <x v="62"/>
    <x v="62"/>
    <n v="199"/>
    <n v="5568.49"/>
    <n v="3"/>
    <n v="49.9"/>
    <n v="202"/>
    <n v="5618.3899999999994"/>
    <n v="196"/>
    <n v="5302.56"/>
  </r>
  <r>
    <x v="63"/>
    <x v="63"/>
    <n v="4"/>
    <n v="135.73000000000002"/>
    <n v="32"/>
    <n v="1606.8000000000006"/>
    <n v="36"/>
    <n v="1742.5300000000007"/>
    <n v="60"/>
    <n v="2486.71"/>
  </r>
  <r>
    <x v="64"/>
    <x v="64"/>
    <n v="33"/>
    <n v="1917.99"/>
    <n v="0"/>
    <n v="0"/>
    <n v="33"/>
    <n v="1917.99"/>
    <n v="64"/>
    <n v="3716.2400000000002"/>
  </r>
  <r>
    <x v="65"/>
    <x v="65"/>
    <n v="2"/>
    <n v="47.22"/>
    <n v="0"/>
    <n v="0"/>
    <n v="2"/>
    <n v="47.22"/>
    <n v="0"/>
    <n v="0"/>
  </r>
  <r>
    <x v="66"/>
    <x v="66"/>
    <n v="0"/>
    <n v="0"/>
    <n v="0"/>
    <n v="0"/>
    <n v="0"/>
    <n v="0"/>
    <n v="-1"/>
    <n v="-10.84"/>
  </r>
  <r>
    <x v="371"/>
    <x v="370"/>
    <n v="0"/>
    <n v="0"/>
    <n v="0"/>
    <n v="0"/>
    <n v="0"/>
    <n v="0"/>
    <n v="1"/>
    <n v="22.42"/>
  </r>
  <r>
    <x v="69"/>
    <x v="69"/>
    <n v="0"/>
    <n v="0"/>
    <n v="0"/>
    <n v="0"/>
    <n v="0"/>
    <n v="0"/>
    <n v="8"/>
    <n v="809.04"/>
  </r>
  <r>
    <x v="70"/>
    <x v="70"/>
    <n v="37"/>
    <n v="2906.57"/>
    <n v="0"/>
    <n v="0"/>
    <n v="37"/>
    <n v="2906.57"/>
    <n v="60"/>
    <n v="4280.8900000000003"/>
  </r>
  <r>
    <x v="71"/>
    <x v="71"/>
    <n v="1"/>
    <n v="24.92"/>
    <n v="606"/>
    <n v="19967.610000000033"/>
    <n v="607"/>
    <n v="19992.530000000032"/>
    <n v="872"/>
    <n v="22779.27"/>
  </r>
  <r>
    <x v="72"/>
    <x v="72"/>
    <n v="8"/>
    <n v="266"/>
    <n v="25"/>
    <n v="950.49999999999966"/>
    <n v="33"/>
    <n v="1216.4999999999995"/>
    <n v="10"/>
    <n v="349.2"/>
  </r>
  <r>
    <x v="73"/>
    <x v="73"/>
    <n v="3"/>
    <n v="59.91"/>
    <n v="0"/>
    <n v="0"/>
    <n v="3"/>
    <n v="59.91"/>
    <n v="-1"/>
    <n v="-14.75"/>
  </r>
  <r>
    <x v="74"/>
    <x v="74"/>
    <n v="8"/>
    <n v="187.22"/>
    <n v="0"/>
    <n v="0"/>
    <n v="8"/>
    <n v="187.22"/>
    <n v="20"/>
    <n v="422.81"/>
  </r>
  <r>
    <x v="75"/>
    <x v="75"/>
    <n v="0"/>
    <n v="0"/>
    <n v="0"/>
    <n v="0"/>
    <n v="0"/>
    <n v="0"/>
    <n v="1"/>
    <n v="26.89"/>
  </r>
  <r>
    <x v="76"/>
    <x v="76"/>
    <n v="10"/>
    <n v="318.14"/>
    <n v="0"/>
    <n v="0"/>
    <n v="10"/>
    <n v="318.14"/>
    <n v="3"/>
    <n v="108.38999999999999"/>
  </r>
  <r>
    <x v="77"/>
    <x v="77"/>
    <n v="0"/>
    <n v="0"/>
    <n v="0"/>
    <n v="0"/>
    <n v="0"/>
    <n v="0"/>
    <n v="0"/>
    <n v="0"/>
  </r>
  <r>
    <x v="78"/>
    <x v="78"/>
    <n v="9"/>
    <n v="287.16999999999996"/>
    <n v="5"/>
    <n v="197.86"/>
    <n v="14"/>
    <n v="485.03"/>
    <n v="24"/>
    <n v="699.71"/>
  </r>
  <r>
    <x v="79"/>
    <x v="79"/>
    <n v="6"/>
    <n v="149.54"/>
    <n v="0"/>
    <n v="0"/>
    <n v="6"/>
    <n v="149.54"/>
    <n v="4"/>
    <n v="74"/>
  </r>
  <r>
    <x v="372"/>
    <x v="371"/>
    <n v="1"/>
    <n v="20.41"/>
    <n v="0"/>
    <n v="0"/>
    <n v="1"/>
    <n v="20.41"/>
    <n v="0"/>
    <n v="0"/>
  </r>
  <r>
    <x v="80"/>
    <x v="80"/>
    <n v="5"/>
    <n v="102.22"/>
    <n v="145"/>
    <n v="3650.5000000000086"/>
    <n v="150"/>
    <n v="3752.7200000000084"/>
    <n v="407"/>
    <n v="8225.59"/>
  </r>
  <r>
    <x v="81"/>
    <x v="81"/>
    <n v="21"/>
    <n v="1025.54"/>
    <n v="0"/>
    <n v="0"/>
    <n v="21"/>
    <n v="1025.54"/>
    <n v="14"/>
    <n v="808.78"/>
  </r>
  <r>
    <x v="82"/>
    <x v="82"/>
    <n v="1"/>
    <n v="37.46"/>
    <n v="0"/>
    <n v="0"/>
    <n v="1"/>
    <n v="37.46"/>
    <n v="0"/>
    <n v="0"/>
  </r>
  <r>
    <x v="83"/>
    <x v="83"/>
    <n v="0"/>
    <n v="0"/>
    <n v="0"/>
    <n v="0"/>
    <n v="0"/>
    <n v="0"/>
    <n v="1"/>
    <n v="6.68"/>
  </r>
  <r>
    <x v="84"/>
    <x v="84"/>
    <n v="6"/>
    <n v="247.44"/>
    <n v="0"/>
    <n v="0"/>
    <n v="6"/>
    <n v="247.44"/>
    <n v="6"/>
    <n v="265.89"/>
  </r>
  <r>
    <x v="373"/>
    <x v="372"/>
    <n v="0"/>
    <n v="0"/>
    <n v="0"/>
    <n v="0"/>
    <n v="0"/>
    <n v="0"/>
    <n v="0"/>
    <n v="0"/>
  </r>
  <r>
    <x v="86"/>
    <x v="86"/>
    <n v="16"/>
    <n v="667.13"/>
    <n v="22"/>
    <n v="1084.7999999999997"/>
    <n v="38"/>
    <n v="1751.9299999999998"/>
    <n v="163"/>
    <n v="6724.18"/>
  </r>
  <r>
    <x v="87"/>
    <x v="87"/>
    <n v="121"/>
    <n v="1441.72"/>
    <n v="0"/>
    <n v="0"/>
    <n v="121"/>
    <n v="1441.72"/>
    <n v="8"/>
    <n v="79.73"/>
  </r>
  <r>
    <x v="88"/>
    <x v="88"/>
    <n v="0"/>
    <n v="0"/>
    <n v="0"/>
    <n v="0"/>
    <n v="0"/>
    <n v="0"/>
    <n v="14"/>
    <n v="71.680000000000007"/>
  </r>
  <r>
    <x v="89"/>
    <x v="89"/>
    <n v="85"/>
    <n v="1190.5999999999999"/>
    <n v="0"/>
    <n v="0"/>
    <n v="85"/>
    <n v="1190.5999999999999"/>
    <n v="183"/>
    <n v="2633.0299999999997"/>
  </r>
  <r>
    <x v="90"/>
    <x v="90"/>
    <n v="18"/>
    <n v="781.58"/>
    <n v="0"/>
    <n v="0"/>
    <n v="18"/>
    <n v="781.58"/>
    <n v="339"/>
    <n v="11109.66"/>
  </r>
  <r>
    <x v="91"/>
    <x v="91"/>
    <n v="0"/>
    <n v="0"/>
    <n v="0"/>
    <n v="0"/>
    <n v="0"/>
    <n v="0"/>
    <n v="0"/>
    <n v="0"/>
  </r>
  <r>
    <x v="92"/>
    <x v="92"/>
    <n v="1"/>
    <n v="117.41"/>
    <n v="0"/>
    <n v="0"/>
    <n v="1"/>
    <n v="117.41"/>
    <n v="0"/>
    <n v="0"/>
  </r>
  <r>
    <x v="93"/>
    <x v="93"/>
    <n v="28"/>
    <n v="1709.64"/>
    <n v="0"/>
    <n v="0"/>
    <n v="28"/>
    <n v="1709.64"/>
    <n v="39"/>
    <n v="1931.85"/>
  </r>
  <r>
    <x v="94"/>
    <x v="94"/>
    <n v="3"/>
    <n v="93.34"/>
    <n v="14"/>
    <n v="578.5999999999998"/>
    <n v="17"/>
    <n v="671.93999999999983"/>
    <n v="95"/>
    <n v="2881.4900000000002"/>
  </r>
  <r>
    <x v="95"/>
    <x v="95"/>
    <n v="47"/>
    <n v="573.23"/>
    <n v="0"/>
    <n v="0"/>
    <n v="47"/>
    <n v="573.23"/>
    <n v="17"/>
    <n v="177.32999999999998"/>
  </r>
  <r>
    <x v="96"/>
    <x v="96"/>
    <n v="1"/>
    <n v="55.84"/>
    <n v="0"/>
    <n v="0"/>
    <n v="1"/>
    <n v="55.84"/>
    <n v="0"/>
    <n v="0"/>
  </r>
  <r>
    <x v="97"/>
    <x v="97"/>
    <n v="0"/>
    <n v="0"/>
    <n v="0"/>
    <n v="0"/>
    <n v="0"/>
    <n v="0"/>
    <n v="-3"/>
    <n v="-24.33"/>
  </r>
  <r>
    <x v="98"/>
    <x v="98"/>
    <n v="0"/>
    <n v="0"/>
    <n v="0"/>
    <n v="0"/>
    <n v="0"/>
    <n v="0"/>
    <n v="0"/>
    <n v="0"/>
  </r>
  <r>
    <x v="99"/>
    <x v="99"/>
    <n v="2"/>
    <n v="49.42"/>
    <n v="0"/>
    <n v="0"/>
    <n v="2"/>
    <n v="49.42"/>
    <n v="1"/>
    <n v="14.14"/>
  </r>
  <r>
    <x v="100"/>
    <x v="100"/>
    <n v="10"/>
    <n v="42.480000000000004"/>
    <n v="0"/>
    <n v="0"/>
    <n v="10"/>
    <n v="42.480000000000004"/>
    <n v="0"/>
    <n v="0"/>
  </r>
  <r>
    <x v="101"/>
    <x v="101"/>
    <n v="1"/>
    <n v="28.84"/>
    <n v="0"/>
    <n v="0"/>
    <n v="1"/>
    <n v="28.84"/>
    <n v="0"/>
    <n v="0"/>
  </r>
  <r>
    <x v="102"/>
    <x v="102"/>
    <n v="0"/>
    <n v="0"/>
    <n v="0"/>
    <n v="0"/>
    <n v="0"/>
    <n v="0"/>
    <n v="1"/>
    <n v="36.46"/>
  </r>
  <r>
    <x v="103"/>
    <x v="103"/>
    <n v="1"/>
    <n v="41.93"/>
    <n v="0"/>
    <n v="0"/>
    <n v="1"/>
    <n v="41.93"/>
    <n v="18"/>
    <n v="740.31999999999994"/>
  </r>
  <r>
    <x v="104"/>
    <x v="104"/>
    <n v="0"/>
    <n v="0"/>
    <n v="0"/>
    <n v="0"/>
    <n v="0"/>
    <n v="0"/>
    <n v="1"/>
    <n v="4.0199999999999996"/>
  </r>
  <r>
    <x v="106"/>
    <x v="106"/>
    <n v="0"/>
    <n v="0"/>
    <n v="21"/>
    <n v="607.89999999999975"/>
    <n v="21"/>
    <n v="607.89999999999975"/>
    <n v="31"/>
    <n v="756.86"/>
  </r>
  <r>
    <x v="107"/>
    <x v="107"/>
    <n v="0"/>
    <n v="0"/>
    <n v="0"/>
    <n v="0"/>
    <n v="0"/>
    <n v="0"/>
    <n v="0"/>
    <n v="0"/>
  </r>
  <r>
    <x v="374"/>
    <x v="373"/>
    <n v="0"/>
    <n v="0"/>
    <n v="0"/>
    <n v="0"/>
    <n v="0"/>
    <n v="0"/>
    <n v="0"/>
    <n v="0"/>
  </r>
  <r>
    <x v="108"/>
    <x v="108"/>
    <n v="134"/>
    <n v="1996.1299999999999"/>
    <n v="0"/>
    <n v="0"/>
    <n v="134"/>
    <n v="1996.1299999999999"/>
    <n v="20"/>
    <n v="287"/>
  </r>
  <r>
    <x v="110"/>
    <x v="110"/>
    <n v="0"/>
    <n v="0"/>
    <n v="0"/>
    <n v="0"/>
    <n v="0"/>
    <n v="0"/>
    <n v="2"/>
    <n v="139.11000000000001"/>
  </r>
  <r>
    <x v="111"/>
    <x v="111"/>
    <n v="22"/>
    <n v="495.66"/>
    <n v="0"/>
    <n v="0"/>
    <n v="22"/>
    <n v="495.66"/>
    <n v="113"/>
    <n v="2230.52"/>
  </r>
  <r>
    <x v="112"/>
    <x v="112"/>
    <n v="27"/>
    <n v="672.84"/>
    <n v="0"/>
    <n v="0"/>
    <n v="27"/>
    <n v="672.84"/>
    <n v="0"/>
    <n v="0"/>
  </r>
  <r>
    <x v="113"/>
    <x v="111"/>
    <n v="-14"/>
    <n v="-161.38"/>
    <n v="191"/>
    <n v="2840.5200000000091"/>
    <n v="177"/>
    <n v="2679.140000000009"/>
    <n v="236"/>
    <n v="2488.2199999999998"/>
  </r>
  <r>
    <x v="375"/>
    <x v="374"/>
    <n v="0"/>
    <n v="0"/>
    <n v="0"/>
    <n v="0"/>
    <n v="0"/>
    <n v="0"/>
    <n v="1"/>
    <n v="32.979999999999997"/>
  </r>
  <r>
    <x v="114"/>
    <x v="113"/>
    <n v="4"/>
    <n v="67.67"/>
    <n v="0"/>
    <n v="0"/>
    <n v="4"/>
    <n v="67.67"/>
    <n v="3"/>
    <n v="71.39"/>
  </r>
  <r>
    <x v="115"/>
    <x v="114"/>
    <n v="0"/>
    <n v="0"/>
    <n v="0"/>
    <n v="0"/>
    <n v="0"/>
    <n v="0"/>
    <n v="4"/>
    <n v="232.54000000000002"/>
  </r>
  <r>
    <x v="116"/>
    <x v="115"/>
    <n v="625"/>
    <n v="7845.6999999999989"/>
    <n v="0"/>
    <n v="0"/>
    <n v="625"/>
    <n v="7845.6999999999989"/>
    <n v="272"/>
    <n v="3345.17"/>
  </r>
  <r>
    <x v="117"/>
    <x v="116"/>
    <n v="26"/>
    <n v="674.39"/>
    <n v="861"/>
    <n v="28528.140000000447"/>
    <n v="887"/>
    <n v="29202.530000000446"/>
    <n v="365"/>
    <n v="11245.48"/>
  </r>
  <r>
    <x v="118"/>
    <x v="117"/>
    <n v="0"/>
    <n v="0"/>
    <n v="0"/>
    <n v="0"/>
    <n v="0"/>
    <n v="0"/>
    <n v="0"/>
    <n v="0"/>
  </r>
  <r>
    <x v="119"/>
    <x v="118"/>
    <n v="0"/>
    <n v="0"/>
    <n v="0"/>
    <n v="0"/>
    <n v="0"/>
    <n v="0"/>
    <n v="0"/>
    <n v="0"/>
  </r>
  <r>
    <x v="120"/>
    <x v="119"/>
    <n v="0"/>
    <n v="0"/>
    <n v="0"/>
    <n v="0"/>
    <n v="0"/>
    <n v="0"/>
    <n v="0"/>
    <n v="0"/>
  </r>
  <r>
    <x v="121"/>
    <x v="120"/>
    <n v="10"/>
    <n v="406.4"/>
    <n v="9"/>
    <n v="435.09999999999991"/>
    <n v="19"/>
    <n v="841.49999999999989"/>
    <n v="158"/>
    <n v="6173.9000000000005"/>
  </r>
  <r>
    <x v="122"/>
    <x v="121"/>
    <n v="32"/>
    <n v="1367.57"/>
    <n v="10"/>
    <n v="598.99999999999989"/>
    <n v="42"/>
    <n v="1966.5699999999997"/>
    <n v="49"/>
    <n v="2276.1400000000003"/>
  </r>
  <r>
    <x v="123"/>
    <x v="122"/>
    <n v="0"/>
    <n v="0"/>
    <n v="0"/>
    <n v="0"/>
    <n v="0"/>
    <n v="0"/>
    <n v="0"/>
    <n v="0"/>
  </r>
  <r>
    <x v="124"/>
    <x v="123"/>
    <n v="5"/>
    <n v="77.509999999999991"/>
    <n v="0"/>
    <n v="0"/>
    <n v="5"/>
    <n v="77.509999999999991"/>
    <n v="2"/>
    <n v="25.54"/>
  </r>
  <r>
    <x v="125"/>
    <x v="124"/>
    <n v="0"/>
    <n v="0"/>
    <n v="0"/>
    <n v="0"/>
    <n v="0"/>
    <n v="0"/>
    <n v="0"/>
    <n v="0"/>
  </r>
  <r>
    <x v="127"/>
    <x v="126"/>
    <n v="72"/>
    <n v="1517.58"/>
    <n v="0"/>
    <n v="0"/>
    <n v="72"/>
    <n v="1517.58"/>
    <n v="371"/>
    <n v="7623.04"/>
  </r>
  <r>
    <x v="129"/>
    <x v="128"/>
    <n v="6"/>
    <n v="125.03"/>
    <n v="0"/>
    <n v="0"/>
    <n v="6"/>
    <n v="125.03"/>
    <n v="3"/>
    <n v="61.44"/>
  </r>
  <r>
    <x v="130"/>
    <x v="129"/>
    <n v="0"/>
    <n v="0"/>
    <n v="0"/>
    <n v="0"/>
    <n v="0"/>
    <n v="0"/>
    <n v="5"/>
    <n v="127.44"/>
  </r>
  <r>
    <x v="132"/>
    <x v="131"/>
    <n v="25"/>
    <n v="206.18"/>
    <n v="0"/>
    <n v="0"/>
    <n v="25"/>
    <n v="206.18"/>
    <n v="83"/>
    <n v="682.5100000000001"/>
  </r>
  <r>
    <x v="133"/>
    <x v="132"/>
    <n v="0"/>
    <n v="0"/>
    <n v="0"/>
    <n v="0"/>
    <n v="0"/>
    <n v="0"/>
    <n v="-1"/>
    <n v="-8.25"/>
  </r>
  <r>
    <x v="134"/>
    <x v="133"/>
    <n v="10"/>
    <n v="157.86000000000001"/>
    <n v="0"/>
    <n v="0"/>
    <n v="10"/>
    <n v="157.86000000000001"/>
    <n v="5"/>
    <n v="143.41"/>
  </r>
  <r>
    <x v="135"/>
    <x v="134"/>
    <n v="0"/>
    <n v="0"/>
    <n v="0"/>
    <n v="0"/>
    <n v="0"/>
    <n v="0"/>
    <n v="1"/>
    <n v="16.23"/>
  </r>
  <r>
    <x v="136"/>
    <x v="135"/>
    <n v="2"/>
    <n v="134.53"/>
    <n v="0"/>
    <n v="0"/>
    <n v="2"/>
    <n v="134.53"/>
    <n v="4"/>
    <n v="395.46000000000004"/>
  </r>
  <r>
    <x v="137"/>
    <x v="136"/>
    <n v="2"/>
    <n v="71.349999999999994"/>
    <n v="0"/>
    <n v="0"/>
    <n v="2"/>
    <n v="71.349999999999994"/>
    <n v="10"/>
    <n v="584.64"/>
  </r>
  <r>
    <x v="139"/>
    <x v="138"/>
    <n v="0"/>
    <n v="0"/>
    <n v="0"/>
    <n v="0"/>
    <n v="0"/>
    <n v="0"/>
    <n v="-2"/>
    <n v="-21.14"/>
  </r>
  <r>
    <x v="141"/>
    <x v="140"/>
    <n v="385"/>
    <n v="5403.64"/>
    <n v="0"/>
    <n v="0"/>
    <n v="385"/>
    <n v="5403.64"/>
    <n v="88"/>
    <n v="1397.3799999999999"/>
  </r>
  <r>
    <x v="142"/>
    <x v="141"/>
    <n v="1"/>
    <n v="20.75"/>
    <n v="0"/>
    <n v="0"/>
    <n v="1"/>
    <n v="20.75"/>
    <n v="18"/>
    <n v="233.76"/>
  </r>
  <r>
    <x v="143"/>
    <x v="142"/>
    <n v="64"/>
    <n v="1720.3100000000002"/>
    <n v="3"/>
    <n v="124.69999999999999"/>
    <n v="67"/>
    <n v="1845.0100000000002"/>
    <n v="88"/>
    <n v="2170.61"/>
  </r>
  <r>
    <x v="144"/>
    <x v="143"/>
    <n v="0"/>
    <n v="0"/>
    <n v="0"/>
    <n v="0"/>
    <n v="0"/>
    <n v="0"/>
    <n v="756"/>
    <n v="9423.25"/>
  </r>
  <r>
    <x v="145"/>
    <x v="144"/>
    <n v="53"/>
    <n v="590.80999999999995"/>
    <n v="0"/>
    <n v="0"/>
    <n v="53"/>
    <n v="590.80999999999995"/>
    <n v="60"/>
    <n v="635.33000000000004"/>
  </r>
  <r>
    <x v="146"/>
    <x v="145"/>
    <n v="7"/>
    <n v="174.86"/>
    <n v="0"/>
    <n v="0"/>
    <n v="7"/>
    <n v="174.86"/>
    <n v="4"/>
    <n v="103.25"/>
  </r>
  <r>
    <x v="147"/>
    <x v="146"/>
    <n v="1"/>
    <n v="24.41"/>
    <n v="0"/>
    <n v="13.03"/>
    <n v="1"/>
    <n v="37.44"/>
    <n v="0"/>
    <n v="0"/>
  </r>
  <r>
    <x v="148"/>
    <x v="147"/>
    <n v="0"/>
    <n v="0"/>
    <n v="0"/>
    <n v="0"/>
    <n v="0"/>
    <n v="0"/>
    <n v="4"/>
    <n v="43.88"/>
  </r>
  <r>
    <x v="149"/>
    <x v="148"/>
    <n v="-1"/>
    <n v="-4.3600000000000003"/>
    <n v="0"/>
    <n v="0"/>
    <n v="-1"/>
    <n v="-4.3600000000000003"/>
    <n v="0"/>
    <n v="0"/>
  </r>
  <r>
    <x v="150"/>
    <x v="149"/>
    <n v="16"/>
    <n v="79.660000000000011"/>
    <n v="0"/>
    <n v="0"/>
    <n v="16"/>
    <n v="79.660000000000011"/>
    <n v="11"/>
    <n v="89.21"/>
  </r>
  <r>
    <x v="151"/>
    <x v="150"/>
    <n v="30"/>
    <n v="710.61"/>
    <n v="134"/>
    <n v="3998.6000000000031"/>
    <n v="164"/>
    <n v="4709.2100000000028"/>
    <n v="391"/>
    <n v="8449.1099999999988"/>
  </r>
  <r>
    <x v="152"/>
    <x v="151"/>
    <n v="0"/>
    <n v="0"/>
    <n v="0"/>
    <n v="0"/>
    <n v="0"/>
    <n v="0"/>
    <n v="-1"/>
    <n v="-24.61"/>
  </r>
  <r>
    <x v="153"/>
    <x v="152"/>
    <n v="27"/>
    <n v="1070.5"/>
    <n v="6"/>
    <n v="359.4"/>
    <n v="33"/>
    <n v="1429.9"/>
    <n v="13"/>
    <n v="590.26"/>
  </r>
  <r>
    <x v="154"/>
    <x v="153"/>
    <n v="0"/>
    <n v="0"/>
    <n v="0"/>
    <n v="0"/>
    <n v="0"/>
    <n v="0"/>
    <n v="2"/>
    <n v="182.25"/>
  </r>
  <r>
    <x v="155"/>
    <x v="154"/>
    <n v="1"/>
    <n v="144.38999999999999"/>
    <n v="0"/>
    <n v="0"/>
    <n v="1"/>
    <n v="144.38999999999999"/>
    <n v="0"/>
    <n v="0"/>
  </r>
  <r>
    <x v="156"/>
    <x v="155"/>
    <n v="0"/>
    <n v="0"/>
    <n v="0"/>
    <n v="0"/>
    <n v="0"/>
    <n v="0"/>
    <n v="0"/>
    <n v="0"/>
  </r>
  <r>
    <x v="157"/>
    <x v="156"/>
    <n v="11"/>
    <n v="217.01"/>
    <n v="0"/>
    <n v="0"/>
    <n v="11"/>
    <n v="217.01"/>
    <n v="17"/>
    <n v="334.23"/>
  </r>
  <r>
    <x v="158"/>
    <x v="157"/>
    <n v="1"/>
    <n v="37.729999999999997"/>
    <n v="0"/>
    <n v="0"/>
    <n v="1"/>
    <n v="37.729999999999997"/>
    <n v="1"/>
    <n v="25.64"/>
  </r>
  <r>
    <x v="159"/>
    <x v="158"/>
    <n v="0"/>
    <n v="0"/>
    <n v="0"/>
    <n v="0"/>
    <n v="0"/>
    <n v="0"/>
    <n v="0"/>
    <n v="0"/>
  </r>
  <r>
    <x v="376"/>
    <x v="375"/>
    <n v="0"/>
    <n v="0"/>
    <n v="0"/>
    <n v="0"/>
    <n v="0"/>
    <n v="0"/>
    <n v="1"/>
    <n v="25.13"/>
  </r>
  <r>
    <x v="160"/>
    <x v="159"/>
    <n v="1"/>
    <n v="65.75"/>
    <n v="35"/>
    <n v="2930.2000000000016"/>
    <n v="36"/>
    <n v="2995.9500000000016"/>
    <n v="18"/>
    <n v="1141.69"/>
  </r>
  <r>
    <x v="161"/>
    <x v="160"/>
    <n v="19"/>
    <n v="804.77"/>
    <n v="1"/>
    <n v="49.9"/>
    <n v="20"/>
    <n v="854.67"/>
    <n v="41"/>
    <n v="1678.34"/>
  </r>
  <r>
    <x v="162"/>
    <x v="161"/>
    <n v="10"/>
    <n v="232.31"/>
    <n v="0"/>
    <n v="0"/>
    <n v="10"/>
    <n v="232.31"/>
    <n v="21"/>
    <n v="507.54999999999995"/>
  </r>
  <r>
    <x v="163"/>
    <x v="162"/>
    <n v="-6"/>
    <n v="-377.07"/>
    <n v="0"/>
    <n v="0"/>
    <n v="-6"/>
    <n v="-377.07"/>
    <n v="108"/>
    <n v="6713.9900000000007"/>
  </r>
  <r>
    <x v="164"/>
    <x v="163"/>
    <n v="2"/>
    <n v="89.36"/>
    <n v="0"/>
    <n v="0"/>
    <n v="2"/>
    <n v="89.36"/>
    <n v="1"/>
    <n v="37.85"/>
  </r>
  <r>
    <x v="165"/>
    <x v="164"/>
    <n v="83"/>
    <n v="4496.8599999999997"/>
    <n v="0"/>
    <n v="0"/>
    <n v="83"/>
    <n v="4496.8599999999997"/>
    <n v="24"/>
    <n v="1408.14"/>
  </r>
  <r>
    <x v="166"/>
    <x v="165"/>
    <n v="690"/>
    <n v="8741.9499999999989"/>
    <n v="0"/>
    <n v="0"/>
    <n v="690"/>
    <n v="8741.9499999999989"/>
    <n v="2876"/>
    <n v="35288.75"/>
  </r>
  <r>
    <x v="167"/>
    <x v="166"/>
    <n v="0"/>
    <n v="0"/>
    <n v="0"/>
    <n v="0"/>
    <n v="0"/>
    <n v="0"/>
    <n v="-1"/>
    <n v="-12.06"/>
  </r>
  <r>
    <x v="168"/>
    <x v="167"/>
    <n v="5"/>
    <n v="112.43"/>
    <n v="0"/>
    <n v="0"/>
    <n v="5"/>
    <n v="112.43"/>
    <n v="9"/>
    <n v="171.89"/>
  </r>
  <r>
    <x v="169"/>
    <x v="168"/>
    <n v="0"/>
    <n v="0"/>
    <n v="0"/>
    <n v="0"/>
    <n v="0"/>
    <n v="0"/>
    <n v="4"/>
    <n v="68.81"/>
  </r>
  <r>
    <x v="170"/>
    <x v="169"/>
    <n v="2"/>
    <n v="93.86"/>
    <n v="87"/>
    <n v="5321.2999999999965"/>
    <n v="89"/>
    <n v="5415.1599999999962"/>
    <n v="64"/>
    <n v="3480.39"/>
  </r>
  <r>
    <x v="171"/>
    <x v="170"/>
    <n v="0"/>
    <n v="0"/>
    <n v="73"/>
    <n v="2222.700000000003"/>
    <n v="73"/>
    <n v="2222.700000000003"/>
    <n v="726"/>
    <n v="15494.38"/>
  </r>
  <r>
    <x v="172"/>
    <x v="171"/>
    <n v="13"/>
    <n v="327.82000000000005"/>
    <n v="0"/>
    <n v="0"/>
    <n v="13"/>
    <n v="327.82000000000005"/>
    <n v="140"/>
    <n v="3463.11"/>
  </r>
  <r>
    <x v="173"/>
    <x v="172"/>
    <n v="0"/>
    <n v="0"/>
    <n v="0"/>
    <n v="0"/>
    <n v="0"/>
    <n v="0"/>
    <n v="0"/>
    <n v="0"/>
  </r>
  <r>
    <x v="174"/>
    <x v="173"/>
    <n v="7"/>
    <n v="34.369999999999997"/>
    <n v="0"/>
    <n v="0"/>
    <n v="7"/>
    <n v="34.369999999999997"/>
    <n v="38"/>
    <n v="213.74"/>
  </r>
  <r>
    <x v="175"/>
    <x v="174"/>
    <n v="0"/>
    <n v="0"/>
    <n v="0"/>
    <n v="0"/>
    <n v="0"/>
    <n v="0"/>
    <n v="88"/>
    <n v="558.48"/>
  </r>
  <r>
    <x v="176"/>
    <x v="175"/>
    <n v="33"/>
    <n v="217.78"/>
    <n v="0"/>
    <n v="0"/>
    <n v="33"/>
    <n v="217.78"/>
    <n v="160"/>
    <n v="588.86999999999989"/>
  </r>
  <r>
    <x v="177"/>
    <x v="176"/>
    <n v="70"/>
    <n v="461.08"/>
    <n v="0"/>
    <n v="0"/>
    <n v="70"/>
    <n v="461.08"/>
    <n v="377"/>
    <n v="1404.6100000000001"/>
  </r>
  <r>
    <x v="178"/>
    <x v="177"/>
    <n v="152"/>
    <n v="920.81"/>
    <n v="0"/>
    <n v="0"/>
    <n v="152"/>
    <n v="920.81"/>
    <n v="306"/>
    <n v="1158.3800000000001"/>
  </r>
  <r>
    <x v="179"/>
    <x v="178"/>
    <n v="0"/>
    <n v="0"/>
    <n v="0"/>
    <n v="0"/>
    <n v="0"/>
    <n v="0"/>
    <n v="0"/>
    <n v="0"/>
  </r>
  <r>
    <x v="180"/>
    <x v="179"/>
    <n v="60"/>
    <n v="813.98"/>
    <n v="0"/>
    <n v="0"/>
    <n v="60"/>
    <n v="813.98"/>
    <n v="33"/>
    <n v="499.25"/>
  </r>
  <r>
    <x v="181"/>
    <x v="180"/>
    <n v="3"/>
    <n v="21.44"/>
    <n v="0"/>
    <n v="0"/>
    <n v="3"/>
    <n v="21.44"/>
    <n v="0"/>
    <n v="0"/>
  </r>
  <r>
    <x v="182"/>
    <x v="181"/>
    <n v="0"/>
    <n v="0"/>
    <n v="0"/>
    <n v="0"/>
    <n v="0"/>
    <n v="0"/>
    <n v="76"/>
    <n v="1250.6099999999999"/>
  </r>
  <r>
    <x v="183"/>
    <x v="182"/>
    <n v="19"/>
    <n v="469.98"/>
    <n v="0"/>
    <n v="0"/>
    <n v="19"/>
    <n v="469.98"/>
    <n v="74"/>
    <n v="1897.0900000000001"/>
  </r>
  <r>
    <x v="184"/>
    <x v="183"/>
    <n v="9"/>
    <n v="150.66"/>
    <n v="0"/>
    <n v="0"/>
    <n v="9"/>
    <n v="150.66"/>
    <n v="0"/>
    <n v="0"/>
  </r>
  <r>
    <x v="185"/>
    <x v="184"/>
    <n v="0"/>
    <n v="0"/>
    <n v="0"/>
    <n v="0"/>
    <n v="0"/>
    <n v="0"/>
    <n v="0"/>
    <n v="0"/>
  </r>
  <r>
    <x v="186"/>
    <x v="185"/>
    <n v="78"/>
    <n v="493.87"/>
    <n v="0"/>
    <n v="0"/>
    <n v="78"/>
    <n v="493.87"/>
    <n v="142"/>
    <n v="990.1"/>
  </r>
  <r>
    <x v="187"/>
    <x v="186"/>
    <n v="56"/>
    <n v="749.87"/>
    <n v="0"/>
    <n v="0"/>
    <n v="56"/>
    <n v="749.87"/>
    <n v="1210"/>
    <n v="15320.529999999999"/>
  </r>
  <r>
    <x v="188"/>
    <x v="187"/>
    <n v="10"/>
    <n v="233.17"/>
    <n v="0"/>
    <n v="0"/>
    <n v="10"/>
    <n v="233.17"/>
    <n v="0"/>
    <n v="0"/>
  </r>
  <r>
    <x v="189"/>
    <x v="188"/>
    <n v="21"/>
    <n v="140.03"/>
    <n v="0"/>
    <n v="0"/>
    <n v="21"/>
    <n v="140.03"/>
    <n v="150"/>
    <n v="726"/>
  </r>
  <r>
    <x v="190"/>
    <x v="189"/>
    <n v="0"/>
    <n v="0"/>
    <n v="0"/>
    <n v="0"/>
    <n v="0"/>
    <n v="0"/>
    <n v="137"/>
    <n v="4259.4399999999996"/>
  </r>
  <r>
    <x v="191"/>
    <x v="190"/>
    <n v="20"/>
    <n v="109.43"/>
    <n v="0"/>
    <n v="0"/>
    <n v="20"/>
    <n v="109.43"/>
    <n v="4"/>
    <n v="46.72"/>
  </r>
  <r>
    <x v="192"/>
    <x v="191"/>
    <n v="274"/>
    <n v="4102.46"/>
    <n v="0"/>
    <n v="0"/>
    <n v="274"/>
    <n v="4102.46"/>
    <n v="425"/>
    <n v="6561.29"/>
  </r>
  <r>
    <x v="193"/>
    <x v="192"/>
    <n v="10"/>
    <n v="217.60000000000002"/>
    <n v="0"/>
    <n v="0"/>
    <n v="10"/>
    <n v="217.60000000000002"/>
    <n v="0"/>
    <n v="0"/>
  </r>
  <r>
    <x v="377"/>
    <x v="376"/>
    <n v="-1"/>
    <n v="-32.700000000000003"/>
    <n v="0"/>
    <n v="0"/>
    <n v="-1"/>
    <n v="-32.700000000000003"/>
    <n v="0"/>
    <n v="0"/>
  </r>
  <r>
    <x v="194"/>
    <x v="193"/>
    <n v="4"/>
    <n v="78.739999999999995"/>
    <n v="0"/>
    <n v="0"/>
    <n v="4"/>
    <n v="78.739999999999995"/>
    <n v="0"/>
    <n v="0"/>
  </r>
  <r>
    <x v="195"/>
    <x v="194"/>
    <n v="2"/>
    <n v="61.62"/>
    <n v="0"/>
    <n v="0"/>
    <n v="2"/>
    <n v="61.62"/>
    <n v="0"/>
    <n v="0"/>
  </r>
  <r>
    <x v="196"/>
    <x v="195"/>
    <n v="7"/>
    <n v="372.15999999999997"/>
    <n v="0"/>
    <n v="0"/>
    <n v="7"/>
    <n v="372.15999999999997"/>
    <n v="0"/>
    <n v="0"/>
  </r>
  <r>
    <x v="199"/>
    <x v="198"/>
    <n v="39"/>
    <n v="477.21000000000004"/>
    <n v="0"/>
    <n v="0"/>
    <n v="39"/>
    <n v="477.21000000000004"/>
    <n v="136"/>
    <n v="1442.49"/>
  </r>
  <r>
    <x v="200"/>
    <x v="199"/>
    <n v="0"/>
    <n v="0"/>
    <n v="0"/>
    <n v="0"/>
    <n v="0"/>
    <n v="0"/>
    <n v="22"/>
    <n v="567.49"/>
  </r>
  <r>
    <x v="201"/>
    <x v="200"/>
    <n v="0"/>
    <n v="0"/>
    <n v="0"/>
    <n v="0"/>
    <n v="0"/>
    <n v="0"/>
    <n v="9"/>
    <n v="196.97000000000003"/>
  </r>
  <r>
    <x v="202"/>
    <x v="201"/>
    <n v="0"/>
    <n v="0"/>
    <n v="0"/>
    <n v="0"/>
    <n v="0"/>
    <n v="0"/>
    <n v="3"/>
    <n v="12.18"/>
  </r>
  <r>
    <x v="203"/>
    <x v="202"/>
    <n v="0"/>
    <n v="0"/>
    <n v="0"/>
    <n v="0"/>
    <n v="0"/>
    <n v="0"/>
    <n v="698"/>
    <n v="8570.57"/>
  </r>
  <r>
    <x v="204"/>
    <x v="203"/>
    <n v="17"/>
    <n v="545.94000000000005"/>
    <n v="0"/>
    <n v="0"/>
    <n v="17"/>
    <n v="545.94000000000005"/>
    <n v="6"/>
    <n v="216.83"/>
  </r>
  <r>
    <x v="205"/>
    <x v="204"/>
    <n v="0"/>
    <n v="0"/>
    <n v="0"/>
    <n v="0"/>
    <n v="0"/>
    <n v="0"/>
    <n v="0"/>
    <n v="0"/>
  </r>
  <r>
    <x v="206"/>
    <x v="205"/>
    <n v="9"/>
    <n v="136.44"/>
    <n v="0"/>
    <n v="0"/>
    <n v="9"/>
    <n v="136.44"/>
    <n v="91"/>
    <n v="833.06999999999994"/>
  </r>
  <r>
    <x v="207"/>
    <x v="206"/>
    <n v="3"/>
    <n v="66.710000000000008"/>
    <n v="0"/>
    <n v="0"/>
    <n v="3"/>
    <n v="66.710000000000008"/>
    <n v="7"/>
    <n v="105.35"/>
  </r>
  <r>
    <x v="208"/>
    <x v="207"/>
    <n v="6"/>
    <n v="58.67"/>
    <n v="0"/>
    <n v="0"/>
    <n v="6"/>
    <n v="58.67"/>
    <n v="4"/>
    <n v="41.63"/>
  </r>
  <r>
    <x v="209"/>
    <x v="208"/>
    <n v="16"/>
    <n v="334.38"/>
    <n v="0"/>
    <n v="0"/>
    <n v="16"/>
    <n v="334.38"/>
    <n v="3"/>
    <n v="66.69"/>
  </r>
  <r>
    <x v="210"/>
    <x v="209"/>
    <n v="0"/>
    <n v="-0.59"/>
    <n v="0"/>
    <n v="0"/>
    <n v="0"/>
    <n v="-0.59"/>
    <n v="2"/>
    <n v="24.73"/>
  </r>
  <r>
    <x v="211"/>
    <x v="210"/>
    <n v="0"/>
    <n v="0"/>
    <n v="0"/>
    <n v="0"/>
    <n v="0"/>
    <n v="0"/>
    <n v="1"/>
    <n v="80.17"/>
  </r>
  <r>
    <x v="212"/>
    <x v="211"/>
    <n v="100"/>
    <n v="2782.5499999999993"/>
    <n v="2"/>
    <n v="69.8"/>
    <n v="102"/>
    <n v="2852.3499999999995"/>
    <n v="95"/>
    <n v="2961.8600000000006"/>
  </r>
  <r>
    <x v="213"/>
    <x v="212"/>
    <n v="2"/>
    <n v="55.74"/>
    <n v="0"/>
    <n v="0"/>
    <n v="2"/>
    <n v="55.74"/>
    <n v="10"/>
    <n v="322.71000000000004"/>
  </r>
  <r>
    <x v="214"/>
    <x v="213"/>
    <n v="3"/>
    <n v="30.13"/>
    <n v="0"/>
    <n v="0"/>
    <n v="3"/>
    <n v="30.13"/>
    <n v="28"/>
    <n v="351.76"/>
  </r>
  <r>
    <x v="215"/>
    <x v="214"/>
    <n v="89"/>
    <n v="1531.78"/>
    <n v="0"/>
    <n v="0"/>
    <n v="89"/>
    <n v="1531.78"/>
    <n v="174"/>
    <n v="3189.4100000000003"/>
  </r>
  <r>
    <x v="216"/>
    <x v="215"/>
    <n v="0"/>
    <n v="0"/>
    <n v="0"/>
    <n v="0"/>
    <n v="0"/>
    <n v="0"/>
    <n v="0"/>
    <n v="0"/>
  </r>
  <r>
    <x v="217"/>
    <x v="216"/>
    <n v="70"/>
    <n v="1146.53"/>
    <n v="1"/>
    <n v="26.9"/>
    <n v="71"/>
    <n v="1173.43"/>
    <n v="364"/>
    <n v="6173.15"/>
  </r>
  <r>
    <x v="218"/>
    <x v="217"/>
    <n v="0"/>
    <n v="0"/>
    <n v="0"/>
    <n v="0"/>
    <n v="0"/>
    <n v="0"/>
    <n v="0"/>
    <n v="0"/>
  </r>
  <r>
    <x v="219"/>
    <x v="218"/>
    <n v="38"/>
    <n v="631.57000000000005"/>
    <n v="0"/>
    <n v="0"/>
    <n v="38"/>
    <n v="631.57000000000005"/>
    <n v="12"/>
    <n v="224.63000000000002"/>
  </r>
  <r>
    <x v="220"/>
    <x v="219"/>
    <n v="88"/>
    <n v="1204.26"/>
    <n v="38"/>
    <n v="780.19999999999959"/>
    <n v="126"/>
    <n v="1984.4599999999996"/>
    <n v="1292"/>
    <n v="22103.05"/>
  </r>
  <r>
    <x v="221"/>
    <x v="220"/>
    <n v="77"/>
    <n v="819.22"/>
    <n v="0"/>
    <n v="0"/>
    <n v="77"/>
    <n v="819.22"/>
    <n v="91"/>
    <n v="1282.54"/>
  </r>
  <r>
    <x v="222"/>
    <x v="221"/>
    <n v="5"/>
    <n v="65.400000000000006"/>
    <n v="0"/>
    <n v="0"/>
    <n v="5"/>
    <n v="65.400000000000006"/>
    <n v="28"/>
    <n v="356.43"/>
  </r>
  <r>
    <x v="223"/>
    <x v="222"/>
    <n v="0"/>
    <n v="0"/>
    <n v="0"/>
    <n v="0"/>
    <n v="0"/>
    <n v="0"/>
    <n v="21"/>
    <n v="261.49"/>
  </r>
  <r>
    <x v="224"/>
    <x v="223"/>
    <n v="0"/>
    <n v="0"/>
    <n v="170"/>
    <n v="6882.9999999999854"/>
    <n v="170"/>
    <n v="6882.9999999999854"/>
    <n v="75"/>
    <n v="2186.69"/>
  </r>
  <r>
    <x v="225"/>
    <x v="224"/>
    <n v="2"/>
    <n v="24.6"/>
    <n v="173"/>
    <n v="2866.7500000000045"/>
    <n v="175"/>
    <n v="2891.3500000000045"/>
    <n v="636"/>
    <n v="5569.4800000000005"/>
  </r>
  <r>
    <x v="226"/>
    <x v="225"/>
    <n v="189"/>
    <n v="1643.77"/>
    <n v="0"/>
    <n v="0"/>
    <n v="189"/>
    <n v="1643.77"/>
    <n v="979"/>
    <n v="7321.8799999999992"/>
  </r>
  <r>
    <x v="227"/>
    <x v="226"/>
    <n v="0"/>
    <n v="0"/>
    <n v="0"/>
    <n v="0"/>
    <n v="0"/>
    <n v="0"/>
    <n v="74"/>
    <n v="703.88"/>
  </r>
  <r>
    <x v="228"/>
    <x v="227"/>
    <n v="1"/>
    <n v="31.37"/>
    <n v="8"/>
    <n v="319.2"/>
    <n v="9"/>
    <n v="350.57"/>
    <n v="31"/>
    <n v="844.67000000000007"/>
  </r>
  <r>
    <x v="229"/>
    <x v="228"/>
    <n v="8"/>
    <n v="349.1"/>
    <n v="0"/>
    <n v="0"/>
    <n v="8"/>
    <n v="349.1"/>
    <n v="127"/>
    <n v="5893.16"/>
  </r>
  <r>
    <x v="230"/>
    <x v="229"/>
    <n v="53"/>
    <n v="3187.48"/>
    <n v="0"/>
    <n v="0"/>
    <n v="53"/>
    <n v="3187.48"/>
    <n v="130"/>
    <n v="6391.27"/>
  </r>
  <r>
    <x v="231"/>
    <x v="230"/>
    <n v="4"/>
    <n v="20"/>
    <n v="0"/>
    <n v="0"/>
    <n v="4"/>
    <n v="20"/>
    <n v="11"/>
    <n v="44.22"/>
  </r>
  <r>
    <x v="232"/>
    <x v="231"/>
    <n v="9"/>
    <n v="147.75"/>
    <n v="0"/>
    <n v="0"/>
    <n v="9"/>
    <n v="147.75"/>
    <n v="5"/>
    <n v="86.259999999999991"/>
  </r>
  <r>
    <x v="233"/>
    <x v="232"/>
    <n v="1"/>
    <n v="57.77"/>
    <n v="32"/>
    <n v="2637.2000000000012"/>
    <n v="33"/>
    <n v="2694.9700000000012"/>
    <n v="120"/>
    <n v="8103.88"/>
  </r>
  <r>
    <x v="234"/>
    <x v="233"/>
    <n v="4"/>
    <n v="86.039999999999992"/>
    <n v="0"/>
    <n v="0"/>
    <n v="4"/>
    <n v="86.039999999999992"/>
    <n v="3"/>
    <n v="87.59"/>
  </r>
  <r>
    <x v="235"/>
    <x v="234"/>
    <n v="35"/>
    <n v="396.36999999999989"/>
    <n v="0"/>
    <n v="0"/>
    <n v="35"/>
    <n v="396.36999999999989"/>
    <n v="162"/>
    <n v="1985.02"/>
  </r>
  <r>
    <x v="236"/>
    <x v="235"/>
    <n v="2"/>
    <n v="46.32"/>
    <n v="0"/>
    <n v="0"/>
    <n v="2"/>
    <n v="46.32"/>
    <n v="19"/>
    <n v="547.96"/>
  </r>
  <r>
    <x v="237"/>
    <x v="236"/>
    <n v="14"/>
    <n v="304.30000000000007"/>
    <n v="0"/>
    <n v="0"/>
    <n v="14"/>
    <n v="304.30000000000007"/>
    <n v="12"/>
    <n v="266.54000000000002"/>
  </r>
  <r>
    <x v="238"/>
    <x v="237"/>
    <n v="0"/>
    <n v="0"/>
    <n v="0"/>
    <n v="0"/>
    <n v="0"/>
    <n v="0"/>
    <n v="17"/>
    <n v="139.9"/>
  </r>
  <r>
    <x v="239"/>
    <x v="238"/>
    <n v="1"/>
    <n v="5.5"/>
    <n v="0"/>
    <n v="0"/>
    <n v="1"/>
    <n v="5.5"/>
    <n v="17"/>
    <n v="119.85000000000001"/>
  </r>
  <r>
    <x v="240"/>
    <x v="239"/>
    <n v="0"/>
    <n v="0"/>
    <n v="0"/>
    <n v="0"/>
    <n v="0"/>
    <n v="0"/>
    <n v="0"/>
    <n v="0"/>
  </r>
  <r>
    <x v="241"/>
    <x v="240"/>
    <n v="1"/>
    <n v="61.38"/>
    <n v="0"/>
    <n v="0"/>
    <n v="1"/>
    <n v="61.38"/>
    <n v="2"/>
    <n v="83.08"/>
  </r>
  <r>
    <x v="242"/>
    <x v="241"/>
    <n v="3"/>
    <n v="41.75"/>
    <n v="0"/>
    <n v="0"/>
    <n v="3"/>
    <n v="41.75"/>
    <n v="3"/>
    <n v="27.27"/>
  </r>
  <r>
    <x v="243"/>
    <x v="242"/>
    <n v="0"/>
    <n v="0"/>
    <n v="0"/>
    <n v="0"/>
    <n v="0"/>
    <n v="0"/>
    <n v="0"/>
    <n v="0"/>
  </r>
  <r>
    <x v="244"/>
    <x v="243"/>
    <n v="7"/>
    <n v="393.90999999999997"/>
    <n v="0"/>
    <n v="0"/>
    <n v="7"/>
    <n v="393.90999999999997"/>
    <n v="0"/>
    <n v="0"/>
  </r>
  <r>
    <x v="245"/>
    <x v="244"/>
    <n v="0"/>
    <n v="0"/>
    <n v="0"/>
    <n v="0"/>
    <n v="0"/>
    <n v="0"/>
    <n v="0"/>
    <n v="0"/>
  </r>
  <r>
    <x v="247"/>
    <x v="246"/>
    <n v="555"/>
    <n v="6138.84"/>
    <n v="0"/>
    <n v="0"/>
    <n v="555"/>
    <n v="6138.84"/>
    <n v="2634"/>
    <n v="21633.789999999997"/>
  </r>
  <r>
    <x v="248"/>
    <x v="247"/>
    <n v="6"/>
    <n v="223.68"/>
    <n v="0"/>
    <n v="0"/>
    <n v="6"/>
    <n v="223.68"/>
    <n v="6"/>
    <n v="236.64"/>
  </r>
  <r>
    <x v="249"/>
    <x v="248"/>
    <n v="7"/>
    <n v="413.49"/>
    <n v="0"/>
    <n v="0"/>
    <n v="7"/>
    <n v="413.49"/>
    <n v="72"/>
    <n v="4725.07"/>
  </r>
  <r>
    <x v="250"/>
    <x v="249"/>
    <n v="5"/>
    <n v="49.09"/>
    <n v="0"/>
    <n v="0"/>
    <n v="5"/>
    <n v="49.09"/>
    <n v="1"/>
    <n v="20.41"/>
  </r>
  <r>
    <x v="251"/>
    <x v="250"/>
    <n v="6"/>
    <n v="97.52"/>
    <n v="0"/>
    <n v="0"/>
    <n v="6"/>
    <n v="97.52"/>
    <n v="8"/>
    <n v="130.9"/>
  </r>
  <r>
    <x v="252"/>
    <x v="251"/>
    <n v="10"/>
    <n v="100.5"/>
    <n v="0"/>
    <n v="0"/>
    <n v="10"/>
    <n v="100.5"/>
    <n v="0"/>
    <n v="0"/>
  </r>
  <r>
    <x v="253"/>
    <x v="252"/>
    <n v="14"/>
    <n v="56.129999999999995"/>
    <n v="0"/>
    <n v="0"/>
    <n v="14"/>
    <n v="56.129999999999995"/>
    <n v="4"/>
    <n v="48.84"/>
  </r>
  <r>
    <x v="254"/>
    <x v="253"/>
    <n v="2"/>
    <n v="10.46"/>
    <n v="0"/>
    <n v="0"/>
    <n v="2"/>
    <n v="10.46"/>
    <n v="2"/>
    <n v="16.5"/>
  </r>
  <r>
    <x v="255"/>
    <x v="254"/>
    <n v="2"/>
    <n v="16.38"/>
    <n v="0"/>
    <n v="0"/>
    <n v="2"/>
    <n v="16.38"/>
    <n v="8"/>
    <n v="64.88"/>
  </r>
  <r>
    <x v="256"/>
    <x v="255"/>
    <n v="0"/>
    <n v="0"/>
    <n v="0"/>
    <n v="0"/>
    <n v="0"/>
    <n v="0"/>
    <n v="1"/>
    <n v="8.11"/>
  </r>
  <r>
    <x v="257"/>
    <x v="256"/>
    <n v="29"/>
    <n v="435.96"/>
    <n v="0"/>
    <n v="0"/>
    <n v="29"/>
    <n v="435.96"/>
    <n v="75"/>
    <n v="1097.83"/>
  </r>
  <r>
    <x v="378"/>
    <x v="377"/>
    <n v="0"/>
    <n v="0"/>
    <n v="0"/>
    <n v="0"/>
    <n v="0"/>
    <n v="0"/>
    <n v="0"/>
    <n v="0"/>
  </r>
  <r>
    <x v="258"/>
    <x v="257"/>
    <n v="56"/>
    <n v="917.12999999999988"/>
    <n v="0"/>
    <n v="0"/>
    <n v="56"/>
    <n v="917.12999999999988"/>
    <n v="301"/>
    <n v="4808.84"/>
  </r>
  <r>
    <x v="259"/>
    <x v="258"/>
    <n v="42"/>
    <n v="582.29000000000008"/>
    <n v="0"/>
    <n v="0"/>
    <n v="42"/>
    <n v="582.29000000000008"/>
    <n v="116"/>
    <n v="1393.46"/>
  </r>
  <r>
    <x v="260"/>
    <x v="259"/>
    <n v="1"/>
    <n v="23.97"/>
    <n v="0"/>
    <n v="0"/>
    <n v="1"/>
    <n v="23.97"/>
    <n v="9"/>
    <n v="219.35"/>
  </r>
  <r>
    <x v="261"/>
    <x v="260"/>
    <n v="197"/>
    <n v="2298.13"/>
    <n v="0"/>
    <n v="0"/>
    <n v="197"/>
    <n v="2298.13"/>
    <n v="3119"/>
    <n v="25558.510000000002"/>
  </r>
  <r>
    <x v="263"/>
    <x v="262"/>
    <n v="35"/>
    <n v="299.51"/>
    <n v="0"/>
    <n v="0"/>
    <n v="35"/>
    <n v="299.51"/>
    <n v="192"/>
    <n v="1417.45"/>
  </r>
  <r>
    <x v="264"/>
    <x v="263"/>
    <n v="1"/>
    <n v="16.45"/>
    <n v="0"/>
    <n v="0"/>
    <n v="1"/>
    <n v="16.45"/>
    <n v="838"/>
    <n v="11277.480000000001"/>
  </r>
  <r>
    <x v="265"/>
    <x v="264"/>
    <n v="5"/>
    <n v="68.650000000000006"/>
    <n v="0"/>
    <n v="0"/>
    <n v="5"/>
    <n v="68.650000000000006"/>
    <n v="73"/>
    <n v="710.32"/>
  </r>
  <r>
    <x v="266"/>
    <x v="265"/>
    <n v="250"/>
    <n v="3151.84"/>
    <n v="142"/>
    <n v="2091.8000000000052"/>
    <n v="392"/>
    <n v="5243.6400000000049"/>
    <n v="3250"/>
    <n v="38706.119999999995"/>
  </r>
  <r>
    <x v="267"/>
    <x v="266"/>
    <n v="2"/>
    <n v="28.26"/>
    <n v="0"/>
    <n v="0"/>
    <n v="2"/>
    <n v="28.26"/>
    <n v="11"/>
    <n v="115.22"/>
  </r>
  <r>
    <x v="268"/>
    <x v="267"/>
    <n v="14"/>
    <n v="57.29"/>
    <n v="0"/>
    <n v="0"/>
    <n v="14"/>
    <n v="57.29"/>
    <n v="1"/>
    <n v="9.73"/>
  </r>
  <r>
    <x v="269"/>
    <x v="268"/>
    <n v="54"/>
    <n v="664.1"/>
    <n v="0"/>
    <n v="0"/>
    <n v="54"/>
    <n v="664.1"/>
    <n v="54"/>
    <n v="625.80999999999995"/>
  </r>
  <r>
    <x v="270"/>
    <x v="269"/>
    <n v="3"/>
    <n v="88.7"/>
    <n v="0"/>
    <n v="0"/>
    <n v="3"/>
    <n v="88.7"/>
    <n v="0"/>
    <n v="0"/>
  </r>
  <r>
    <x v="271"/>
    <x v="270"/>
    <n v="78"/>
    <n v="2332.1799999999998"/>
    <n v="2"/>
    <n v="75.8"/>
    <n v="80"/>
    <n v="2407.98"/>
    <n v="220"/>
    <n v="6864.66"/>
  </r>
  <r>
    <x v="272"/>
    <x v="271"/>
    <n v="10"/>
    <n v="642.61"/>
    <n v="0"/>
    <n v="0"/>
    <n v="10"/>
    <n v="642.61"/>
    <n v="1"/>
    <n v="65.489999999999995"/>
  </r>
  <r>
    <x v="273"/>
    <x v="272"/>
    <n v="0"/>
    <n v="0"/>
    <n v="0"/>
    <n v="0"/>
    <n v="0"/>
    <n v="0"/>
    <n v="1"/>
    <n v="4.0199999999999996"/>
  </r>
  <r>
    <x v="274"/>
    <x v="273"/>
    <n v="2"/>
    <n v="83.86"/>
    <n v="0"/>
    <n v="0"/>
    <n v="2"/>
    <n v="83.86"/>
    <n v="27"/>
    <n v="721.87999999999988"/>
  </r>
  <r>
    <x v="275"/>
    <x v="274"/>
    <n v="0"/>
    <n v="0"/>
    <n v="0"/>
    <n v="0"/>
    <n v="0"/>
    <n v="0"/>
    <n v="0"/>
    <n v="0"/>
  </r>
  <r>
    <x v="276"/>
    <x v="275"/>
    <n v="292"/>
    <n v="4099.2800000000007"/>
    <n v="0"/>
    <n v="0"/>
    <n v="292"/>
    <n v="4099.2800000000007"/>
    <n v="4"/>
    <n v="58.55"/>
  </r>
  <r>
    <x v="277"/>
    <x v="276"/>
    <n v="7"/>
    <n v="131.05000000000001"/>
    <n v="0"/>
    <n v="0"/>
    <n v="7"/>
    <n v="131.05000000000001"/>
    <n v="1"/>
    <n v="23.1"/>
  </r>
  <r>
    <x v="278"/>
    <x v="277"/>
    <n v="4"/>
    <n v="112.76"/>
    <n v="0"/>
    <n v="0"/>
    <n v="4"/>
    <n v="112.76"/>
    <n v="10"/>
    <n v="333.09000000000003"/>
  </r>
  <r>
    <x v="279"/>
    <x v="278"/>
    <n v="106"/>
    <n v="3110.6400000000003"/>
    <n v="0"/>
    <n v="0"/>
    <n v="106"/>
    <n v="3110.6400000000003"/>
    <n v="175"/>
    <n v="5047.88"/>
  </r>
  <r>
    <x v="280"/>
    <x v="279"/>
    <n v="3"/>
    <n v="171.9"/>
    <n v="0"/>
    <n v="0"/>
    <n v="3"/>
    <n v="171.9"/>
    <n v="0"/>
    <n v="0"/>
  </r>
  <r>
    <x v="281"/>
    <x v="280"/>
    <n v="112"/>
    <n v="1424.2199999999998"/>
    <n v="0"/>
    <n v="0"/>
    <n v="112"/>
    <n v="1424.2199999999998"/>
    <n v="294"/>
    <n v="3290.4599999999996"/>
  </r>
  <r>
    <x v="282"/>
    <x v="281"/>
    <n v="6"/>
    <n v="132.08000000000001"/>
    <n v="0"/>
    <n v="0"/>
    <n v="6"/>
    <n v="132.08000000000001"/>
    <n v="4"/>
    <n v="97.56"/>
  </r>
  <r>
    <x v="283"/>
    <x v="282"/>
    <n v="0"/>
    <n v="0"/>
    <n v="0"/>
    <n v="0"/>
    <n v="0"/>
    <n v="0"/>
    <n v="1"/>
    <n v="106.36"/>
  </r>
  <r>
    <x v="284"/>
    <x v="283"/>
    <n v="17"/>
    <n v="1819.06"/>
    <n v="1"/>
    <n v="129"/>
    <n v="18"/>
    <n v="1948.06"/>
    <n v="29"/>
    <n v="2649.8999999999996"/>
  </r>
  <r>
    <x v="285"/>
    <x v="284"/>
    <n v="9"/>
    <n v="740.31"/>
    <n v="0"/>
    <n v="0"/>
    <n v="9"/>
    <n v="740.31"/>
    <n v="12"/>
    <n v="895.92"/>
  </r>
  <r>
    <x v="286"/>
    <x v="285"/>
    <n v="1"/>
    <n v="54.86"/>
    <n v="0"/>
    <n v="0"/>
    <n v="1"/>
    <n v="54.86"/>
    <n v="1"/>
    <n v="57.3"/>
  </r>
  <r>
    <x v="287"/>
    <x v="286"/>
    <n v="0"/>
    <n v="0"/>
    <n v="0"/>
    <n v="0"/>
    <n v="0"/>
    <n v="0"/>
    <n v="-2"/>
    <n v="-33.44"/>
  </r>
  <r>
    <x v="288"/>
    <x v="287"/>
    <n v="45"/>
    <n v="1054.26"/>
    <n v="0"/>
    <n v="0"/>
    <n v="45"/>
    <n v="1054.26"/>
    <n v="229"/>
    <n v="4659.1900000000005"/>
  </r>
  <r>
    <x v="289"/>
    <x v="288"/>
    <n v="18"/>
    <n v="440.56"/>
    <n v="0"/>
    <n v="0"/>
    <n v="18"/>
    <n v="440.56"/>
    <n v="50"/>
    <n v="1222.3800000000001"/>
  </r>
  <r>
    <x v="379"/>
    <x v="378"/>
    <n v="0"/>
    <n v="0"/>
    <n v="0"/>
    <n v="0"/>
    <n v="0"/>
    <n v="0"/>
    <n v="1"/>
    <n v="40.94"/>
  </r>
  <r>
    <x v="290"/>
    <x v="289"/>
    <n v="45"/>
    <n v="836.69999999999982"/>
    <n v="2"/>
    <n v="70.210000000000008"/>
    <n v="47"/>
    <n v="906.90999999999985"/>
    <n v="169"/>
    <n v="2801.3500000000004"/>
  </r>
  <r>
    <x v="291"/>
    <x v="290"/>
    <n v="1"/>
    <n v="138.52000000000001"/>
    <n v="0"/>
    <n v="0"/>
    <n v="1"/>
    <n v="138.52000000000001"/>
    <n v="6"/>
    <n v="732.79"/>
  </r>
  <r>
    <x v="292"/>
    <x v="291"/>
    <n v="0"/>
    <n v="0"/>
    <n v="0"/>
    <n v="0"/>
    <n v="0"/>
    <n v="0"/>
    <n v="-1"/>
    <n v="-4.0199999999999996"/>
  </r>
  <r>
    <x v="293"/>
    <x v="292"/>
    <n v="3"/>
    <n v="148.54000000000002"/>
    <n v="0"/>
    <n v="0"/>
    <n v="3"/>
    <n v="148.54000000000002"/>
    <n v="3"/>
    <n v="168.62"/>
  </r>
  <r>
    <x v="294"/>
    <x v="293"/>
    <n v="52"/>
    <n v="1165.0900000000001"/>
    <n v="0"/>
    <n v="0"/>
    <n v="52"/>
    <n v="1165.0900000000001"/>
    <n v="24"/>
    <n v="519.37"/>
  </r>
  <r>
    <x v="295"/>
    <x v="294"/>
    <n v="1"/>
    <n v="17.850000000000001"/>
    <n v="0"/>
    <n v="0"/>
    <n v="1"/>
    <n v="17.850000000000001"/>
    <n v="0"/>
    <n v="0"/>
  </r>
  <r>
    <x v="296"/>
    <x v="295"/>
    <n v="5"/>
    <n v="76.66"/>
    <n v="0"/>
    <n v="0"/>
    <n v="5"/>
    <n v="76.66"/>
    <n v="2"/>
    <n v="47.05"/>
  </r>
  <r>
    <x v="298"/>
    <x v="297"/>
    <n v="0"/>
    <n v="0"/>
    <n v="0"/>
    <n v="0"/>
    <n v="0"/>
    <n v="0"/>
    <n v="1"/>
    <n v="30.37"/>
  </r>
  <r>
    <x v="299"/>
    <x v="298"/>
    <n v="7"/>
    <n v="629.92000000000007"/>
    <n v="0"/>
    <n v="0"/>
    <n v="7"/>
    <n v="629.92000000000007"/>
    <n v="17"/>
    <n v="1304.28"/>
  </r>
  <r>
    <x v="300"/>
    <x v="299"/>
    <n v="1"/>
    <n v="35.42"/>
    <n v="0"/>
    <n v="0"/>
    <n v="1"/>
    <n v="35.42"/>
    <n v="1"/>
    <n v="21.3"/>
  </r>
  <r>
    <x v="301"/>
    <x v="300"/>
    <n v="60"/>
    <n v="834.11"/>
    <n v="5"/>
    <n v="124.5"/>
    <n v="65"/>
    <n v="958.61"/>
    <n v="118"/>
    <n v="1511.35"/>
  </r>
  <r>
    <x v="302"/>
    <x v="301"/>
    <n v="4"/>
    <n v="44.07"/>
    <n v="0"/>
    <n v="0"/>
    <n v="4"/>
    <n v="44.07"/>
    <n v="2"/>
    <n v="26.46"/>
  </r>
  <r>
    <x v="303"/>
    <x v="302"/>
    <n v="48"/>
    <n v="1862.9"/>
    <n v="0"/>
    <n v="0"/>
    <n v="48"/>
    <n v="1862.9"/>
    <n v="49"/>
    <n v="1918.6699999999998"/>
  </r>
  <r>
    <x v="304"/>
    <x v="303"/>
    <n v="28"/>
    <n v="730.8599999999999"/>
    <n v="0"/>
    <n v="0"/>
    <n v="28"/>
    <n v="730.8599999999999"/>
    <n v="11"/>
    <n v="268.58000000000004"/>
  </r>
  <r>
    <x v="305"/>
    <x v="304"/>
    <n v="206"/>
    <n v="2229.1000000000004"/>
    <n v="0"/>
    <n v="0"/>
    <n v="206"/>
    <n v="2229.1000000000004"/>
    <n v="1439"/>
    <n v="11721.83"/>
  </r>
  <r>
    <x v="306"/>
    <x v="305"/>
    <n v="23"/>
    <n v="737.21999999999991"/>
    <n v="0"/>
    <n v="0"/>
    <n v="23"/>
    <n v="737.21999999999991"/>
    <n v="35"/>
    <n v="1152.54"/>
  </r>
  <r>
    <x v="307"/>
    <x v="306"/>
    <n v="3"/>
    <n v="151.02000000000001"/>
    <n v="0"/>
    <n v="0"/>
    <n v="3"/>
    <n v="151.02000000000001"/>
    <n v="3"/>
    <n v="145.07999999999998"/>
  </r>
  <r>
    <x v="308"/>
    <x v="307"/>
    <n v="1"/>
    <n v="24.71"/>
    <n v="0"/>
    <n v="0"/>
    <n v="1"/>
    <n v="24.71"/>
    <n v="1"/>
    <n v="24.71"/>
  </r>
  <r>
    <x v="309"/>
    <x v="308"/>
    <n v="11"/>
    <n v="208.55"/>
    <n v="0"/>
    <n v="0"/>
    <n v="11"/>
    <n v="208.55"/>
    <n v="70"/>
    <n v="1146.3100000000002"/>
  </r>
  <r>
    <x v="310"/>
    <x v="309"/>
    <n v="42"/>
    <n v="790.84999999999991"/>
    <n v="0"/>
    <n v="0"/>
    <n v="42"/>
    <n v="790.84999999999991"/>
    <n v="43"/>
    <n v="716.76"/>
  </r>
  <r>
    <x v="311"/>
    <x v="310"/>
    <n v="32"/>
    <n v="612.26"/>
    <n v="29"/>
    <n v="577.09999999999968"/>
    <n v="61"/>
    <n v="1189.3599999999997"/>
    <n v="172"/>
    <n v="2845.1800000000003"/>
  </r>
  <r>
    <x v="312"/>
    <x v="311"/>
    <n v="8"/>
    <n v="306.90000000000003"/>
    <n v="0"/>
    <n v="0"/>
    <n v="8"/>
    <n v="306.90000000000003"/>
    <n v="15"/>
    <n v="618.15"/>
  </r>
  <r>
    <x v="313"/>
    <x v="312"/>
    <n v="4"/>
    <n v="52.1"/>
    <n v="0"/>
    <n v="0"/>
    <n v="4"/>
    <n v="52.1"/>
    <n v="6"/>
    <n v="97.97"/>
  </r>
  <r>
    <x v="314"/>
    <x v="313"/>
    <n v="105"/>
    <n v="1667.9"/>
    <n v="9"/>
    <n v="201.10000000000002"/>
    <n v="114"/>
    <n v="1869"/>
    <n v="48"/>
    <n v="783.61000000000013"/>
  </r>
  <r>
    <x v="315"/>
    <x v="314"/>
    <n v="90"/>
    <n v="4135.9699999999993"/>
    <n v="0"/>
    <n v="0"/>
    <n v="90"/>
    <n v="4135.9699999999993"/>
    <n v="1"/>
    <n v="41.24"/>
  </r>
  <r>
    <x v="316"/>
    <x v="315"/>
    <n v="13"/>
    <n v="105.41"/>
    <n v="0"/>
    <n v="0"/>
    <n v="13"/>
    <n v="105.41"/>
    <n v="35"/>
    <n v="283.85000000000002"/>
  </r>
  <r>
    <x v="317"/>
    <x v="316"/>
    <n v="102"/>
    <n v="8940.3100000000013"/>
    <n v="0"/>
    <n v="0"/>
    <n v="102"/>
    <n v="8940.3100000000013"/>
    <n v="10"/>
    <n v="928.28"/>
  </r>
  <r>
    <x v="318"/>
    <x v="317"/>
    <n v="9"/>
    <n v="889.57"/>
    <n v="0"/>
    <n v="0"/>
    <n v="9"/>
    <n v="889.57"/>
    <n v="33"/>
    <n v="2711.31"/>
  </r>
  <r>
    <x v="319"/>
    <x v="318"/>
    <n v="271"/>
    <n v="2936.77"/>
    <n v="0"/>
    <n v="0"/>
    <n v="271"/>
    <n v="2936.77"/>
    <n v="473"/>
    <n v="5059.38"/>
  </r>
  <r>
    <x v="321"/>
    <x v="320"/>
    <n v="5"/>
    <n v="205.53"/>
    <n v="0"/>
    <n v="0"/>
    <n v="5"/>
    <n v="205.53"/>
    <n v="7"/>
    <n v="268.2"/>
  </r>
  <r>
    <x v="380"/>
    <x v="379"/>
    <n v="0"/>
    <n v="0"/>
    <n v="0"/>
    <n v="0"/>
    <n v="0"/>
    <n v="0"/>
    <n v="0"/>
    <n v="0"/>
  </r>
  <r>
    <x v="322"/>
    <x v="321"/>
    <n v="233"/>
    <n v="3851.1400000000003"/>
    <n v="0"/>
    <n v="0"/>
    <n v="233"/>
    <n v="3851.1400000000003"/>
    <n v="8"/>
    <n v="133.18"/>
  </r>
  <r>
    <x v="323"/>
    <x v="322"/>
    <n v="8"/>
    <n v="350.79"/>
    <n v="0"/>
    <n v="0"/>
    <n v="8"/>
    <n v="350.79"/>
    <n v="8"/>
    <n v="227.54"/>
  </r>
  <r>
    <x v="324"/>
    <x v="323"/>
    <n v="3"/>
    <n v="439.05"/>
    <n v="0"/>
    <n v="0"/>
    <n v="3"/>
    <n v="439.05"/>
    <n v="1"/>
    <n v="141.35"/>
  </r>
  <r>
    <x v="325"/>
    <x v="324"/>
    <n v="451"/>
    <n v="2245.75"/>
    <n v="0"/>
    <n v="0"/>
    <n v="451"/>
    <n v="2245.75"/>
    <n v="522"/>
    <n v="2235.87"/>
  </r>
  <r>
    <x v="326"/>
    <x v="325"/>
    <n v="155"/>
    <n v="1014.5500000000001"/>
    <n v="0"/>
    <n v="0"/>
    <n v="155"/>
    <n v="1014.5500000000001"/>
    <n v="9"/>
    <n v="36.18"/>
  </r>
  <r>
    <x v="327"/>
    <x v="326"/>
    <n v="10"/>
    <n v="47.53"/>
    <n v="0"/>
    <n v="0"/>
    <n v="10"/>
    <n v="47.53"/>
    <n v="9"/>
    <n v="62.35"/>
  </r>
  <r>
    <x v="328"/>
    <x v="327"/>
    <n v="3"/>
    <n v="197.38"/>
    <n v="0"/>
    <n v="0"/>
    <n v="3"/>
    <n v="197.38"/>
    <n v="0"/>
    <n v="0"/>
  </r>
  <r>
    <x v="329"/>
    <x v="328"/>
    <n v="518"/>
    <n v="6261.2000000000016"/>
    <n v="0"/>
    <n v="0"/>
    <n v="518"/>
    <n v="6261.2000000000016"/>
    <n v="58"/>
    <n v="623.59"/>
  </r>
  <r>
    <x v="330"/>
    <x v="329"/>
    <n v="15"/>
    <n v="606.31999999999994"/>
    <n v="0"/>
    <n v="0"/>
    <n v="15"/>
    <n v="606.31999999999994"/>
    <n v="2"/>
    <n v="96.14"/>
  </r>
  <r>
    <x v="331"/>
    <x v="330"/>
    <n v="0"/>
    <n v="0"/>
    <n v="0"/>
    <n v="0"/>
    <n v="0"/>
    <n v="0"/>
    <n v="43"/>
    <n v="172.91"/>
  </r>
  <r>
    <x v="332"/>
    <x v="331"/>
    <n v="324"/>
    <n v="2860.6299999999997"/>
    <n v="0"/>
    <n v="0"/>
    <n v="324"/>
    <n v="2860.6299999999997"/>
    <n v="0"/>
    <n v="0"/>
  </r>
  <r>
    <x v="333"/>
    <x v="332"/>
    <n v="29"/>
    <n v="1185.9299999999998"/>
    <n v="0"/>
    <n v="0"/>
    <n v="29"/>
    <n v="1185.9299999999998"/>
    <n v="0"/>
    <n v="0"/>
  </r>
  <r>
    <x v="381"/>
    <x v="380"/>
    <n v="1"/>
    <n v="32.9"/>
    <n v="0"/>
    <n v="0"/>
    <n v="1"/>
    <n v="32.9"/>
    <n v="0"/>
    <n v="0"/>
  </r>
  <r>
    <x v="334"/>
    <x v="333"/>
    <n v="56"/>
    <n v="2239.54"/>
    <n v="0"/>
    <n v="0"/>
    <n v="56"/>
    <n v="2239.54"/>
    <n v="0"/>
    <n v="0"/>
  </r>
  <r>
    <x v="382"/>
    <x v="381"/>
    <n v="0"/>
    <n v="0"/>
    <n v="0"/>
    <n v="0"/>
    <n v="0"/>
    <n v="0"/>
    <n v="0"/>
    <n v="0"/>
  </r>
  <r>
    <x v="335"/>
    <x v="334"/>
    <n v="2"/>
    <n v="27.82"/>
    <n v="0"/>
    <n v="0"/>
    <n v="2"/>
    <n v="27.82"/>
    <n v="0"/>
    <n v="0"/>
  </r>
  <r>
    <x v="336"/>
    <x v="335"/>
    <n v="15"/>
    <n v="394.82000000000005"/>
    <n v="0"/>
    <n v="0"/>
    <n v="15"/>
    <n v="394.82000000000005"/>
    <n v="0"/>
    <n v="0"/>
  </r>
  <r>
    <x v="338"/>
    <x v="337"/>
    <n v="4"/>
    <n v="114.44"/>
    <n v="0"/>
    <n v="0"/>
    <n v="4"/>
    <n v="114.44"/>
    <n v="0"/>
    <n v="0"/>
  </r>
  <r>
    <x v="339"/>
    <x v="338"/>
    <n v="2"/>
    <n v="52.59"/>
    <n v="0"/>
    <n v="0"/>
    <n v="2"/>
    <n v="52.59"/>
    <n v="0"/>
    <n v="0"/>
  </r>
  <r>
    <x v="341"/>
    <x v="340"/>
    <n v="6"/>
    <n v="112.28999999999999"/>
    <n v="0"/>
    <n v="0"/>
    <n v="6"/>
    <n v="112.28999999999999"/>
    <n v="0"/>
    <n v="0"/>
  </r>
  <r>
    <x v="383"/>
    <x v="382"/>
    <n v="2"/>
    <n v="248.52"/>
    <n v="0"/>
    <n v="0"/>
    <n v="2"/>
    <n v="248.52"/>
    <n v="0"/>
    <n v="0"/>
  </r>
  <r>
    <x v="342"/>
    <x v="341"/>
    <n v="1"/>
    <n v="9.42"/>
    <n v="0"/>
    <n v="0"/>
    <n v="1"/>
    <n v="9.42"/>
    <n v="0"/>
    <n v="0"/>
  </r>
  <r>
    <x v="384"/>
    <x v="383"/>
    <n v="4"/>
    <n v="394.93"/>
    <n v="0"/>
    <n v="0"/>
    <n v="4"/>
    <n v="394.93"/>
    <n v="0"/>
    <n v="0"/>
  </r>
  <r>
    <x v="343"/>
    <x v="342"/>
    <n v="11"/>
    <n v="43.88"/>
    <n v="0"/>
    <n v="0"/>
    <n v="11"/>
    <n v="43.88"/>
    <n v="0"/>
    <n v="0"/>
  </r>
  <r>
    <x v="344"/>
    <x v="343"/>
    <n v="3"/>
    <n v="327.74"/>
    <n v="0"/>
    <n v="0"/>
    <n v="3"/>
    <n v="327.74"/>
    <n v="0"/>
    <n v="0"/>
  </r>
  <r>
    <x v="345"/>
    <x v="344"/>
    <n v="223"/>
    <n v="4458.79"/>
    <n v="0"/>
    <n v="0"/>
    <n v="223"/>
    <n v="4458.79"/>
    <n v="0"/>
    <n v="0"/>
  </r>
  <r>
    <x v="346"/>
    <x v="345"/>
    <n v="27"/>
    <n v="141.77000000000001"/>
    <n v="0"/>
    <n v="0"/>
    <n v="27"/>
    <n v="141.77000000000001"/>
    <n v="0"/>
    <n v="0"/>
  </r>
  <r>
    <x v="347"/>
    <x v="346"/>
    <n v="1354"/>
    <n v="9015.4900000000016"/>
    <n v="0"/>
    <n v="0"/>
    <n v="1354"/>
    <n v="9015.4900000000016"/>
    <n v="0"/>
    <n v="0"/>
  </r>
  <r>
    <x v="348"/>
    <x v="347"/>
    <n v="420"/>
    <n v="2519.5199999999995"/>
    <n v="0"/>
    <n v="0"/>
    <n v="420"/>
    <n v="2519.5199999999995"/>
    <n v="0"/>
    <n v="0"/>
  </r>
  <r>
    <x v="349"/>
    <x v="348"/>
    <n v="327"/>
    <n v="8420.6"/>
    <n v="0"/>
    <n v="0"/>
    <n v="327"/>
    <n v="8420.6"/>
    <n v="0"/>
    <n v="0"/>
  </r>
  <r>
    <x v="350"/>
    <x v="349"/>
    <n v="496"/>
    <n v="7072.46"/>
    <n v="0"/>
    <n v="0"/>
    <n v="496"/>
    <n v="7072.46"/>
    <n v="0"/>
    <n v="0"/>
  </r>
  <r>
    <x v="351"/>
    <x v="350"/>
    <n v="5"/>
    <n v="317.76"/>
    <n v="0"/>
    <n v="0"/>
    <n v="5"/>
    <n v="317.76"/>
    <n v="0"/>
    <n v="0"/>
  </r>
  <r>
    <x v="352"/>
    <x v="351"/>
    <n v="32"/>
    <n v="1323.3799999999999"/>
    <n v="0"/>
    <n v="0"/>
    <n v="32"/>
    <n v="1323.3799999999999"/>
    <n v="0"/>
    <n v="0"/>
  </r>
  <r>
    <x v="385"/>
    <x v="384"/>
    <n v="4"/>
    <n v="228.9"/>
    <n v="0"/>
    <n v="0"/>
    <n v="4"/>
    <n v="228.9"/>
    <n v="0"/>
    <n v="0"/>
  </r>
  <r>
    <x v="353"/>
    <x v="352"/>
    <n v="0"/>
    <n v="0"/>
    <n v="25"/>
    <n v="537.5"/>
    <n v="25"/>
    <n v="537.5"/>
    <n v="0"/>
    <n v="0"/>
  </r>
  <r>
    <x v="354"/>
    <x v="353"/>
    <n v="93"/>
    <n v="1635.53"/>
    <n v="29"/>
    <n v="682.09999999999968"/>
    <n v="122"/>
    <n v="2317.6299999999997"/>
    <n v="0"/>
    <n v="0"/>
  </r>
  <r>
    <x v="355"/>
    <x v="354"/>
    <n v="-3"/>
    <n v="-48.93"/>
    <n v="56"/>
    <n v="1299.4000000000003"/>
    <n v="53"/>
    <n v="1250.4700000000003"/>
    <n v="0"/>
    <n v="0"/>
  </r>
  <r>
    <x v="356"/>
    <x v="355"/>
    <n v="152"/>
    <n v="6360.8"/>
    <n v="0"/>
    <n v="0"/>
    <n v="152"/>
    <n v="6360.8"/>
    <n v="0"/>
    <n v="0"/>
  </r>
  <r>
    <x v="357"/>
    <x v="356"/>
    <n v="425"/>
    <n v="10531.95"/>
    <n v="0"/>
    <n v="0"/>
    <n v="425"/>
    <n v="10531.95"/>
    <n v="0"/>
    <n v="0"/>
  </r>
  <r>
    <x v="0"/>
    <x v="0"/>
    <m/>
    <m/>
    <m/>
    <m/>
    <m/>
    <m/>
    <m/>
    <m/>
  </r>
  <r>
    <x v="1"/>
    <x v="1"/>
    <n v="1183"/>
    <n v="16822.21"/>
    <n v="0"/>
    <n v="0"/>
    <n v="1183"/>
    <n v="16822.21"/>
    <n v="287"/>
    <n v="3732.24"/>
  </r>
  <r>
    <x v="2"/>
    <x v="2"/>
    <n v="1"/>
    <n v="5.03"/>
    <n v="0"/>
    <n v="0"/>
    <n v="1"/>
    <n v="5.03"/>
    <n v="4"/>
    <n v="33.15"/>
  </r>
  <r>
    <x v="3"/>
    <x v="3"/>
    <n v="10"/>
    <n v="127.35"/>
    <n v="0"/>
    <n v="0"/>
    <n v="10"/>
    <n v="127.35"/>
    <n v="0"/>
    <n v="0"/>
  </r>
  <r>
    <x v="5"/>
    <x v="5"/>
    <n v="1"/>
    <n v="15.18"/>
    <n v="0"/>
    <n v="0"/>
    <n v="1"/>
    <n v="15.18"/>
    <n v="2"/>
    <n v="33.58"/>
  </r>
  <r>
    <x v="11"/>
    <x v="11"/>
    <n v="0"/>
    <n v="0"/>
    <n v="0"/>
    <n v="0"/>
    <n v="0"/>
    <n v="0"/>
    <n v="5"/>
    <n v="42.39"/>
  </r>
  <r>
    <x v="14"/>
    <x v="14"/>
    <n v="6"/>
    <n v="147.9"/>
    <n v="0"/>
    <n v="0"/>
    <n v="6"/>
    <n v="147.9"/>
    <n v="4"/>
    <n v="95.58"/>
  </r>
  <r>
    <x v="15"/>
    <x v="15"/>
    <n v="275"/>
    <n v="5023.29"/>
    <n v="0"/>
    <n v="0"/>
    <n v="275"/>
    <n v="5023.29"/>
    <n v="58"/>
    <n v="1197.1500000000001"/>
  </r>
  <r>
    <x v="16"/>
    <x v="16"/>
    <n v="1"/>
    <n v="20.41"/>
    <n v="49"/>
    <n v="1612.100000000001"/>
    <n v="50"/>
    <n v="1632.5100000000011"/>
    <n v="503"/>
    <n v="10307.450000000001"/>
  </r>
  <r>
    <x v="22"/>
    <x v="22"/>
    <n v="1"/>
    <n v="7.43"/>
    <n v="0"/>
    <n v="0"/>
    <n v="1"/>
    <n v="7.43"/>
    <n v="0"/>
    <n v="0"/>
  </r>
  <r>
    <x v="24"/>
    <x v="24"/>
    <n v="2"/>
    <n v="12.96"/>
    <n v="0"/>
    <n v="0"/>
    <n v="2"/>
    <n v="12.96"/>
    <n v="2"/>
    <n v="7.5299999999999994"/>
  </r>
  <r>
    <x v="25"/>
    <x v="25"/>
    <n v="19"/>
    <n v="686.19"/>
    <n v="0"/>
    <n v="0"/>
    <n v="19"/>
    <n v="686.19"/>
    <n v="16"/>
    <n v="590.39"/>
  </r>
  <r>
    <x v="28"/>
    <x v="28"/>
    <n v="15"/>
    <n v="209.45"/>
    <n v="137"/>
    <n v="2722.7100000000064"/>
    <n v="152"/>
    <n v="2932.1600000000062"/>
    <n v="448"/>
    <n v="6892.94"/>
  </r>
  <r>
    <x v="30"/>
    <x v="30"/>
    <n v="1"/>
    <n v="15.05"/>
    <n v="0"/>
    <n v="0"/>
    <n v="1"/>
    <n v="15.05"/>
    <n v="0"/>
    <n v="0"/>
  </r>
  <r>
    <x v="32"/>
    <x v="32"/>
    <n v="3"/>
    <n v="17.190000000000001"/>
    <n v="0"/>
    <n v="0"/>
    <n v="3"/>
    <n v="17.190000000000001"/>
    <n v="0"/>
    <n v="0"/>
  </r>
  <r>
    <x v="34"/>
    <x v="34"/>
    <n v="1"/>
    <n v="22.97"/>
    <n v="1"/>
    <n v="46.9"/>
    <n v="2"/>
    <n v="69.87"/>
    <n v="8"/>
    <n v="317.23"/>
  </r>
  <r>
    <x v="35"/>
    <x v="35"/>
    <n v="12"/>
    <n v="1075.69"/>
    <n v="0"/>
    <n v="0"/>
    <n v="12"/>
    <n v="1075.69"/>
    <n v="15"/>
    <n v="1218.42"/>
  </r>
  <r>
    <x v="39"/>
    <x v="39"/>
    <n v="23"/>
    <n v="410.8"/>
    <n v="531"/>
    <n v="10557.3399999999"/>
    <n v="554"/>
    <n v="10968.139999999899"/>
    <n v="1369"/>
    <n v="19434.440000000002"/>
  </r>
  <r>
    <x v="42"/>
    <x v="42"/>
    <n v="6"/>
    <n v="36.93"/>
    <n v="0"/>
    <n v="0"/>
    <n v="6"/>
    <n v="36.93"/>
    <n v="5"/>
    <n v="28.78"/>
  </r>
  <r>
    <x v="44"/>
    <x v="44"/>
    <n v="9"/>
    <n v="267.95999999999998"/>
    <n v="166"/>
    <n v="5967.0299999999879"/>
    <n v="175"/>
    <n v="6234.989999999988"/>
    <n v="649"/>
    <n v="20773.87"/>
  </r>
  <r>
    <x v="55"/>
    <x v="55"/>
    <n v="2"/>
    <n v="27.28"/>
    <n v="0"/>
    <n v="0"/>
    <n v="2"/>
    <n v="27.28"/>
    <n v="11"/>
    <n v="126.91"/>
  </r>
  <r>
    <x v="56"/>
    <x v="56"/>
    <n v="4"/>
    <n v="51.29"/>
    <n v="0"/>
    <n v="0"/>
    <n v="4"/>
    <n v="51.29"/>
    <n v="7"/>
    <n v="105"/>
  </r>
  <r>
    <x v="61"/>
    <x v="61"/>
    <n v="0"/>
    <n v="0"/>
    <n v="0"/>
    <n v="0"/>
    <n v="0"/>
    <n v="0"/>
    <n v="0"/>
    <n v="0"/>
  </r>
  <r>
    <x v="62"/>
    <x v="62"/>
    <n v="49"/>
    <n v="1395.95"/>
    <n v="1"/>
    <n v="39.9"/>
    <n v="50"/>
    <n v="1435.8500000000001"/>
    <n v="83"/>
    <n v="2525.98"/>
  </r>
  <r>
    <x v="63"/>
    <x v="63"/>
    <n v="1"/>
    <n v="31.06"/>
    <n v="18"/>
    <n v="918.1999999999997"/>
    <n v="19"/>
    <n v="949.25999999999965"/>
    <n v="87"/>
    <n v="3702.4500000000003"/>
  </r>
  <r>
    <x v="70"/>
    <x v="70"/>
    <n v="25"/>
    <n v="1858.24"/>
    <n v="0"/>
    <n v="0"/>
    <n v="25"/>
    <n v="1858.24"/>
    <n v="171"/>
    <n v="11876.9"/>
  </r>
  <r>
    <x v="73"/>
    <x v="73"/>
    <n v="2"/>
    <n v="40.82"/>
    <n v="0"/>
    <n v="0"/>
    <n v="2"/>
    <n v="40.82"/>
    <n v="-2"/>
    <n v="-33.5"/>
  </r>
  <r>
    <x v="74"/>
    <x v="74"/>
    <n v="5"/>
    <n v="129.21"/>
    <n v="0"/>
    <n v="0"/>
    <n v="5"/>
    <n v="129.21"/>
    <n v="20"/>
    <n v="410.88"/>
  </r>
  <r>
    <x v="75"/>
    <x v="75"/>
    <n v="0"/>
    <n v="0"/>
    <n v="0"/>
    <n v="0"/>
    <n v="0"/>
    <n v="0"/>
    <n v="0"/>
    <n v="0"/>
  </r>
  <r>
    <x v="76"/>
    <x v="76"/>
    <n v="7"/>
    <n v="257.01"/>
    <n v="0"/>
    <n v="0"/>
    <n v="7"/>
    <n v="257.01"/>
    <n v="10"/>
    <n v="298.16999999999996"/>
  </r>
  <r>
    <x v="78"/>
    <x v="78"/>
    <n v="4"/>
    <n v="156.28"/>
    <n v="6"/>
    <n v="232.20000000000002"/>
    <n v="10"/>
    <n v="388.48"/>
    <n v="3"/>
    <n v="91.12"/>
  </r>
  <r>
    <x v="79"/>
    <x v="79"/>
    <n v="6"/>
    <n v="150.78"/>
    <n v="0"/>
    <n v="0"/>
    <n v="6"/>
    <n v="150.78"/>
    <n v="8"/>
    <n v="170.93"/>
  </r>
  <r>
    <x v="81"/>
    <x v="81"/>
    <n v="19"/>
    <n v="922.48"/>
    <n v="0"/>
    <n v="0"/>
    <n v="19"/>
    <n v="922.48"/>
    <n v="30"/>
    <n v="1776.28"/>
  </r>
  <r>
    <x v="82"/>
    <x v="82"/>
    <n v="1"/>
    <n v="19.59"/>
    <n v="0"/>
    <n v="0"/>
    <n v="1"/>
    <n v="19.59"/>
    <n v="0"/>
    <n v="0"/>
  </r>
  <r>
    <x v="87"/>
    <x v="87"/>
    <n v="170"/>
    <n v="2082.7000000000003"/>
    <n v="0"/>
    <n v="0"/>
    <n v="170"/>
    <n v="2082.7000000000003"/>
    <n v="107"/>
    <n v="956.31000000000006"/>
  </r>
  <r>
    <x v="89"/>
    <x v="89"/>
    <n v="52"/>
    <n v="763.70999999999992"/>
    <n v="0"/>
    <n v="0"/>
    <n v="52"/>
    <n v="763.70999999999992"/>
    <n v="198"/>
    <n v="2743.69"/>
  </r>
  <r>
    <x v="90"/>
    <x v="90"/>
    <n v="7"/>
    <n v="325.84000000000003"/>
    <n v="0"/>
    <n v="0"/>
    <n v="7"/>
    <n v="325.84000000000003"/>
    <n v="268"/>
    <n v="8898.3900000000012"/>
  </r>
  <r>
    <x v="92"/>
    <x v="92"/>
    <n v="1"/>
    <n v="117.41"/>
    <n v="0"/>
    <n v="0"/>
    <n v="1"/>
    <n v="117.41"/>
    <n v="0"/>
    <n v="0"/>
  </r>
  <r>
    <x v="93"/>
    <x v="93"/>
    <n v="46"/>
    <n v="2537.23"/>
    <n v="0"/>
    <n v="0"/>
    <n v="46"/>
    <n v="2537.23"/>
    <n v="36"/>
    <n v="1791.2700000000002"/>
  </r>
  <r>
    <x v="95"/>
    <x v="95"/>
    <n v="32"/>
    <n v="372.1"/>
    <n v="1"/>
    <n v="19.899999999999999"/>
    <n v="33"/>
    <n v="392"/>
    <n v="56"/>
    <n v="569.05999999999995"/>
  </r>
  <r>
    <x v="96"/>
    <x v="96"/>
    <n v="0"/>
    <n v="0"/>
    <n v="0"/>
    <n v="0"/>
    <n v="0"/>
    <n v="0"/>
    <n v="0"/>
    <n v="0"/>
  </r>
  <r>
    <x v="99"/>
    <x v="99"/>
    <n v="9"/>
    <n v="206.62"/>
    <n v="0"/>
    <n v="0"/>
    <n v="9"/>
    <n v="206.62"/>
    <n v="1"/>
    <n v="20.75"/>
  </r>
  <r>
    <x v="100"/>
    <x v="100"/>
    <n v="3"/>
    <n v="14.35"/>
    <n v="0"/>
    <n v="0"/>
    <n v="3"/>
    <n v="14.35"/>
    <n v="3"/>
    <n v="13.57"/>
  </r>
  <r>
    <x v="101"/>
    <x v="101"/>
    <n v="1"/>
    <n v="29.03"/>
    <n v="0"/>
    <n v="0"/>
    <n v="1"/>
    <n v="29.03"/>
    <n v="1"/>
    <n v="33.5"/>
  </r>
  <r>
    <x v="102"/>
    <x v="102"/>
    <n v="1"/>
    <n v="55.62"/>
    <n v="0"/>
    <n v="0"/>
    <n v="1"/>
    <n v="55.62"/>
    <n v="0"/>
    <n v="0"/>
  </r>
  <r>
    <x v="103"/>
    <x v="103"/>
    <n v="1"/>
    <n v="41.58"/>
    <n v="0"/>
    <n v="0"/>
    <n v="1"/>
    <n v="41.58"/>
    <n v="5"/>
    <n v="187.72"/>
  </r>
  <r>
    <x v="104"/>
    <x v="104"/>
    <n v="0"/>
    <n v="0"/>
    <n v="0"/>
    <n v="0"/>
    <n v="0"/>
    <n v="0"/>
    <n v="23"/>
    <n v="137.26"/>
  </r>
  <r>
    <x v="106"/>
    <x v="106"/>
    <n v="10"/>
    <n v="253.92"/>
    <n v="2"/>
    <n v="59.8"/>
    <n v="12"/>
    <n v="313.71999999999997"/>
    <n v="114"/>
    <n v="2484.12"/>
  </r>
  <r>
    <x v="112"/>
    <x v="112"/>
    <n v="8"/>
    <n v="196.7"/>
    <n v="0"/>
    <n v="0"/>
    <n v="8"/>
    <n v="196.7"/>
    <n v="0"/>
    <n v="0"/>
  </r>
  <r>
    <x v="114"/>
    <x v="113"/>
    <n v="4"/>
    <n v="64.509999999999991"/>
    <n v="0"/>
    <n v="0"/>
    <n v="4"/>
    <n v="64.509999999999991"/>
    <n v="1"/>
    <n v="23.02"/>
  </r>
  <r>
    <x v="115"/>
    <x v="114"/>
    <n v="1"/>
    <n v="91.6"/>
    <n v="0"/>
    <n v="0"/>
    <n v="1"/>
    <n v="91.6"/>
    <n v="1"/>
    <n v="74.92"/>
  </r>
  <r>
    <x v="116"/>
    <x v="115"/>
    <n v="203"/>
    <n v="2645.87"/>
    <n v="0"/>
    <n v="0"/>
    <n v="203"/>
    <n v="2645.87"/>
    <n v="234"/>
    <n v="2906.02"/>
  </r>
  <r>
    <x v="124"/>
    <x v="123"/>
    <n v="1"/>
    <n v="13.81"/>
    <n v="0"/>
    <n v="0"/>
    <n v="1"/>
    <n v="13.81"/>
    <n v="1"/>
    <n v="15.85"/>
  </r>
  <r>
    <x v="125"/>
    <x v="124"/>
    <n v="1"/>
    <n v="33.25"/>
    <n v="0"/>
    <n v="0"/>
    <n v="1"/>
    <n v="33.25"/>
    <n v="0"/>
    <n v="0"/>
  </r>
  <r>
    <x v="126"/>
    <x v="125"/>
    <n v="1"/>
    <n v="54.9"/>
    <n v="0"/>
    <n v="0"/>
    <n v="1"/>
    <n v="54.9"/>
    <n v="2"/>
    <n v="115.25"/>
  </r>
  <r>
    <x v="129"/>
    <x v="128"/>
    <n v="3"/>
    <n v="72.88"/>
    <n v="0"/>
    <n v="0"/>
    <n v="3"/>
    <n v="72.88"/>
    <n v="4"/>
    <n v="71.599999999999994"/>
  </r>
  <r>
    <x v="131"/>
    <x v="130"/>
    <n v="1"/>
    <n v="17.07"/>
    <n v="0"/>
    <n v="0"/>
    <n v="1"/>
    <n v="17.07"/>
    <n v="0"/>
    <n v="0"/>
  </r>
  <r>
    <x v="143"/>
    <x v="142"/>
    <n v="8"/>
    <n v="198.65"/>
    <n v="26"/>
    <n v="1093.4899999999998"/>
    <n v="34"/>
    <n v="1292.1399999999999"/>
    <n v="113"/>
    <n v="2781.9700000000003"/>
  </r>
  <r>
    <x v="144"/>
    <x v="143"/>
    <n v="0"/>
    <n v="0"/>
    <n v="0"/>
    <n v="0"/>
    <n v="0"/>
    <n v="0"/>
    <n v="672"/>
    <n v="8325.42"/>
  </r>
  <r>
    <x v="151"/>
    <x v="150"/>
    <n v="172"/>
    <n v="4167.01"/>
    <n v="167"/>
    <n v="4754.2999999999975"/>
    <n v="339"/>
    <n v="8921.3099999999977"/>
    <n v="449"/>
    <n v="10497.8"/>
  </r>
  <r>
    <x v="155"/>
    <x v="154"/>
    <n v="1"/>
    <n v="157.5"/>
    <n v="0"/>
    <n v="0"/>
    <n v="1"/>
    <n v="157.5"/>
    <n v="0"/>
    <n v="0"/>
  </r>
  <r>
    <x v="158"/>
    <x v="157"/>
    <n v="0"/>
    <n v="0"/>
    <n v="0"/>
    <n v="0"/>
    <n v="0"/>
    <n v="0"/>
    <n v="0"/>
    <n v="0"/>
  </r>
  <r>
    <x v="161"/>
    <x v="160"/>
    <n v="9"/>
    <n v="384.04"/>
    <n v="0"/>
    <n v="0"/>
    <n v="9"/>
    <n v="384.04"/>
    <n v="58"/>
    <n v="2421.7799999999997"/>
  </r>
  <r>
    <x v="162"/>
    <x v="161"/>
    <n v="6"/>
    <n v="165.58"/>
    <n v="0"/>
    <n v="0"/>
    <n v="6"/>
    <n v="165.58"/>
    <n v="46"/>
    <n v="1036.73"/>
  </r>
  <r>
    <x v="165"/>
    <x v="164"/>
    <n v="41"/>
    <n v="2246.3200000000002"/>
    <n v="0"/>
    <n v="0"/>
    <n v="41"/>
    <n v="2246.3200000000002"/>
    <n v="36"/>
    <n v="2029.2"/>
  </r>
  <r>
    <x v="166"/>
    <x v="165"/>
    <n v="120"/>
    <n v="1506.88"/>
    <n v="163"/>
    <n v="2468.7000000000071"/>
    <n v="283"/>
    <n v="3975.5800000000072"/>
    <n v="2597"/>
    <n v="31902.6"/>
  </r>
  <r>
    <x v="170"/>
    <x v="169"/>
    <n v="0"/>
    <n v="0"/>
    <n v="69"/>
    <n v="4778.1000000000004"/>
    <n v="69"/>
    <n v="4778.1000000000004"/>
    <n v="76"/>
    <n v="4126.619999999999"/>
  </r>
  <r>
    <x v="171"/>
    <x v="170"/>
    <n v="1"/>
    <n v="24.88"/>
    <n v="73"/>
    <n v="2201.9200000000028"/>
    <n v="74"/>
    <n v="2226.8000000000029"/>
    <n v="477"/>
    <n v="10184.490000000002"/>
  </r>
  <r>
    <x v="172"/>
    <x v="171"/>
    <n v="30"/>
    <n v="726.79"/>
    <n v="0"/>
    <n v="0"/>
    <n v="30"/>
    <n v="726.79"/>
    <n v="126"/>
    <n v="3095.05"/>
  </r>
  <r>
    <x v="174"/>
    <x v="173"/>
    <n v="6"/>
    <n v="31"/>
    <n v="0"/>
    <n v="0"/>
    <n v="6"/>
    <n v="31"/>
    <n v="2"/>
    <n v="13.18"/>
  </r>
  <r>
    <x v="175"/>
    <x v="174"/>
    <n v="1"/>
    <n v="7.62"/>
    <n v="0"/>
    <n v="0"/>
    <n v="1"/>
    <n v="7.62"/>
    <n v="153"/>
    <n v="956.68"/>
  </r>
  <r>
    <x v="177"/>
    <x v="176"/>
    <n v="82"/>
    <n v="542.86000000000013"/>
    <n v="0"/>
    <n v="0"/>
    <n v="82"/>
    <n v="542.86000000000013"/>
    <n v="384"/>
    <n v="1553.73"/>
  </r>
  <r>
    <x v="178"/>
    <x v="177"/>
    <n v="110"/>
    <n v="709.19"/>
    <n v="0"/>
    <n v="0"/>
    <n v="110"/>
    <n v="709.19"/>
    <n v="337"/>
    <n v="1442.57"/>
  </r>
  <r>
    <x v="181"/>
    <x v="180"/>
    <n v="1"/>
    <n v="5.98"/>
    <n v="0"/>
    <n v="0"/>
    <n v="1"/>
    <n v="5.98"/>
    <n v="1"/>
    <n v="8.11"/>
  </r>
  <r>
    <x v="184"/>
    <x v="183"/>
    <n v="8"/>
    <n v="131.02999999999997"/>
    <n v="0"/>
    <n v="0"/>
    <n v="8"/>
    <n v="131.02999999999997"/>
    <n v="0"/>
    <n v="0"/>
  </r>
  <r>
    <x v="185"/>
    <x v="184"/>
    <n v="0"/>
    <n v="0"/>
    <n v="0"/>
    <n v="0"/>
    <n v="0"/>
    <n v="0"/>
    <n v="0"/>
    <n v="0"/>
  </r>
  <r>
    <x v="186"/>
    <x v="185"/>
    <n v="65"/>
    <n v="429.35999999999996"/>
    <n v="0"/>
    <n v="0"/>
    <n v="65"/>
    <n v="429.35999999999996"/>
    <n v="106"/>
    <n v="693.18999999999994"/>
  </r>
  <r>
    <x v="187"/>
    <x v="186"/>
    <n v="99"/>
    <n v="1328.46"/>
    <n v="0"/>
    <n v="0"/>
    <n v="99"/>
    <n v="1328.46"/>
    <n v="983"/>
    <n v="12470.109999999999"/>
  </r>
  <r>
    <x v="188"/>
    <x v="187"/>
    <n v="18"/>
    <n v="414.31"/>
    <n v="0"/>
    <n v="0"/>
    <n v="18"/>
    <n v="414.31"/>
    <n v="0"/>
    <n v="0"/>
  </r>
  <r>
    <x v="189"/>
    <x v="188"/>
    <n v="55"/>
    <n v="269.98"/>
    <n v="0"/>
    <n v="0"/>
    <n v="55"/>
    <n v="269.98"/>
    <n v="151"/>
    <n v="737.45"/>
  </r>
  <r>
    <x v="191"/>
    <x v="190"/>
    <n v="4"/>
    <n v="42.46"/>
    <n v="0"/>
    <n v="0"/>
    <n v="4"/>
    <n v="42.46"/>
    <n v="19"/>
    <n v="154.82"/>
  </r>
  <r>
    <x v="192"/>
    <x v="191"/>
    <n v="83"/>
    <n v="1386.3000000000002"/>
    <n v="4"/>
    <n v="91.6"/>
    <n v="87"/>
    <n v="1477.9"/>
    <n v="514"/>
    <n v="7846.58"/>
  </r>
  <r>
    <x v="193"/>
    <x v="192"/>
    <n v="17"/>
    <n v="336.87"/>
    <n v="0"/>
    <n v="0"/>
    <n v="17"/>
    <n v="336.87"/>
    <n v="1"/>
    <n v="25.69"/>
  </r>
  <r>
    <x v="194"/>
    <x v="193"/>
    <n v="4"/>
    <n v="103.27"/>
    <n v="0"/>
    <n v="0"/>
    <n v="4"/>
    <n v="103.27"/>
    <n v="0"/>
    <n v="0"/>
  </r>
  <r>
    <x v="196"/>
    <x v="195"/>
    <n v="13"/>
    <n v="685.82999999999993"/>
    <n v="0"/>
    <n v="0"/>
    <n v="13"/>
    <n v="685.82999999999993"/>
    <n v="1"/>
    <n v="51.7"/>
  </r>
  <r>
    <x v="197"/>
    <x v="196"/>
    <n v="5"/>
    <n v="165.45"/>
    <n v="0"/>
    <n v="0"/>
    <n v="5"/>
    <n v="165.45"/>
    <n v="1"/>
    <n v="37.03"/>
  </r>
  <r>
    <x v="199"/>
    <x v="198"/>
    <n v="37"/>
    <n v="452.17"/>
    <n v="0"/>
    <n v="0"/>
    <n v="37"/>
    <n v="452.17"/>
    <n v="336"/>
    <n v="3555.6600000000003"/>
  </r>
  <r>
    <x v="200"/>
    <x v="199"/>
    <n v="0"/>
    <n v="0"/>
    <n v="0"/>
    <n v="0"/>
    <n v="0"/>
    <n v="0"/>
    <n v="28"/>
    <n v="736.86"/>
  </r>
  <r>
    <x v="203"/>
    <x v="202"/>
    <n v="0"/>
    <n v="0"/>
    <n v="0"/>
    <n v="0"/>
    <n v="0"/>
    <n v="0"/>
    <n v="931"/>
    <n v="11587.15"/>
  </r>
  <r>
    <x v="204"/>
    <x v="203"/>
    <n v="10"/>
    <n v="327.83000000000004"/>
    <n v="0"/>
    <n v="0"/>
    <n v="10"/>
    <n v="327.83000000000004"/>
    <n v="17"/>
    <n v="541.81999999999994"/>
  </r>
  <r>
    <x v="206"/>
    <x v="205"/>
    <n v="35"/>
    <n v="465.99"/>
    <n v="0"/>
    <n v="0"/>
    <n v="35"/>
    <n v="465.99"/>
    <n v="132"/>
    <n v="1192.1499999999999"/>
  </r>
  <r>
    <x v="207"/>
    <x v="206"/>
    <n v="6"/>
    <n v="133.04000000000002"/>
    <n v="0"/>
    <n v="0"/>
    <n v="6"/>
    <n v="133.04000000000002"/>
    <n v="20"/>
    <n v="352.08"/>
  </r>
  <r>
    <x v="208"/>
    <x v="207"/>
    <n v="2"/>
    <n v="19.579999999999998"/>
    <n v="0"/>
    <n v="0"/>
    <n v="2"/>
    <n v="19.579999999999998"/>
    <n v="1"/>
    <n v="12.21"/>
  </r>
  <r>
    <x v="209"/>
    <x v="208"/>
    <n v="11"/>
    <n v="229.16"/>
    <n v="0"/>
    <n v="0"/>
    <n v="11"/>
    <n v="229.16"/>
    <n v="7"/>
    <n v="159.74"/>
  </r>
  <r>
    <x v="210"/>
    <x v="209"/>
    <n v="1"/>
    <n v="10.45"/>
    <n v="0"/>
    <n v="0"/>
    <n v="1"/>
    <n v="10.45"/>
    <n v="12"/>
    <n v="134.85"/>
  </r>
  <r>
    <x v="211"/>
    <x v="210"/>
    <n v="1"/>
    <n v="74.430000000000007"/>
    <n v="0"/>
    <n v="0"/>
    <n v="1"/>
    <n v="74.430000000000007"/>
    <n v="0"/>
    <n v="0"/>
  </r>
  <r>
    <x v="212"/>
    <x v="211"/>
    <n v="65"/>
    <n v="1892.39"/>
    <n v="2"/>
    <n v="69.8"/>
    <n v="67"/>
    <n v="1962.19"/>
    <n v="107"/>
    <n v="3117.19"/>
  </r>
  <r>
    <x v="213"/>
    <x v="212"/>
    <n v="2"/>
    <n v="54.55"/>
    <n v="0"/>
    <n v="0"/>
    <n v="2"/>
    <n v="54.55"/>
    <n v="11"/>
    <n v="305.14999999999998"/>
  </r>
  <r>
    <x v="214"/>
    <x v="213"/>
    <n v="19"/>
    <n v="152.1"/>
    <n v="0"/>
    <n v="0"/>
    <n v="19"/>
    <n v="152.1"/>
    <n v="4"/>
    <n v="64.099999999999994"/>
  </r>
  <r>
    <x v="215"/>
    <x v="214"/>
    <n v="80"/>
    <n v="1377.6699999999998"/>
    <n v="0"/>
    <n v="0"/>
    <n v="80"/>
    <n v="1377.6699999999998"/>
    <n v="168"/>
    <n v="2981.7799999999997"/>
  </r>
  <r>
    <x v="216"/>
    <x v="215"/>
    <n v="0"/>
    <n v="0"/>
    <n v="0"/>
    <n v="0"/>
    <n v="0"/>
    <n v="0"/>
    <n v="0"/>
    <n v="0"/>
  </r>
  <r>
    <x v="217"/>
    <x v="216"/>
    <n v="133"/>
    <n v="2198.2800000000002"/>
    <n v="27"/>
    <n v="556.34999999999968"/>
    <n v="160"/>
    <n v="2754.63"/>
    <n v="323"/>
    <n v="5482.28"/>
  </r>
  <r>
    <x v="218"/>
    <x v="217"/>
    <n v="0"/>
    <n v="0"/>
    <n v="0"/>
    <n v="0"/>
    <n v="0"/>
    <n v="0"/>
    <n v="2"/>
    <n v="33.299999999999997"/>
  </r>
  <r>
    <x v="219"/>
    <x v="218"/>
    <n v="45"/>
    <n v="749.53"/>
    <n v="0"/>
    <n v="0"/>
    <n v="45"/>
    <n v="749.53"/>
    <n v="36"/>
    <n v="623.65000000000009"/>
  </r>
  <r>
    <x v="220"/>
    <x v="219"/>
    <n v="311"/>
    <n v="4353.78"/>
    <n v="9"/>
    <n v="197.10000000000002"/>
    <n v="320"/>
    <n v="4550.88"/>
    <n v="450"/>
    <n v="7174.82"/>
  </r>
  <r>
    <x v="221"/>
    <x v="220"/>
    <n v="29"/>
    <n v="308.87"/>
    <n v="0"/>
    <n v="0"/>
    <n v="29"/>
    <n v="308.87"/>
    <n v="87"/>
    <n v="1268.21"/>
  </r>
  <r>
    <x v="222"/>
    <x v="221"/>
    <n v="2"/>
    <n v="24.9"/>
    <n v="0"/>
    <n v="0"/>
    <n v="2"/>
    <n v="24.9"/>
    <n v="8"/>
    <n v="88.97999999999999"/>
  </r>
  <r>
    <x v="225"/>
    <x v="224"/>
    <n v="2"/>
    <n v="21.14"/>
    <n v="162"/>
    <n v="2660.6200000000035"/>
    <n v="164"/>
    <n v="2681.7600000000034"/>
    <n v="653"/>
    <n v="5355.1"/>
  </r>
  <r>
    <x v="226"/>
    <x v="225"/>
    <n v="164"/>
    <n v="1414.3200000000002"/>
    <n v="0"/>
    <n v="0"/>
    <n v="164"/>
    <n v="1414.3200000000002"/>
    <n v="1074"/>
    <n v="8021.42"/>
  </r>
  <r>
    <x v="227"/>
    <x v="226"/>
    <n v="0"/>
    <n v="0"/>
    <n v="0"/>
    <n v="0"/>
    <n v="0"/>
    <n v="0"/>
    <n v="337"/>
    <n v="2822.07"/>
  </r>
  <r>
    <x v="228"/>
    <x v="227"/>
    <n v="0"/>
    <n v="0"/>
    <n v="16"/>
    <n v="648.39999999999986"/>
    <n v="16"/>
    <n v="648.39999999999986"/>
    <n v="104"/>
    <n v="2832.29"/>
  </r>
  <r>
    <x v="229"/>
    <x v="228"/>
    <n v="12"/>
    <n v="509.98"/>
    <n v="0"/>
    <n v="0"/>
    <n v="12"/>
    <n v="509.98"/>
    <n v="196"/>
    <n v="8880.5199999999986"/>
  </r>
  <r>
    <x v="230"/>
    <x v="229"/>
    <n v="46"/>
    <n v="2711.67"/>
    <n v="0"/>
    <n v="0"/>
    <n v="46"/>
    <n v="2711.67"/>
    <n v="74"/>
    <n v="3675.0099999999998"/>
  </r>
  <r>
    <x v="231"/>
    <x v="230"/>
    <n v="2"/>
    <n v="9.82"/>
    <n v="0"/>
    <n v="0"/>
    <n v="2"/>
    <n v="9.82"/>
    <n v="4"/>
    <n v="16.079999999999998"/>
  </r>
  <r>
    <x v="232"/>
    <x v="231"/>
    <n v="7"/>
    <n v="114.85"/>
    <n v="0"/>
    <n v="0"/>
    <n v="7"/>
    <n v="114.85"/>
    <n v="2"/>
    <n v="32.619999999999997"/>
  </r>
  <r>
    <x v="233"/>
    <x v="232"/>
    <n v="9"/>
    <n v="527.06999999999994"/>
    <n v="20"/>
    <n v="1539.1"/>
    <n v="29"/>
    <n v="2066.17"/>
    <n v="149"/>
    <n v="10444.210000000001"/>
  </r>
  <r>
    <x v="234"/>
    <x v="233"/>
    <n v="5"/>
    <n v="103.59"/>
    <n v="0"/>
    <n v="0"/>
    <n v="5"/>
    <n v="103.59"/>
    <n v="14"/>
    <n v="386.76999999999992"/>
  </r>
  <r>
    <x v="235"/>
    <x v="234"/>
    <n v="34"/>
    <n v="389.38999999999993"/>
    <n v="0"/>
    <n v="0"/>
    <n v="34"/>
    <n v="389.38999999999993"/>
    <n v="79"/>
    <n v="965.70999999999992"/>
  </r>
  <r>
    <x v="236"/>
    <x v="235"/>
    <n v="1"/>
    <n v="21.6"/>
    <n v="0"/>
    <n v="0"/>
    <n v="1"/>
    <n v="21.6"/>
    <n v="21"/>
    <n v="605.88"/>
  </r>
  <r>
    <x v="237"/>
    <x v="236"/>
    <n v="16"/>
    <n v="360.32000000000005"/>
    <n v="0"/>
    <n v="0"/>
    <n v="16"/>
    <n v="360.32000000000005"/>
    <n v="9"/>
    <n v="220.59"/>
  </r>
  <r>
    <x v="238"/>
    <x v="237"/>
    <n v="0"/>
    <n v="0"/>
    <n v="0"/>
    <n v="0"/>
    <n v="0"/>
    <n v="0"/>
    <n v="16"/>
    <n v="158.46"/>
  </r>
  <r>
    <x v="239"/>
    <x v="238"/>
    <n v="11"/>
    <n v="55.180000000000007"/>
    <n v="0"/>
    <n v="0"/>
    <n v="11"/>
    <n v="55.180000000000007"/>
    <n v="19"/>
    <n v="125.57"/>
  </r>
  <r>
    <x v="240"/>
    <x v="239"/>
    <n v="0"/>
    <n v="0"/>
    <n v="0"/>
    <n v="0"/>
    <n v="0"/>
    <n v="0"/>
    <n v="31"/>
    <n v="279.27"/>
  </r>
  <r>
    <x v="241"/>
    <x v="240"/>
    <n v="3"/>
    <n v="135.37"/>
    <n v="0"/>
    <n v="0"/>
    <n v="3"/>
    <n v="135.37"/>
    <n v="1"/>
    <n v="44.44"/>
  </r>
  <r>
    <x v="242"/>
    <x v="241"/>
    <n v="3"/>
    <n v="47.239999999999995"/>
    <n v="0"/>
    <n v="0"/>
    <n v="3"/>
    <n v="47.239999999999995"/>
    <n v="10"/>
    <n v="120.11"/>
  </r>
  <r>
    <x v="243"/>
    <x v="242"/>
    <n v="0"/>
    <n v="0"/>
    <n v="0"/>
    <n v="0"/>
    <n v="0"/>
    <n v="0"/>
    <n v="0"/>
    <n v="0"/>
  </r>
  <r>
    <x v="244"/>
    <x v="243"/>
    <n v="8"/>
    <n v="464.51"/>
    <n v="0"/>
    <n v="0"/>
    <n v="8"/>
    <n v="464.51"/>
    <n v="0"/>
    <n v="0"/>
  </r>
  <r>
    <x v="245"/>
    <x v="244"/>
    <n v="2"/>
    <n v="35.200000000000003"/>
    <n v="0"/>
    <n v="0"/>
    <n v="2"/>
    <n v="35.200000000000003"/>
    <n v="4"/>
    <n v="45.769999999999996"/>
  </r>
  <r>
    <x v="246"/>
    <x v="245"/>
    <n v="0"/>
    <n v="0"/>
    <n v="0"/>
    <n v="0"/>
    <n v="0"/>
    <n v="0"/>
    <n v="0"/>
    <n v="0"/>
  </r>
  <r>
    <x v="247"/>
    <x v="246"/>
    <n v="648"/>
    <n v="6687.3600000000015"/>
    <n v="0"/>
    <n v="0"/>
    <n v="648"/>
    <n v="6687.3600000000015"/>
    <n v="2490"/>
    <n v="20695.780000000002"/>
  </r>
  <r>
    <x v="248"/>
    <x v="247"/>
    <n v="0"/>
    <n v="0"/>
    <n v="0"/>
    <n v="0"/>
    <n v="0"/>
    <n v="0"/>
    <n v="9"/>
    <n v="307.18"/>
  </r>
  <r>
    <x v="249"/>
    <x v="248"/>
    <n v="9"/>
    <n v="536.88"/>
    <n v="0"/>
    <n v="0"/>
    <n v="9"/>
    <n v="536.88"/>
    <n v="97"/>
    <n v="6336.99"/>
  </r>
  <r>
    <x v="250"/>
    <x v="249"/>
    <n v="2"/>
    <n v="28.38"/>
    <n v="0"/>
    <n v="0"/>
    <n v="2"/>
    <n v="28.38"/>
    <n v="5"/>
    <n v="81.83"/>
  </r>
  <r>
    <x v="251"/>
    <x v="250"/>
    <n v="3"/>
    <n v="48.129999999999995"/>
    <n v="0"/>
    <n v="0"/>
    <n v="3"/>
    <n v="48.129999999999995"/>
    <n v="11"/>
    <n v="180.66000000000003"/>
  </r>
  <r>
    <x v="252"/>
    <x v="251"/>
    <n v="14"/>
    <n v="154.4"/>
    <n v="0"/>
    <n v="0"/>
    <n v="14"/>
    <n v="154.4"/>
    <n v="0"/>
    <n v="0"/>
  </r>
  <r>
    <x v="253"/>
    <x v="252"/>
    <n v="9"/>
    <n v="145.46"/>
    <n v="0"/>
    <n v="0"/>
    <n v="9"/>
    <n v="145.46"/>
    <n v="1"/>
    <n v="12.42"/>
  </r>
  <r>
    <x v="254"/>
    <x v="253"/>
    <n v="3"/>
    <n v="18.72"/>
    <n v="0"/>
    <n v="0"/>
    <n v="3"/>
    <n v="18.72"/>
    <n v="3"/>
    <n v="24.75"/>
  </r>
  <r>
    <x v="255"/>
    <x v="254"/>
    <n v="0"/>
    <n v="0"/>
    <n v="0"/>
    <n v="0"/>
    <n v="0"/>
    <n v="0"/>
    <n v="50"/>
    <n v="369.54"/>
  </r>
  <r>
    <x v="257"/>
    <x v="256"/>
    <n v="42"/>
    <n v="608.13"/>
    <n v="0"/>
    <n v="0"/>
    <n v="42"/>
    <n v="608.13"/>
    <n v="77"/>
    <n v="1157.01"/>
  </r>
  <r>
    <x v="258"/>
    <x v="257"/>
    <n v="4"/>
    <n v="65.52"/>
    <n v="0"/>
    <n v="0"/>
    <n v="4"/>
    <n v="65.52"/>
    <n v="576"/>
    <n v="9142.880000000001"/>
  </r>
  <r>
    <x v="259"/>
    <x v="258"/>
    <n v="30"/>
    <n v="418.83"/>
    <n v="0"/>
    <n v="0"/>
    <n v="30"/>
    <n v="418.83"/>
    <n v="111"/>
    <n v="1351.69"/>
  </r>
  <r>
    <x v="260"/>
    <x v="259"/>
    <n v="5"/>
    <n v="112.74000000000001"/>
    <n v="0"/>
    <n v="0"/>
    <n v="5"/>
    <n v="112.74000000000001"/>
    <n v="3"/>
    <n v="74.550000000000011"/>
  </r>
  <r>
    <x v="261"/>
    <x v="260"/>
    <n v="343"/>
    <n v="3486.6300000000006"/>
    <n v="0"/>
    <n v="0"/>
    <n v="343"/>
    <n v="3486.6300000000006"/>
    <n v="3345"/>
    <n v="27470.199999999997"/>
  </r>
  <r>
    <x v="263"/>
    <x v="262"/>
    <n v="29"/>
    <n v="234.67000000000002"/>
    <n v="0"/>
    <n v="0"/>
    <n v="29"/>
    <n v="234.67000000000002"/>
    <n v="59"/>
    <n v="411.57"/>
  </r>
  <r>
    <x v="264"/>
    <x v="263"/>
    <n v="1"/>
    <n v="9.51"/>
    <n v="0"/>
    <n v="0"/>
    <n v="1"/>
    <n v="9.51"/>
    <n v="886"/>
    <n v="11893.82"/>
  </r>
  <r>
    <x v="265"/>
    <x v="264"/>
    <n v="1"/>
    <n v="16.45"/>
    <n v="0"/>
    <n v="0"/>
    <n v="1"/>
    <n v="16.45"/>
    <n v="25"/>
    <n v="271.59000000000003"/>
  </r>
  <r>
    <x v="266"/>
    <x v="265"/>
    <n v="678"/>
    <n v="8596.59"/>
    <n v="6"/>
    <n v="91.4"/>
    <n v="684"/>
    <n v="8687.99"/>
    <n v="3432"/>
    <n v="40142.44"/>
  </r>
  <r>
    <x v="267"/>
    <x v="266"/>
    <n v="24"/>
    <n v="276.97000000000003"/>
    <n v="0"/>
    <n v="0"/>
    <n v="24"/>
    <n v="276.97000000000003"/>
    <n v="16"/>
    <n v="153.32"/>
  </r>
  <r>
    <x v="268"/>
    <x v="267"/>
    <n v="1"/>
    <n v="5.42"/>
    <n v="0"/>
    <n v="0"/>
    <n v="1"/>
    <n v="5.42"/>
    <n v="0"/>
    <n v="0"/>
  </r>
  <r>
    <x v="269"/>
    <x v="268"/>
    <n v="35"/>
    <n v="428.14"/>
    <n v="0"/>
    <n v="0"/>
    <n v="35"/>
    <n v="428.14"/>
    <n v="69"/>
    <n v="767.14999999999986"/>
  </r>
  <r>
    <x v="270"/>
    <x v="269"/>
    <n v="2"/>
    <n v="65.400000000000006"/>
    <n v="0"/>
    <n v="0"/>
    <n v="2"/>
    <n v="65.400000000000006"/>
    <n v="9"/>
    <n v="195.04"/>
  </r>
  <r>
    <x v="271"/>
    <x v="270"/>
    <n v="5"/>
    <n v="150.29"/>
    <n v="5"/>
    <n v="189.5"/>
    <n v="10"/>
    <n v="339.78999999999996"/>
    <n v="208"/>
    <n v="6531.8099999999995"/>
  </r>
  <r>
    <x v="272"/>
    <x v="271"/>
    <n v="22"/>
    <n v="1103.1299999999999"/>
    <n v="0"/>
    <n v="0"/>
    <n v="22"/>
    <n v="1103.1299999999999"/>
    <n v="2"/>
    <n v="107.2"/>
  </r>
  <r>
    <x v="273"/>
    <x v="272"/>
    <n v="21"/>
    <n v="2.93"/>
    <n v="0"/>
    <n v="0"/>
    <n v="21"/>
    <n v="2.93"/>
    <n v="1"/>
    <n v="4.0199999999999996"/>
  </r>
  <r>
    <x v="274"/>
    <x v="273"/>
    <n v="5"/>
    <n v="208.96"/>
    <n v="0"/>
    <n v="0"/>
    <n v="5"/>
    <n v="208.96"/>
    <n v="64"/>
    <n v="1788.4899999999998"/>
  </r>
  <r>
    <x v="276"/>
    <x v="275"/>
    <n v="243"/>
    <n v="3443.5699999999997"/>
    <n v="0"/>
    <n v="0"/>
    <n v="243"/>
    <n v="3443.5699999999997"/>
    <n v="12"/>
    <n v="169.96"/>
  </r>
  <r>
    <x v="277"/>
    <x v="276"/>
    <n v="6"/>
    <n v="91.74"/>
    <n v="0"/>
    <n v="0"/>
    <n v="6"/>
    <n v="91.74"/>
    <n v="3"/>
    <n v="65.8"/>
  </r>
  <r>
    <x v="278"/>
    <x v="277"/>
    <n v="9"/>
    <n v="194.04"/>
    <n v="0"/>
    <n v="0"/>
    <n v="9"/>
    <n v="194.04"/>
    <n v="10"/>
    <n v="303.88"/>
  </r>
  <r>
    <x v="279"/>
    <x v="278"/>
    <n v="79"/>
    <n v="2302.19"/>
    <n v="0"/>
    <n v="0"/>
    <n v="79"/>
    <n v="2302.19"/>
    <n v="143"/>
    <n v="4169.4299999999994"/>
  </r>
  <r>
    <x v="280"/>
    <x v="279"/>
    <n v="1"/>
    <n v="61.57"/>
    <n v="0"/>
    <n v="0"/>
    <n v="1"/>
    <n v="61.57"/>
    <n v="1"/>
    <n v="60.04"/>
  </r>
  <r>
    <x v="281"/>
    <x v="280"/>
    <n v="188"/>
    <n v="2349.3199999999997"/>
    <n v="0"/>
    <n v="0"/>
    <n v="188"/>
    <n v="2349.3199999999997"/>
    <n v="247"/>
    <n v="2823.97"/>
  </r>
  <r>
    <x v="282"/>
    <x v="281"/>
    <n v="0"/>
    <n v="0"/>
    <n v="0"/>
    <n v="0"/>
    <n v="0"/>
    <n v="0"/>
    <n v="10"/>
    <n v="258.82"/>
  </r>
  <r>
    <x v="284"/>
    <x v="283"/>
    <n v="16"/>
    <n v="1706.5"/>
    <n v="0"/>
    <n v="0"/>
    <n v="16"/>
    <n v="1706.5"/>
    <n v="34"/>
    <n v="3216.54"/>
  </r>
  <r>
    <x v="285"/>
    <x v="284"/>
    <n v="10"/>
    <n v="852.7"/>
    <n v="0"/>
    <n v="0"/>
    <n v="10"/>
    <n v="852.7"/>
    <n v="0"/>
    <n v="0"/>
  </r>
  <r>
    <x v="286"/>
    <x v="285"/>
    <n v="1"/>
    <n v="58.2"/>
    <n v="0"/>
    <n v="0"/>
    <n v="1"/>
    <n v="58.2"/>
    <n v="1"/>
    <n v="57.3"/>
  </r>
  <r>
    <x v="288"/>
    <x v="287"/>
    <n v="28"/>
    <n v="720.15000000000009"/>
    <n v="0"/>
    <n v="0"/>
    <n v="28"/>
    <n v="720.15000000000009"/>
    <n v="324"/>
    <n v="6508.53"/>
  </r>
  <r>
    <x v="289"/>
    <x v="288"/>
    <n v="20"/>
    <n v="490.2"/>
    <n v="0"/>
    <n v="0"/>
    <n v="20"/>
    <n v="490.2"/>
    <n v="14"/>
    <n v="343.14"/>
  </r>
  <r>
    <x v="290"/>
    <x v="289"/>
    <n v="121"/>
    <n v="2369.2999999999997"/>
    <n v="0"/>
    <n v="0"/>
    <n v="121"/>
    <n v="2369.2999999999997"/>
    <n v="249"/>
    <n v="4271.53"/>
  </r>
  <r>
    <x v="293"/>
    <x v="292"/>
    <n v="1"/>
    <n v="49.1"/>
    <n v="0"/>
    <n v="0"/>
    <n v="1"/>
    <n v="49.1"/>
    <n v="4"/>
    <n v="193.97"/>
  </r>
  <r>
    <x v="294"/>
    <x v="293"/>
    <n v="0"/>
    <n v="0"/>
    <n v="0"/>
    <n v="0"/>
    <n v="0"/>
    <n v="0"/>
    <n v="73"/>
    <n v="1411.1000000000001"/>
  </r>
  <r>
    <x v="295"/>
    <x v="294"/>
    <n v="2"/>
    <n v="12.32"/>
    <n v="0"/>
    <n v="0"/>
    <n v="2"/>
    <n v="12.32"/>
    <n v="0"/>
    <n v="0"/>
  </r>
  <r>
    <x v="296"/>
    <x v="295"/>
    <n v="8"/>
    <n v="115.44"/>
    <n v="0"/>
    <n v="0"/>
    <n v="8"/>
    <n v="115.44"/>
    <n v="5"/>
    <n v="79.16"/>
  </r>
  <r>
    <x v="297"/>
    <x v="296"/>
    <n v="0"/>
    <n v="0"/>
    <n v="0"/>
    <n v="0"/>
    <n v="0"/>
    <n v="0"/>
    <n v="1"/>
    <n v="60.97"/>
  </r>
  <r>
    <x v="298"/>
    <x v="297"/>
    <n v="0"/>
    <n v="0"/>
    <n v="0"/>
    <n v="0"/>
    <n v="0"/>
    <n v="0"/>
    <n v="1"/>
    <n v="32.08"/>
  </r>
  <r>
    <x v="299"/>
    <x v="298"/>
    <n v="5"/>
    <n v="425.66999999999996"/>
    <n v="0"/>
    <n v="0"/>
    <n v="5"/>
    <n v="425.66999999999996"/>
    <n v="15"/>
    <n v="1203.3599999999999"/>
  </r>
  <r>
    <x v="300"/>
    <x v="299"/>
    <n v="3"/>
    <n v="106.26"/>
    <n v="0"/>
    <n v="0"/>
    <n v="3"/>
    <n v="106.26"/>
    <n v="1"/>
    <n v="17.309999999999999"/>
  </r>
  <r>
    <x v="301"/>
    <x v="300"/>
    <n v="110"/>
    <n v="1527.2000000000003"/>
    <n v="4"/>
    <n v="99.6"/>
    <n v="114"/>
    <n v="1626.8000000000002"/>
    <n v="750"/>
    <n v="9839.76"/>
  </r>
  <r>
    <x v="302"/>
    <x v="301"/>
    <n v="2"/>
    <n v="21.41"/>
    <n v="0"/>
    <n v="0"/>
    <n v="2"/>
    <n v="21.41"/>
    <n v="3"/>
    <n v="37.22"/>
  </r>
  <r>
    <x v="303"/>
    <x v="302"/>
    <n v="44"/>
    <n v="1593.6399999999999"/>
    <n v="0"/>
    <n v="0"/>
    <n v="44"/>
    <n v="1593.6399999999999"/>
    <n v="86"/>
    <n v="3244.49"/>
  </r>
  <r>
    <x v="304"/>
    <x v="303"/>
    <n v="15"/>
    <n v="379.73999999999995"/>
    <n v="0"/>
    <n v="0"/>
    <n v="15"/>
    <n v="379.73999999999995"/>
    <n v="17"/>
    <n v="395.35999999999996"/>
  </r>
  <r>
    <x v="305"/>
    <x v="304"/>
    <n v="520"/>
    <n v="5611.14"/>
    <n v="7"/>
    <n v="76.300000000000011"/>
    <n v="527"/>
    <n v="5687.4400000000005"/>
    <n v="1304"/>
    <n v="10598.41"/>
  </r>
  <r>
    <x v="306"/>
    <x v="305"/>
    <n v="16"/>
    <n v="526.41"/>
    <n v="0"/>
    <n v="0"/>
    <n v="16"/>
    <n v="526.41"/>
    <n v="37"/>
    <n v="1200.03"/>
  </r>
  <r>
    <x v="307"/>
    <x v="306"/>
    <n v="4"/>
    <n v="187.86"/>
    <n v="0"/>
    <n v="0"/>
    <n v="4"/>
    <n v="187.86"/>
    <n v="2"/>
    <n v="99.42"/>
  </r>
  <r>
    <x v="309"/>
    <x v="308"/>
    <n v="12"/>
    <n v="236.48000000000002"/>
    <n v="0"/>
    <n v="0"/>
    <n v="12"/>
    <n v="236.48000000000002"/>
    <n v="63"/>
    <n v="1059.8300000000002"/>
  </r>
  <r>
    <x v="310"/>
    <x v="309"/>
    <n v="20"/>
    <n v="366.40999999999997"/>
    <n v="0"/>
    <n v="0"/>
    <n v="20"/>
    <n v="366.40999999999997"/>
    <n v="67"/>
    <n v="1108.97"/>
  </r>
  <r>
    <x v="311"/>
    <x v="310"/>
    <n v="32"/>
    <n v="608.34"/>
    <n v="2"/>
    <n v="44.8"/>
    <n v="34"/>
    <n v="653.14"/>
    <n v="9"/>
    <n v="149.38999999999999"/>
  </r>
  <r>
    <x v="312"/>
    <x v="311"/>
    <n v="3"/>
    <n v="123.25999999999999"/>
    <n v="0"/>
    <n v="0"/>
    <n v="3"/>
    <n v="123.25999999999999"/>
    <n v="8"/>
    <n v="329.32"/>
  </r>
  <r>
    <x v="313"/>
    <x v="312"/>
    <n v="10"/>
    <n v="136.38999999999999"/>
    <n v="0"/>
    <n v="0"/>
    <n v="10"/>
    <n v="136.38999999999999"/>
    <n v="5"/>
    <n v="86.26"/>
  </r>
  <r>
    <x v="314"/>
    <x v="313"/>
    <n v="114"/>
    <n v="1866.3"/>
    <n v="8"/>
    <n v="199.20000000000002"/>
    <n v="122"/>
    <n v="2065.5"/>
    <n v="1118"/>
    <n v="18298.170000000002"/>
  </r>
  <r>
    <x v="315"/>
    <x v="314"/>
    <n v="88"/>
    <n v="3901.1"/>
    <n v="0"/>
    <n v="0"/>
    <n v="88"/>
    <n v="3901.1"/>
    <n v="3"/>
    <n v="118.37"/>
  </r>
  <r>
    <x v="316"/>
    <x v="315"/>
    <n v="9"/>
    <n v="72.989999999999995"/>
    <n v="0"/>
    <n v="0"/>
    <n v="9"/>
    <n v="72.989999999999995"/>
    <n v="30"/>
    <n v="242.78"/>
  </r>
  <r>
    <x v="317"/>
    <x v="316"/>
    <n v="74"/>
    <n v="6564.6100000000006"/>
    <n v="0"/>
    <n v="0"/>
    <n v="74"/>
    <n v="6564.6100000000006"/>
    <n v="39"/>
    <n v="3209.21"/>
  </r>
  <r>
    <x v="318"/>
    <x v="317"/>
    <n v="4"/>
    <n v="380.8"/>
    <n v="0"/>
    <n v="0"/>
    <n v="4"/>
    <n v="380.8"/>
    <n v="6"/>
    <n v="491.34"/>
  </r>
  <r>
    <x v="319"/>
    <x v="318"/>
    <n v="148"/>
    <n v="1752.33"/>
    <n v="0"/>
    <n v="0"/>
    <n v="148"/>
    <n v="1752.33"/>
    <n v="640"/>
    <n v="6850.6100000000006"/>
  </r>
  <r>
    <x v="320"/>
    <x v="319"/>
    <n v="1"/>
    <n v="58.74"/>
    <n v="0"/>
    <n v="0"/>
    <n v="1"/>
    <n v="58.74"/>
    <n v="2"/>
    <n v="114.6"/>
  </r>
  <r>
    <x v="321"/>
    <x v="320"/>
    <n v="2"/>
    <n v="88.34"/>
    <n v="0"/>
    <n v="0"/>
    <n v="2"/>
    <n v="88.34"/>
    <n v="12"/>
    <n v="451.15999999999997"/>
  </r>
  <r>
    <x v="322"/>
    <x v="321"/>
    <n v="623"/>
    <n v="10619.670000000002"/>
    <n v="0"/>
    <n v="0"/>
    <n v="623"/>
    <n v="10619.670000000002"/>
    <n v="0"/>
    <n v="0"/>
  </r>
  <r>
    <x v="323"/>
    <x v="322"/>
    <n v="2"/>
    <n v="96.87"/>
    <n v="0"/>
    <n v="0"/>
    <n v="2"/>
    <n v="96.87"/>
    <n v="5"/>
    <n v="165.14"/>
  </r>
  <r>
    <x v="324"/>
    <x v="323"/>
    <n v="1"/>
    <n v="160.65"/>
    <n v="0"/>
    <n v="0"/>
    <n v="1"/>
    <n v="160.65"/>
    <n v="2"/>
    <n v="226.06"/>
  </r>
  <r>
    <x v="325"/>
    <x v="324"/>
    <n v="569"/>
    <n v="2809.4100000000003"/>
    <n v="0"/>
    <n v="0"/>
    <n v="569"/>
    <n v="2809.4100000000003"/>
    <n v="1146"/>
    <n v="4758.41"/>
  </r>
  <r>
    <x v="326"/>
    <x v="325"/>
    <n v="144"/>
    <n v="920.59"/>
    <n v="0"/>
    <n v="0"/>
    <n v="144"/>
    <n v="920.59"/>
    <n v="0"/>
    <n v="0"/>
  </r>
  <r>
    <x v="327"/>
    <x v="326"/>
    <n v="9"/>
    <n v="33.79"/>
    <n v="0"/>
    <n v="0"/>
    <n v="9"/>
    <n v="33.79"/>
    <n v="0"/>
    <n v="0"/>
  </r>
  <r>
    <x v="328"/>
    <x v="327"/>
    <n v="1"/>
    <n v="62.18"/>
    <n v="0"/>
    <n v="0"/>
    <n v="1"/>
    <n v="62.18"/>
    <n v="1"/>
    <n v="83.19"/>
  </r>
  <r>
    <x v="329"/>
    <x v="328"/>
    <n v="306"/>
    <n v="3686.1200000000003"/>
    <n v="0"/>
    <n v="0"/>
    <n v="306"/>
    <n v="3686.1200000000003"/>
    <n v="0"/>
    <n v="0"/>
  </r>
  <r>
    <x v="330"/>
    <x v="329"/>
    <n v="13"/>
    <n v="546.92000000000007"/>
    <n v="0"/>
    <n v="0"/>
    <n v="13"/>
    <n v="546.92000000000007"/>
    <n v="3"/>
    <n v="152.28"/>
  </r>
  <r>
    <x v="332"/>
    <x v="331"/>
    <n v="264"/>
    <n v="2285.4"/>
    <n v="0"/>
    <n v="0"/>
    <n v="264"/>
    <n v="2285.4"/>
    <n v="38"/>
    <n v="323.26"/>
  </r>
  <r>
    <x v="333"/>
    <x v="332"/>
    <n v="22"/>
    <n v="908.24000000000012"/>
    <n v="0"/>
    <n v="0"/>
    <n v="22"/>
    <n v="908.24000000000012"/>
    <n v="0"/>
    <n v="0"/>
  </r>
  <r>
    <x v="334"/>
    <x v="333"/>
    <n v="35"/>
    <n v="1273.7199999999998"/>
    <n v="0"/>
    <n v="0"/>
    <n v="35"/>
    <n v="1273.7199999999998"/>
    <n v="0"/>
    <n v="0"/>
  </r>
  <r>
    <x v="335"/>
    <x v="334"/>
    <n v="3"/>
    <n v="64.400000000000006"/>
    <n v="0"/>
    <n v="0"/>
    <n v="3"/>
    <n v="64.400000000000006"/>
    <n v="0"/>
    <n v="0"/>
  </r>
  <r>
    <x v="336"/>
    <x v="335"/>
    <n v="4"/>
    <n v="170.14999999999998"/>
    <n v="0"/>
    <n v="0"/>
    <n v="4"/>
    <n v="170.14999999999998"/>
    <n v="0"/>
    <n v="0"/>
  </r>
  <r>
    <x v="337"/>
    <x v="336"/>
    <n v="1"/>
    <n v="32.369999999999997"/>
    <n v="0"/>
    <n v="0"/>
    <n v="1"/>
    <n v="32.369999999999997"/>
    <n v="0"/>
    <n v="0"/>
  </r>
  <r>
    <x v="338"/>
    <x v="337"/>
    <n v="6"/>
    <n v="176.59"/>
    <n v="0"/>
    <n v="0"/>
    <n v="6"/>
    <n v="176.59"/>
    <n v="0"/>
    <n v="0"/>
  </r>
  <r>
    <x v="339"/>
    <x v="338"/>
    <n v="2"/>
    <n v="65.599999999999994"/>
    <n v="0"/>
    <n v="0"/>
    <n v="2"/>
    <n v="65.599999999999994"/>
    <n v="0"/>
    <n v="0"/>
  </r>
  <r>
    <x v="340"/>
    <x v="339"/>
    <n v="2"/>
    <n v="67.09"/>
    <n v="0"/>
    <n v="0"/>
    <n v="2"/>
    <n v="67.09"/>
    <n v="0"/>
    <n v="0"/>
  </r>
  <r>
    <x v="341"/>
    <x v="340"/>
    <n v="17"/>
    <n v="315.93"/>
    <n v="0"/>
    <n v="0"/>
    <n v="17"/>
    <n v="315.93"/>
    <n v="0"/>
    <n v="0"/>
  </r>
  <r>
    <x v="342"/>
    <x v="341"/>
    <n v="315"/>
    <n v="30.99"/>
    <n v="0"/>
    <n v="0"/>
    <n v="315"/>
    <n v="30.99"/>
    <n v="0"/>
    <n v="0"/>
  </r>
  <r>
    <x v="343"/>
    <x v="342"/>
    <n v="4"/>
    <n v="15.36"/>
    <n v="0"/>
    <n v="0"/>
    <n v="4"/>
    <n v="15.36"/>
    <n v="0"/>
    <n v="0"/>
  </r>
  <r>
    <x v="344"/>
    <x v="343"/>
    <n v="3"/>
    <n v="400.21"/>
    <n v="0"/>
    <n v="0"/>
    <n v="3"/>
    <n v="400.21"/>
    <n v="0"/>
    <n v="0"/>
  </r>
  <r>
    <x v="345"/>
    <x v="344"/>
    <n v="39"/>
    <n v="863.03000000000009"/>
    <n v="0"/>
    <n v="0"/>
    <n v="39"/>
    <n v="863.03000000000009"/>
    <n v="0"/>
    <n v="0"/>
  </r>
  <r>
    <x v="346"/>
    <x v="345"/>
    <n v="24"/>
    <n v="122.81"/>
    <n v="0"/>
    <n v="0"/>
    <n v="24"/>
    <n v="122.81"/>
    <n v="0"/>
    <n v="0"/>
  </r>
  <r>
    <x v="347"/>
    <x v="346"/>
    <n v="18"/>
    <n v="119.77"/>
    <n v="0"/>
    <n v="0"/>
    <n v="18"/>
    <n v="119.77"/>
    <n v="0"/>
    <n v="0"/>
  </r>
  <r>
    <x v="348"/>
    <x v="347"/>
    <n v="423"/>
    <n v="2621.3000000000002"/>
    <n v="0"/>
    <n v="0"/>
    <n v="423"/>
    <n v="2621.3000000000002"/>
    <n v="0"/>
    <n v="0"/>
  </r>
  <r>
    <x v="349"/>
    <x v="348"/>
    <n v="93"/>
    <n v="2805.25"/>
    <n v="0"/>
    <n v="0"/>
    <n v="93"/>
    <n v="2805.25"/>
    <n v="0"/>
    <n v="0"/>
  </r>
  <r>
    <x v="350"/>
    <x v="349"/>
    <n v="234"/>
    <n v="3595.7999999999997"/>
    <n v="0"/>
    <n v="0"/>
    <n v="234"/>
    <n v="3595.7999999999997"/>
    <n v="0"/>
    <n v="0"/>
  </r>
  <r>
    <x v="351"/>
    <x v="350"/>
    <n v="2"/>
    <n v="102.32"/>
    <n v="0"/>
    <n v="0"/>
    <n v="2"/>
    <n v="102.32"/>
    <n v="0"/>
    <n v="0"/>
  </r>
  <r>
    <x v="352"/>
    <x v="351"/>
    <n v="21"/>
    <n v="869.78"/>
    <n v="0"/>
    <n v="0"/>
    <n v="21"/>
    <n v="869.78"/>
    <n v="0"/>
    <n v="0"/>
  </r>
  <r>
    <x v="353"/>
    <x v="352"/>
    <n v="101"/>
    <n v="1663.64"/>
    <n v="5"/>
    <n v="124.5"/>
    <n v="106"/>
    <n v="1788.14"/>
    <n v="0"/>
    <n v="0"/>
  </r>
  <r>
    <x v="354"/>
    <x v="353"/>
    <n v="372"/>
    <n v="6196.29"/>
    <n v="56"/>
    <n v="1063.5799999999995"/>
    <n v="428"/>
    <n v="7259.869999999999"/>
    <n v="0"/>
    <n v="0"/>
  </r>
  <r>
    <x v="355"/>
    <x v="354"/>
    <n v="137"/>
    <n v="2234.4699999999998"/>
    <n v="107"/>
    <n v="2664.3000000000025"/>
    <n v="244"/>
    <n v="4898.7700000000023"/>
    <n v="0"/>
    <n v="0"/>
  </r>
  <r>
    <x v="356"/>
    <x v="355"/>
    <n v="3"/>
    <n v="115.5"/>
    <n v="0"/>
    <n v="0"/>
    <n v="3"/>
    <n v="115.5"/>
    <n v="0"/>
    <n v="0"/>
  </r>
  <r>
    <x v="357"/>
    <x v="356"/>
    <n v="74"/>
    <n v="2091.16"/>
    <n v="0"/>
    <n v="0"/>
    <n v="74"/>
    <n v="2091.16"/>
    <n v="0"/>
    <n v="0"/>
  </r>
  <r>
    <x v="358"/>
    <x v="357"/>
    <n v="13"/>
    <n v="191.48999999999998"/>
    <n v="0"/>
    <n v="0"/>
    <n v="13"/>
    <n v="191.48999999999998"/>
    <n v="0"/>
    <n v="0"/>
  </r>
  <r>
    <x v="4"/>
    <x v="4"/>
    <n v="0"/>
    <n v="0"/>
    <n v="0"/>
    <n v="0"/>
    <n v="0"/>
    <n v="0"/>
    <n v="1"/>
    <n v="10.64"/>
  </r>
  <r>
    <x v="142"/>
    <x v="141"/>
    <n v="5"/>
    <n v="97.62"/>
    <n v="0"/>
    <n v="0"/>
    <n v="5"/>
    <n v="97.62"/>
    <n v="15"/>
    <n v="248.05"/>
  </r>
  <r>
    <x v="117"/>
    <x v="116"/>
    <n v="72"/>
    <n v="2028.94"/>
    <n v="561"/>
    <n v="16981.76999999988"/>
    <n v="633"/>
    <n v="19010.709999999879"/>
    <n v="243"/>
    <n v="7185.6299999999992"/>
  </r>
  <r>
    <x v="111"/>
    <x v="111"/>
    <n v="30"/>
    <n v="665.80000000000007"/>
    <n v="0"/>
    <n v="0"/>
    <n v="30"/>
    <n v="665.80000000000007"/>
    <n v="130"/>
    <n v="2560.5"/>
  </r>
  <r>
    <x v="153"/>
    <x v="152"/>
    <n v="25"/>
    <n v="993.72"/>
    <n v="1"/>
    <n v="59.9"/>
    <n v="26"/>
    <n v="1053.6200000000001"/>
    <n v="17"/>
    <n v="716.4"/>
  </r>
  <r>
    <x v="168"/>
    <x v="167"/>
    <n v="5"/>
    <n v="100.64000000000001"/>
    <n v="0"/>
    <n v="0"/>
    <n v="5"/>
    <n v="100.64000000000001"/>
    <n v="10"/>
    <n v="204.26999999999998"/>
  </r>
  <r>
    <x v="179"/>
    <x v="178"/>
    <n v="0"/>
    <n v="0"/>
    <n v="0"/>
    <n v="0"/>
    <n v="0"/>
    <n v="0"/>
    <n v="1"/>
    <n v="9.86"/>
  </r>
  <r>
    <x v="134"/>
    <x v="133"/>
    <n v="24"/>
    <n v="339.75"/>
    <n v="0"/>
    <n v="0"/>
    <n v="24"/>
    <n v="339.75"/>
    <n v="0"/>
    <n v="0"/>
  </r>
  <r>
    <x v="121"/>
    <x v="120"/>
    <n v="5"/>
    <n v="186.48000000000002"/>
    <n v="12"/>
    <n v="506.69999999999993"/>
    <n v="17"/>
    <n v="693.18"/>
    <n v="190"/>
    <n v="7207.1499999999987"/>
  </r>
  <r>
    <x v="48"/>
    <x v="48"/>
    <n v="0"/>
    <n v="0"/>
    <n v="31"/>
    <n v="1442.9000000000005"/>
    <n v="31"/>
    <n v="1442.9000000000005"/>
    <n v="159"/>
    <n v="4548.99"/>
  </r>
  <r>
    <x v="94"/>
    <x v="94"/>
    <n v="47"/>
    <n v="1409.6499999999999"/>
    <n v="1"/>
    <n v="39.9"/>
    <n v="48"/>
    <n v="1449.55"/>
    <n v="68"/>
    <n v="1929.5399999999997"/>
  </r>
  <r>
    <x v="146"/>
    <x v="145"/>
    <n v="8"/>
    <n v="198.73000000000002"/>
    <n v="0"/>
    <n v="0"/>
    <n v="8"/>
    <n v="198.73000000000002"/>
    <n v="4"/>
    <n v="94.68"/>
  </r>
  <r>
    <x v="58"/>
    <x v="58"/>
    <n v="0"/>
    <n v="0"/>
    <n v="0"/>
    <n v="0"/>
    <n v="0"/>
    <n v="0"/>
    <n v="0"/>
    <n v="0"/>
  </r>
  <r>
    <x v="71"/>
    <x v="71"/>
    <n v="1"/>
    <n v="26.97"/>
    <n v="511"/>
    <n v="16991.059999999899"/>
    <n v="512"/>
    <n v="17018.029999999901"/>
    <n v="1091"/>
    <n v="29204.000000000004"/>
  </r>
  <r>
    <x v="136"/>
    <x v="135"/>
    <n v="2"/>
    <n v="151.86000000000001"/>
    <n v="0"/>
    <n v="0"/>
    <n v="2"/>
    <n v="151.86000000000001"/>
    <n v="8"/>
    <n v="684.63"/>
  </r>
  <r>
    <x v="40"/>
    <x v="40"/>
    <n v="14"/>
    <n v="58.41"/>
    <n v="0"/>
    <n v="0"/>
    <n v="14"/>
    <n v="58.41"/>
    <n v="6"/>
    <n v="32.700000000000003"/>
  </r>
  <r>
    <x v="65"/>
    <x v="65"/>
    <n v="1"/>
    <n v="66.58"/>
    <n v="0"/>
    <n v="0"/>
    <n v="1"/>
    <n v="66.58"/>
    <n v="2"/>
    <n v="118.81"/>
  </r>
  <r>
    <x v="37"/>
    <x v="37"/>
    <n v="3"/>
    <n v="10.49"/>
    <n v="0"/>
    <n v="0"/>
    <n v="3"/>
    <n v="10.49"/>
    <n v="11"/>
    <n v="39.089999999999996"/>
  </r>
  <r>
    <x v="108"/>
    <x v="108"/>
    <n v="199"/>
    <n v="2973.83"/>
    <n v="0"/>
    <n v="0"/>
    <n v="199"/>
    <n v="2973.83"/>
    <n v="200"/>
    <n v="2480.7799999999997"/>
  </r>
  <r>
    <x v="45"/>
    <x v="45"/>
    <n v="66"/>
    <n v="1357.8700000000001"/>
    <n v="0"/>
    <n v="0"/>
    <n v="66"/>
    <n v="1357.8700000000001"/>
    <n v="57"/>
    <n v="1206.24"/>
  </r>
  <r>
    <x v="113"/>
    <x v="111"/>
    <n v="2"/>
    <n v="22.14"/>
    <n v="253"/>
    <n v="3814.7000000000157"/>
    <n v="255"/>
    <n v="3836.8400000000156"/>
    <n v="610"/>
    <n v="6077.06"/>
  </r>
  <r>
    <x v="147"/>
    <x v="146"/>
    <n v="0"/>
    <n v="0"/>
    <n v="0"/>
    <n v="0"/>
    <n v="0"/>
    <n v="0"/>
    <n v="3"/>
    <n v="74.5"/>
  </r>
  <r>
    <x v="141"/>
    <x v="140"/>
    <n v="361"/>
    <n v="5152.8799999999992"/>
    <n v="0"/>
    <n v="0"/>
    <n v="361"/>
    <n v="5152.8799999999992"/>
    <n v="61"/>
    <n v="964.33999999999992"/>
  </r>
  <r>
    <x v="80"/>
    <x v="80"/>
    <n v="5"/>
    <n v="103.55"/>
    <n v="107"/>
    <n v="2748.5900000000051"/>
    <n v="112"/>
    <n v="2852.1400000000053"/>
    <n v="479"/>
    <n v="9698.7800000000007"/>
  </r>
  <r>
    <x v="163"/>
    <x v="162"/>
    <n v="-4"/>
    <n v="-230.16"/>
    <n v="0"/>
    <n v="0"/>
    <n v="-4"/>
    <n v="-230.16"/>
    <n v="69"/>
    <n v="4358.68"/>
  </r>
  <r>
    <x v="122"/>
    <x v="121"/>
    <n v="62"/>
    <n v="2621.2599999999998"/>
    <n v="16"/>
    <n v="958.39999999999975"/>
    <n v="78"/>
    <n v="3579.6599999999994"/>
    <n v="81"/>
    <n v="3497.3799999999997"/>
  </r>
  <r>
    <x v="57"/>
    <x v="57"/>
    <n v="36"/>
    <n v="3.64"/>
    <n v="0"/>
    <n v="0"/>
    <n v="36"/>
    <n v="3.64"/>
    <n v="128"/>
    <n v="492.45"/>
  </r>
  <r>
    <x v="33"/>
    <x v="33"/>
    <n v="9"/>
    <n v="199.98"/>
    <n v="3"/>
    <n v="104.69999999999999"/>
    <n v="12"/>
    <n v="304.67999999999995"/>
    <n v="62"/>
    <n v="1299.4100000000001"/>
  </r>
  <r>
    <x v="86"/>
    <x v="86"/>
    <n v="43"/>
    <n v="1896.1"/>
    <n v="23"/>
    <n v="1095.6999999999998"/>
    <n v="66"/>
    <n v="2991.7999999999997"/>
    <n v="136"/>
    <n v="5664.4500000000007"/>
  </r>
  <r>
    <x v="137"/>
    <x v="136"/>
    <n v="7"/>
    <n v="332.73"/>
    <n v="0"/>
    <n v="0"/>
    <n v="7"/>
    <n v="332.73"/>
    <n v="29"/>
    <n v="1092.56"/>
  </r>
  <r>
    <x v="6"/>
    <x v="6"/>
    <n v="48"/>
    <n v="271.81"/>
    <n v="0"/>
    <n v="0"/>
    <n v="48"/>
    <n v="271.81"/>
    <n v="107"/>
    <n v="604.37"/>
  </r>
  <r>
    <x v="17"/>
    <x v="17"/>
    <n v="2"/>
    <n v="98.08"/>
    <n v="0"/>
    <n v="0"/>
    <n v="2"/>
    <n v="98.08"/>
    <n v="7"/>
    <n v="345.81"/>
  </r>
  <r>
    <x v="31"/>
    <x v="31"/>
    <n v="1"/>
    <n v="18.03"/>
    <n v="0"/>
    <n v="0"/>
    <n v="1"/>
    <n v="18.03"/>
    <n v="0"/>
    <n v="0"/>
  </r>
  <r>
    <x v="64"/>
    <x v="64"/>
    <n v="15"/>
    <n v="942.38"/>
    <n v="2"/>
    <n v="159.80000000000001"/>
    <n v="17"/>
    <n v="1102.18"/>
    <n v="64"/>
    <n v="3830.5099999999998"/>
  </r>
  <r>
    <x v="72"/>
    <x v="72"/>
    <n v="3"/>
    <n v="101.14"/>
    <n v="0"/>
    <n v="0"/>
    <n v="3"/>
    <n v="101.14"/>
    <n v="10"/>
    <n v="349.02"/>
  </r>
  <r>
    <x v="83"/>
    <x v="83"/>
    <n v="-1"/>
    <n v="-5.12"/>
    <n v="0"/>
    <n v="0"/>
    <n v="-1"/>
    <n v="-5.12"/>
    <n v="1"/>
    <n v="6.68"/>
  </r>
  <r>
    <x v="127"/>
    <x v="126"/>
    <n v="178"/>
    <n v="3604.5600000000004"/>
    <n v="0"/>
    <n v="0"/>
    <n v="178"/>
    <n v="3604.5600000000004"/>
    <n v="399"/>
    <n v="8196.3599999999988"/>
  </r>
  <r>
    <x v="132"/>
    <x v="131"/>
    <n v="93"/>
    <n v="687.96"/>
    <n v="0"/>
    <n v="0"/>
    <n v="93"/>
    <n v="687.96"/>
    <n v="93"/>
    <n v="765.85"/>
  </r>
  <r>
    <x v="157"/>
    <x v="156"/>
    <n v="16"/>
    <n v="317.03000000000003"/>
    <n v="0"/>
    <n v="0"/>
    <n v="16"/>
    <n v="317.03000000000003"/>
    <n v="18"/>
    <n v="357.93"/>
  </r>
  <r>
    <x v="176"/>
    <x v="175"/>
    <n v="62"/>
    <n v="393.92"/>
    <n v="0"/>
    <n v="0"/>
    <n v="62"/>
    <n v="393.92"/>
    <n v="93"/>
    <n v="418.45"/>
  </r>
  <r>
    <x v="183"/>
    <x v="182"/>
    <n v="51"/>
    <n v="1264.3"/>
    <n v="0"/>
    <n v="0"/>
    <n v="51"/>
    <n v="1264.3"/>
    <n v="197"/>
    <n v="4353.119999999999"/>
  </r>
  <r>
    <x v="12"/>
    <x v="12"/>
    <n v="0"/>
    <n v="0"/>
    <n v="0"/>
    <n v="0"/>
    <n v="0"/>
    <n v="0"/>
    <n v="0"/>
    <n v="0"/>
  </r>
  <r>
    <x v="49"/>
    <x v="49"/>
    <n v="11"/>
    <n v="45.739999999999995"/>
    <n v="0"/>
    <n v="0"/>
    <n v="11"/>
    <n v="45.739999999999995"/>
    <n v="0"/>
    <n v="0"/>
  </r>
  <r>
    <x v="59"/>
    <x v="59"/>
    <n v="0"/>
    <n v="0"/>
    <n v="0"/>
    <n v="0"/>
    <n v="0"/>
    <n v="0"/>
    <n v="0"/>
    <n v="0"/>
  </r>
  <r>
    <x v="145"/>
    <x v="144"/>
    <n v="40"/>
    <n v="465.02000000000004"/>
    <n v="0"/>
    <n v="0"/>
    <n v="40"/>
    <n v="465.02000000000004"/>
    <n v="127"/>
    <n v="1220.3300000000002"/>
  </r>
  <r>
    <x v="150"/>
    <x v="149"/>
    <n v="0"/>
    <n v="0"/>
    <n v="0"/>
    <n v="0"/>
    <n v="0"/>
    <n v="0"/>
    <n v="12"/>
    <n v="97.32"/>
  </r>
  <r>
    <x v="159"/>
    <x v="158"/>
    <n v="0"/>
    <n v="0"/>
    <n v="0"/>
    <n v="0"/>
    <n v="0"/>
    <n v="0"/>
    <n v="0"/>
    <n v="0"/>
  </r>
  <r>
    <x v="160"/>
    <x v="159"/>
    <n v="0"/>
    <n v="0"/>
    <n v="28"/>
    <n v="2304.0100000000007"/>
    <n v="28"/>
    <n v="2304.0100000000007"/>
    <n v="14"/>
    <n v="873.36"/>
  </r>
  <r>
    <x v="180"/>
    <x v="179"/>
    <n v="95"/>
    <n v="1248.69"/>
    <n v="0"/>
    <n v="0"/>
    <n v="95"/>
    <n v="1248.69"/>
    <n v="37"/>
    <n v="505.47"/>
  </r>
  <r>
    <x v="84"/>
    <x v="84"/>
    <n v="3"/>
    <n v="130.44"/>
    <n v="0"/>
    <n v="0"/>
    <n v="3"/>
    <n v="130.44"/>
    <n v="3"/>
    <n v="130.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2">
  <r>
    <x v="0"/>
    <x v="0"/>
    <n v="486"/>
    <n v="6983.03"/>
    <n v="3"/>
    <n v="60.699999999999996"/>
    <n v="8.6175932354022652E-3"/>
    <n v="489"/>
    <n v="7043.73"/>
    <n v="14"/>
    <n v="182.42"/>
    <x v="0"/>
    <n v="6861.3099999999995"/>
    <n v="37.612706940028502"/>
  </r>
  <r>
    <x v="1"/>
    <x v="1"/>
    <n v="0"/>
    <n v="0"/>
    <n v="0"/>
    <n v="0"/>
    <m/>
    <n v="0"/>
    <n v="0"/>
    <n v="0"/>
    <n v="0"/>
    <x v="1"/>
    <n v="0"/>
    <m/>
  </r>
  <r>
    <x v="2"/>
    <x v="2"/>
    <n v="6"/>
    <n v="83.1"/>
    <n v="0"/>
    <n v="0"/>
    <n v="0"/>
    <n v="6"/>
    <n v="83.1"/>
    <n v="1"/>
    <n v="20.59"/>
    <x v="2"/>
    <n v="62.509999999999991"/>
    <n v="3.0359397765905776"/>
  </r>
  <r>
    <x v="3"/>
    <x v="3"/>
    <n v="0"/>
    <n v="0"/>
    <n v="0"/>
    <n v="0"/>
    <m/>
    <n v="0"/>
    <n v="0"/>
    <n v="1"/>
    <n v="19.690000000000001"/>
    <x v="3"/>
    <n v="-19.690000000000001"/>
    <n v="-1"/>
  </r>
  <r>
    <x v="4"/>
    <x v="4"/>
    <n v="36"/>
    <n v="211.74"/>
    <n v="0"/>
    <n v="0"/>
    <n v="0"/>
    <n v="36"/>
    <n v="211.74"/>
    <n v="109"/>
    <n v="755.85"/>
    <x v="4"/>
    <n v="-544.11"/>
    <n v="-0.7198650525897996"/>
  </r>
  <r>
    <x v="5"/>
    <x v="5"/>
    <n v="0"/>
    <n v="0"/>
    <n v="0"/>
    <n v="0"/>
    <m/>
    <n v="0"/>
    <n v="0"/>
    <n v="9"/>
    <n v="71.489999999999995"/>
    <x v="5"/>
    <n v="-71.489999999999995"/>
    <n v="-1"/>
  </r>
  <r>
    <x v="6"/>
    <x v="6"/>
    <n v="0"/>
    <n v="0"/>
    <n v="0"/>
    <n v="0"/>
    <m/>
    <n v="0"/>
    <n v="0"/>
    <n v="0"/>
    <n v="0"/>
    <x v="1"/>
    <n v="0"/>
    <m/>
  </r>
  <r>
    <x v="7"/>
    <x v="7"/>
    <n v="6"/>
    <n v="147.9"/>
    <n v="0"/>
    <n v="0"/>
    <n v="0"/>
    <n v="6"/>
    <n v="147.9"/>
    <n v="20"/>
    <n v="325.83999999999997"/>
    <x v="6"/>
    <n v="-177.93999999999997"/>
    <n v="-0.54609624355511899"/>
  </r>
  <r>
    <x v="8"/>
    <x v="8"/>
    <n v="275"/>
    <n v="5023.29"/>
    <n v="0"/>
    <n v="0"/>
    <n v="0"/>
    <n v="275"/>
    <n v="5023.29"/>
    <n v="258"/>
    <n v="4379.4399999999996"/>
    <x v="7"/>
    <n v="643.85000000000036"/>
    <n v="0.14701651352684372"/>
  </r>
  <r>
    <x v="9"/>
    <x v="9"/>
    <n v="1"/>
    <n v="20.41"/>
    <n v="48"/>
    <n v="1440.2000000000007"/>
    <n v="0.98602638623588768"/>
    <n v="49"/>
    <n v="1460.6100000000008"/>
    <n v="388"/>
    <n v="7919.08"/>
    <x v="8"/>
    <n v="-6458.4699999999993"/>
    <n v="-0.81555812038772169"/>
  </r>
  <r>
    <x v="10"/>
    <x v="10"/>
    <n v="2"/>
    <n v="98.08"/>
    <n v="0"/>
    <n v="0"/>
    <n v="0"/>
    <n v="2"/>
    <n v="98.08"/>
    <n v="7"/>
    <n v="364.33"/>
    <x v="9"/>
    <n v="-266.25"/>
    <n v="-0.73079351137704829"/>
  </r>
  <r>
    <x v="11"/>
    <x v="11"/>
    <n v="1"/>
    <n v="7.43"/>
    <n v="0"/>
    <n v="0"/>
    <n v="0"/>
    <n v="1"/>
    <n v="7.43"/>
    <n v="0"/>
    <n v="0"/>
    <x v="10"/>
    <n v="7.43"/>
    <m/>
  </r>
  <r>
    <x v="12"/>
    <x v="12"/>
    <n v="2"/>
    <n v="12.96"/>
    <n v="0"/>
    <n v="0"/>
    <n v="0"/>
    <n v="2"/>
    <n v="12.96"/>
    <n v="0"/>
    <n v="0"/>
    <x v="11"/>
    <n v="12.96"/>
    <m/>
  </r>
  <r>
    <x v="13"/>
    <x v="13"/>
    <n v="19"/>
    <n v="686.19"/>
    <n v="0"/>
    <n v="0"/>
    <n v="0"/>
    <n v="19"/>
    <n v="686.19"/>
    <n v="99"/>
    <n v="2832.39"/>
    <x v="12"/>
    <n v="-2146.1999999999998"/>
    <n v="-0.75773463400167351"/>
  </r>
  <r>
    <x v="14"/>
    <x v="14"/>
    <n v="15"/>
    <n v="209.45"/>
    <n v="0"/>
    <n v="0"/>
    <n v="0"/>
    <n v="15"/>
    <n v="209.45"/>
    <n v="1487"/>
    <n v="19352.55"/>
    <x v="13"/>
    <n v="-19143.099999999999"/>
    <n v="-0.98917713686310071"/>
  </r>
  <r>
    <x v="15"/>
    <x v="15"/>
    <n v="1"/>
    <n v="15.05"/>
    <n v="0"/>
    <n v="0"/>
    <n v="0"/>
    <n v="1"/>
    <n v="15.05"/>
    <n v="0"/>
    <n v="0"/>
    <x v="10"/>
    <n v="15.05"/>
    <m/>
  </r>
  <r>
    <x v="16"/>
    <x v="16"/>
    <n v="0"/>
    <n v="0"/>
    <n v="0"/>
    <n v="0"/>
    <m/>
    <n v="0"/>
    <n v="0"/>
    <n v="0"/>
    <n v="0"/>
    <x v="1"/>
    <n v="0"/>
    <m/>
  </r>
  <r>
    <x v="17"/>
    <x v="17"/>
    <n v="0"/>
    <n v="0"/>
    <n v="0"/>
    <n v="0"/>
    <m/>
    <n v="0"/>
    <n v="0"/>
    <n v="0"/>
    <n v="0"/>
    <x v="1"/>
    <n v="0"/>
    <m/>
  </r>
  <r>
    <x v="18"/>
    <x v="18"/>
    <n v="0"/>
    <n v="0"/>
    <n v="0"/>
    <n v="0"/>
    <m/>
    <n v="0"/>
    <n v="0"/>
    <n v="0"/>
    <n v="0"/>
    <x v="1"/>
    <n v="0"/>
    <m/>
  </r>
  <r>
    <x v="19"/>
    <x v="19"/>
    <n v="0"/>
    <n v="0"/>
    <n v="6"/>
    <n v="281.39999999999998"/>
    <n v="1"/>
    <n v="6"/>
    <n v="281.39999999999998"/>
    <n v="0"/>
    <n v="0"/>
    <x v="14"/>
    <n v="281.39999999999998"/>
    <m/>
  </r>
  <r>
    <x v="20"/>
    <x v="20"/>
    <n v="1"/>
    <n v="86.86"/>
    <n v="0"/>
    <n v="0"/>
    <n v="0"/>
    <n v="1"/>
    <n v="86.86"/>
    <n v="3"/>
    <n v="238.42"/>
    <x v="15"/>
    <n v="-151.56"/>
    <n v="-0.63568492576126168"/>
  </r>
  <r>
    <x v="21"/>
    <x v="21"/>
    <n v="2"/>
    <n v="7.25"/>
    <n v="0"/>
    <n v="0"/>
    <n v="0"/>
    <n v="2"/>
    <n v="7.25"/>
    <n v="13"/>
    <n v="44.07"/>
    <x v="16"/>
    <n v="-36.82"/>
    <n v="-0.83548899478103023"/>
  </r>
  <r>
    <x v="22"/>
    <x v="22"/>
    <n v="14"/>
    <n v="260.2"/>
    <n v="534"/>
    <n v="10674.529999999895"/>
    <n v="0.97620425927297672"/>
    <n v="548"/>
    <n v="10934.729999999896"/>
    <n v="2922"/>
    <n v="34319.58"/>
    <x v="17"/>
    <n v="-23384.850000000108"/>
    <n v="-0.68138508688043697"/>
  </r>
  <r>
    <x v="23"/>
    <x v="23"/>
    <n v="14"/>
    <n v="58.41"/>
    <n v="0"/>
    <n v="0"/>
    <n v="0"/>
    <n v="14"/>
    <n v="58.41"/>
    <n v="9"/>
    <n v="37.22"/>
    <x v="2"/>
    <n v="21.189999999999998"/>
    <n v="0.56931757119828041"/>
  </r>
  <r>
    <x v="24"/>
    <x v="24"/>
    <n v="0"/>
    <n v="0"/>
    <n v="0"/>
    <n v="0"/>
    <m/>
    <n v="0"/>
    <n v="0"/>
    <n v="7"/>
    <n v="42.76"/>
    <x v="18"/>
    <n v="-42.76"/>
    <n v="-1"/>
  </r>
  <r>
    <x v="25"/>
    <x v="25"/>
    <n v="1"/>
    <n v="35.32"/>
    <n v="317"/>
    <n v="11062.429999999938"/>
    <n v="0.99681737289090133"/>
    <n v="318"/>
    <n v="11097.749999999938"/>
    <n v="597"/>
    <n v="17144.47"/>
    <x v="19"/>
    <n v="-6046.720000000063"/>
    <n v="-0.35269215088014166"/>
  </r>
  <r>
    <x v="26"/>
    <x v="26"/>
    <n v="37"/>
    <n v="755.17"/>
    <n v="0"/>
    <n v="0"/>
    <n v="0"/>
    <n v="37"/>
    <n v="755.17"/>
    <n v="60"/>
    <n v="1297.24"/>
    <x v="20"/>
    <n v="-542.07000000000005"/>
    <n v="-0.41786408066356268"/>
  </r>
  <r>
    <x v="27"/>
    <x v="27"/>
    <n v="0"/>
    <n v="0"/>
    <n v="8"/>
    <n v="432.79999999999995"/>
    <n v="1"/>
    <n v="8"/>
    <n v="432.79999999999995"/>
    <n v="266"/>
    <n v="7610.26"/>
    <x v="21"/>
    <n v="-7177.46"/>
    <n v="-0.94312940687965985"/>
  </r>
  <r>
    <x v="28"/>
    <x v="28"/>
    <n v="0"/>
    <n v="0"/>
    <n v="0"/>
    <n v="0"/>
    <m/>
    <n v="0"/>
    <n v="0"/>
    <n v="0"/>
    <n v="0"/>
    <x v="1"/>
    <n v="0"/>
    <m/>
  </r>
  <r>
    <x v="29"/>
    <x v="29"/>
    <n v="2"/>
    <n v="27.28"/>
    <n v="0"/>
    <n v="0"/>
    <n v="0"/>
    <n v="2"/>
    <n v="27.28"/>
    <n v="8"/>
    <n v="100.16"/>
    <x v="22"/>
    <n v="-72.88"/>
    <n v="-0.72763578274760377"/>
  </r>
  <r>
    <x v="30"/>
    <x v="30"/>
    <n v="2"/>
    <n v="31.65"/>
    <n v="0"/>
    <n v="0"/>
    <n v="0"/>
    <n v="2"/>
    <n v="31.65"/>
    <n v="3"/>
    <n v="48.93"/>
    <x v="3"/>
    <n v="-17.28"/>
    <n v="-0.35315757204169224"/>
  </r>
  <r>
    <x v="31"/>
    <x v="31"/>
    <n v="0"/>
    <n v="0"/>
    <n v="0"/>
    <n v="0"/>
    <m/>
    <n v="0"/>
    <n v="0"/>
    <n v="1"/>
    <n v="6.89"/>
    <x v="3"/>
    <n v="-6.89"/>
    <n v="-1"/>
  </r>
  <r>
    <x v="32"/>
    <x v="32"/>
    <n v="0"/>
    <n v="0"/>
    <n v="0"/>
    <n v="0"/>
    <m/>
    <n v="0"/>
    <n v="0"/>
    <n v="0"/>
    <n v="0"/>
    <x v="1"/>
    <n v="0"/>
    <m/>
  </r>
  <r>
    <x v="33"/>
    <x v="33"/>
    <n v="0"/>
    <n v="0"/>
    <n v="0"/>
    <n v="0"/>
    <m/>
    <n v="0"/>
    <n v="0"/>
    <n v="0"/>
    <n v="0"/>
    <x v="1"/>
    <n v="0"/>
    <m/>
  </r>
  <r>
    <x v="34"/>
    <x v="34"/>
    <n v="0"/>
    <n v="0"/>
    <n v="0"/>
    <n v="0"/>
    <m/>
    <n v="0"/>
    <n v="0"/>
    <n v="0"/>
    <n v="0"/>
    <x v="1"/>
    <n v="0"/>
    <m/>
  </r>
  <r>
    <x v="35"/>
    <x v="35"/>
    <n v="49"/>
    <n v="1395.95"/>
    <n v="0"/>
    <n v="0"/>
    <n v="0"/>
    <n v="49"/>
    <n v="1395.95"/>
    <n v="586"/>
    <n v="14362.86"/>
    <x v="23"/>
    <n v="-12966.91"/>
    <n v="-0.90280835432497419"/>
  </r>
  <r>
    <x v="36"/>
    <x v="36"/>
    <n v="0"/>
    <n v="0"/>
    <n v="18"/>
    <n v="898.1999999999997"/>
    <n v="1"/>
    <n v="18"/>
    <n v="898.1999999999997"/>
    <n v="0"/>
    <n v="0"/>
    <x v="24"/>
    <n v="898.1999999999997"/>
    <m/>
  </r>
  <r>
    <x v="37"/>
    <x v="37"/>
    <n v="11"/>
    <n v="685.1"/>
    <n v="0"/>
    <n v="0"/>
    <n v="0"/>
    <n v="11"/>
    <n v="685.1"/>
    <n v="65"/>
    <n v="3560.59"/>
    <x v="25"/>
    <n v="-2875.4900000000002"/>
    <n v="-0.80758806826958451"/>
  </r>
  <r>
    <x v="38"/>
    <x v="38"/>
    <n v="0"/>
    <n v="0"/>
    <n v="0"/>
    <n v="0"/>
    <m/>
    <n v="0"/>
    <n v="0"/>
    <n v="0"/>
    <n v="0"/>
    <x v="1"/>
    <n v="0"/>
    <m/>
  </r>
  <r>
    <x v="39"/>
    <x v="39"/>
    <n v="14"/>
    <n v="1136.27"/>
    <n v="0"/>
    <n v="0"/>
    <n v="0"/>
    <n v="14"/>
    <n v="1136.27"/>
    <n v="38"/>
    <n v="2800.22"/>
    <x v="26"/>
    <n v="-1663.9499999999998"/>
    <n v="-0.59422116833677352"/>
  </r>
  <r>
    <x v="40"/>
    <x v="40"/>
    <n v="1"/>
    <n v="26.97"/>
    <n v="385"/>
    <n v="12660.569999999912"/>
    <n v="0.99787429241602399"/>
    <n v="386"/>
    <n v="12687.539999999912"/>
    <n v="304"/>
    <n v="8435.0400000000009"/>
    <x v="27"/>
    <n v="4252.4999999999109"/>
    <n v="0.50414698685482351"/>
  </r>
  <r>
    <x v="41"/>
    <x v="41"/>
    <n v="0"/>
    <n v="0"/>
    <n v="0"/>
    <n v="0"/>
    <m/>
    <n v="0"/>
    <n v="0"/>
    <n v="0"/>
    <n v="0"/>
    <x v="1"/>
    <n v="0"/>
    <m/>
  </r>
  <r>
    <x v="42"/>
    <x v="42"/>
    <n v="2"/>
    <n v="40.82"/>
    <n v="0"/>
    <n v="0"/>
    <n v="0"/>
    <n v="2"/>
    <n v="40.82"/>
    <n v="-1"/>
    <n v="-14.75"/>
    <x v="28"/>
    <n v="55.57"/>
    <n v="-3.767457627118644"/>
  </r>
  <r>
    <x v="43"/>
    <x v="43"/>
    <n v="5"/>
    <n v="129.21"/>
    <n v="0"/>
    <n v="0"/>
    <n v="0"/>
    <n v="5"/>
    <n v="129.21"/>
    <n v="19"/>
    <n v="465.69"/>
    <x v="6"/>
    <n v="-336.48"/>
    <n v="-0.72254074598982154"/>
  </r>
  <r>
    <x v="44"/>
    <x v="44"/>
    <n v="0"/>
    <n v="0"/>
    <n v="0"/>
    <n v="0"/>
    <m/>
    <n v="0"/>
    <n v="0"/>
    <n v="2"/>
    <n v="49.02"/>
    <x v="15"/>
    <n v="-49.02"/>
    <n v="-1"/>
  </r>
  <r>
    <x v="45"/>
    <x v="45"/>
    <n v="0"/>
    <n v="0"/>
    <n v="0"/>
    <n v="0"/>
    <m/>
    <n v="0"/>
    <n v="0"/>
    <n v="0"/>
    <n v="0"/>
    <x v="1"/>
    <n v="0"/>
    <m/>
  </r>
  <r>
    <x v="46"/>
    <x v="46"/>
    <n v="0"/>
    <n v="0"/>
    <n v="1"/>
    <n v="36.99"/>
    <n v="1"/>
    <n v="1"/>
    <n v="36.99"/>
    <n v="0"/>
    <n v="0"/>
    <x v="10"/>
    <n v="36.99"/>
    <m/>
  </r>
  <r>
    <x v="47"/>
    <x v="47"/>
    <n v="0"/>
    <n v="0"/>
    <n v="0"/>
    <n v="0"/>
    <m/>
    <n v="0"/>
    <n v="0"/>
    <n v="2"/>
    <n v="45.58"/>
    <x v="15"/>
    <n v="-45.58"/>
    <n v="-1"/>
  </r>
  <r>
    <x v="48"/>
    <x v="48"/>
    <n v="3"/>
    <n v="62.39"/>
    <n v="35"/>
    <n v="871.49999999999955"/>
    <n v="0.93319341678356127"/>
    <n v="38"/>
    <n v="933.88999999999953"/>
    <n v="417"/>
    <n v="8510.9699999999993"/>
    <x v="29"/>
    <n v="-7577.08"/>
    <n v="-0.89027220164094112"/>
  </r>
  <r>
    <x v="49"/>
    <x v="49"/>
    <n v="17"/>
    <n v="814.3"/>
    <n v="0"/>
    <n v="0"/>
    <n v="0"/>
    <n v="17"/>
    <n v="814.3"/>
    <n v="18"/>
    <n v="1031.4000000000001"/>
    <x v="3"/>
    <n v="-217.10000000000014"/>
    <n v="-0.21049059530734934"/>
  </r>
  <r>
    <x v="50"/>
    <x v="50"/>
    <n v="0"/>
    <n v="0"/>
    <n v="0"/>
    <n v="0"/>
    <m/>
    <n v="0"/>
    <n v="0"/>
    <n v="0"/>
    <n v="0"/>
    <x v="1"/>
    <n v="0"/>
    <m/>
  </r>
  <r>
    <x v="51"/>
    <x v="51"/>
    <n v="-1"/>
    <n v="-5.12"/>
    <n v="0"/>
    <n v="0"/>
    <n v="0"/>
    <n v="-1"/>
    <n v="-5.12"/>
    <n v="0"/>
    <n v="0"/>
    <x v="3"/>
    <n v="-5.12"/>
    <m/>
  </r>
  <r>
    <x v="52"/>
    <x v="52"/>
    <n v="0"/>
    <n v="0"/>
    <n v="0"/>
    <n v="0"/>
    <m/>
    <n v="0"/>
    <n v="0"/>
    <n v="0"/>
    <n v="0"/>
    <x v="1"/>
    <n v="0"/>
    <m/>
  </r>
  <r>
    <x v="53"/>
    <x v="53"/>
    <n v="34"/>
    <n v="1525.2"/>
    <n v="0"/>
    <n v="0"/>
    <n v="0"/>
    <n v="34"/>
    <n v="1525.2"/>
    <n v="222"/>
    <n v="9036.6"/>
    <x v="30"/>
    <n v="-7511.4000000000005"/>
    <n v="-0.83121970652679111"/>
  </r>
  <r>
    <x v="54"/>
    <x v="54"/>
    <n v="162"/>
    <n v="1977.32"/>
    <n v="0"/>
    <n v="0"/>
    <n v="0"/>
    <n v="162"/>
    <n v="1977.32"/>
    <n v="2"/>
    <n v="33.9"/>
    <x v="31"/>
    <n v="1943.4199999999998"/>
    <n v="57.32802359882006"/>
  </r>
  <r>
    <x v="55"/>
    <x v="55"/>
    <n v="40"/>
    <n v="573.30999999999995"/>
    <n v="0"/>
    <n v="0"/>
    <n v="0"/>
    <n v="40"/>
    <n v="573.30999999999995"/>
    <n v="181"/>
    <n v="2670.84"/>
    <x v="32"/>
    <n v="-2097.5300000000002"/>
    <n v="-0.78534468556708759"/>
  </r>
  <r>
    <x v="56"/>
    <x v="56"/>
    <n v="2"/>
    <n v="91.63"/>
    <n v="0"/>
    <n v="0"/>
    <n v="0"/>
    <n v="2"/>
    <n v="91.63"/>
    <n v="400"/>
    <n v="13080"/>
    <x v="33"/>
    <n v="-12988.37"/>
    <n v="-0.99299464831804285"/>
  </r>
  <r>
    <x v="57"/>
    <x v="57"/>
    <n v="0"/>
    <n v="0"/>
    <n v="0"/>
    <n v="0"/>
    <m/>
    <n v="0"/>
    <n v="0"/>
    <n v="0"/>
    <n v="0"/>
    <x v="1"/>
    <n v="0"/>
    <m/>
  </r>
  <r>
    <x v="58"/>
    <x v="58"/>
    <n v="6"/>
    <n v="294.60000000000002"/>
    <n v="0"/>
    <n v="0"/>
    <n v="0"/>
    <n v="6"/>
    <n v="294.60000000000002"/>
    <n v="23"/>
    <n v="1118.2"/>
    <x v="34"/>
    <n v="-823.6"/>
    <n v="-0.73654086925415851"/>
  </r>
  <r>
    <x v="59"/>
    <x v="59"/>
    <n v="1"/>
    <n v="33.14"/>
    <n v="8"/>
    <n v="377.39999999999992"/>
    <n v="0.91927704973936764"/>
    <n v="9"/>
    <n v="410.53999999999991"/>
    <n v="20"/>
    <n v="490.2"/>
    <x v="16"/>
    <n v="-79.660000000000082"/>
    <n v="-0.16250509995920051"/>
  </r>
  <r>
    <x v="60"/>
    <x v="60"/>
    <n v="22"/>
    <n v="266.22000000000003"/>
    <n v="0"/>
    <n v="0"/>
    <n v="0"/>
    <n v="22"/>
    <n v="266.22000000000003"/>
    <n v="2"/>
    <n v="26.88"/>
    <x v="35"/>
    <n v="239.34000000000003"/>
    <n v="8.9040178571428594"/>
  </r>
  <r>
    <x v="61"/>
    <x v="61"/>
    <n v="0"/>
    <n v="0"/>
    <n v="0"/>
    <n v="0"/>
    <m/>
    <n v="0"/>
    <n v="0"/>
    <n v="0"/>
    <n v="0"/>
    <x v="1"/>
    <n v="0"/>
    <m/>
  </r>
  <r>
    <x v="62"/>
    <x v="62"/>
    <n v="0"/>
    <n v="0"/>
    <n v="0"/>
    <n v="0"/>
    <m/>
    <n v="0"/>
    <n v="0"/>
    <n v="0"/>
    <n v="0"/>
    <x v="1"/>
    <n v="0"/>
    <m/>
  </r>
  <r>
    <x v="63"/>
    <x v="63"/>
    <n v="1"/>
    <n v="3.77"/>
    <n v="0"/>
    <n v="0"/>
    <n v="0"/>
    <n v="1"/>
    <n v="3.77"/>
    <n v="0"/>
    <n v="0"/>
    <x v="10"/>
    <n v="3.77"/>
    <m/>
  </r>
  <r>
    <x v="64"/>
    <x v="64"/>
    <n v="0"/>
    <n v="0"/>
    <n v="0"/>
    <n v="0"/>
    <m/>
    <n v="0"/>
    <n v="0"/>
    <n v="0"/>
    <n v="0"/>
    <x v="1"/>
    <n v="0"/>
    <m/>
  </r>
  <r>
    <x v="65"/>
    <x v="65"/>
    <n v="0"/>
    <n v="0"/>
    <n v="0"/>
    <n v="0"/>
    <m/>
    <n v="0"/>
    <n v="0"/>
    <n v="0"/>
    <n v="0"/>
    <x v="1"/>
    <n v="0"/>
    <m/>
  </r>
  <r>
    <x v="66"/>
    <x v="66"/>
    <n v="0"/>
    <n v="0"/>
    <n v="0"/>
    <n v="0"/>
    <m/>
    <n v="0"/>
    <n v="0"/>
    <n v="0"/>
    <n v="0"/>
    <x v="1"/>
    <n v="0"/>
    <m/>
  </r>
  <r>
    <x v="67"/>
    <x v="67"/>
    <n v="0"/>
    <n v="0"/>
    <n v="0"/>
    <n v="0"/>
    <m/>
    <n v="0"/>
    <n v="0"/>
    <n v="0"/>
    <n v="0"/>
    <x v="1"/>
    <n v="0"/>
    <m/>
  </r>
  <r>
    <x v="68"/>
    <x v="68"/>
    <n v="10"/>
    <n v="253.92"/>
    <n v="17"/>
    <n v="542.9899999999999"/>
    <n v="0.6813692888782924"/>
    <n v="27"/>
    <n v="796.90999999999985"/>
    <n v="91"/>
    <n v="2230.41"/>
    <x v="36"/>
    <n v="-1433.5"/>
    <n v="-0.64270694625651792"/>
  </r>
  <r>
    <x v="69"/>
    <x v="69"/>
    <n v="2"/>
    <n v="34.380000000000003"/>
    <n v="0"/>
    <n v="0"/>
    <n v="0"/>
    <n v="2"/>
    <n v="34.380000000000003"/>
    <n v="13"/>
    <n v="199.11"/>
    <x v="16"/>
    <n v="-164.73000000000002"/>
    <n v="-0.82733162573451868"/>
  </r>
  <r>
    <x v="70"/>
    <x v="70"/>
    <n v="25"/>
    <n v="540.71"/>
    <n v="0"/>
    <n v="0"/>
    <n v="0"/>
    <n v="25"/>
    <n v="540.71"/>
    <n v="37"/>
    <n v="878.32"/>
    <x v="37"/>
    <n v="-337.61"/>
    <n v="-0.38438154658894252"/>
  </r>
  <r>
    <x v="71"/>
    <x v="71"/>
    <n v="0"/>
    <n v="0"/>
    <n v="0"/>
    <n v="0"/>
    <m/>
    <n v="0"/>
    <n v="0"/>
    <n v="0"/>
    <n v="0"/>
    <x v="1"/>
    <n v="0"/>
    <m/>
  </r>
  <r>
    <x v="72"/>
    <x v="70"/>
    <n v="2"/>
    <n v="22.14"/>
    <n v="44"/>
    <n v="652.90999999999951"/>
    <n v="0.96720242944967039"/>
    <n v="46"/>
    <n v="675.0499999999995"/>
    <n v="68"/>
    <n v="794.19"/>
    <x v="38"/>
    <n v="-119.14000000000055"/>
    <n v="-0.1500144801621785"/>
  </r>
  <r>
    <x v="73"/>
    <x v="72"/>
    <n v="1"/>
    <n v="19.72"/>
    <n v="0"/>
    <n v="0"/>
    <n v="0"/>
    <n v="1"/>
    <n v="19.72"/>
    <n v="0"/>
    <n v="0"/>
    <x v="10"/>
    <n v="19.72"/>
    <m/>
  </r>
  <r>
    <x v="74"/>
    <x v="73"/>
    <n v="0"/>
    <n v="0"/>
    <n v="0"/>
    <n v="0"/>
    <m/>
    <n v="0"/>
    <n v="0"/>
    <n v="0"/>
    <n v="0"/>
    <x v="1"/>
    <n v="0"/>
    <m/>
  </r>
  <r>
    <x v="75"/>
    <x v="74"/>
    <n v="13"/>
    <n v="182.92"/>
    <n v="0"/>
    <n v="0"/>
    <n v="0"/>
    <n v="13"/>
    <n v="182.92"/>
    <n v="161"/>
    <n v="1965.81"/>
    <x v="39"/>
    <n v="-1782.8899999999999"/>
    <n v="-0.90694929825364601"/>
  </r>
  <r>
    <x v="76"/>
    <x v="75"/>
    <n v="0"/>
    <n v="0"/>
    <n v="229"/>
    <n v="6838.119999999979"/>
    <n v="1"/>
    <n v="229"/>
    <n v="6838.119999999979"/>
    <n v="0"/>
    <n v="0"/>
    <x v="40"/>
    <n v="6838.119999999979"/>
    <m/>
  </r>
  <r>
    <x v="77"/>
    <x v="76"/>
    <n v="1"/>
    <n v="36.799999999999997"/>
    <n v="16"/>
    <n v="798.39999999999975"/>
    <n v="0.95593869731800774"/>
    <n v="17"/>
    <n v="835.1999999999997"/>
    <n v="135"/>
    <n v="4968"/>
    <x v="41"/>
    <n v="-4132.8"/>
    <n v="-0.8318840579710145"/>
  </r>
  <r>
    <x v="78"/>
    <x v="77"/>
    <n v="0"/>
    <n v="0"/>
    <n v="19"/>
    <n v="1138.0999999999999"/>
    <n v="1"/>
    <n v="19"/>
    <n v="1138.0999999999999"/>
    <n v="0"/>
    <n v="0"/>
    <x v="42"/>
    <n v="1138.0999999999999"/>
    <m/>
  </r>
  <r>
    <x v="79"/>
    <x v="78"/>
    <n v="1"/>
    <n v="13.81"/>
    <n v="0"/>
    <n v="0"/>
    <n v="0"/>
    <n v="1"/>
    <n v="13.81"/>
    <n v="0"/>
    <n v="0"/>
    <x v="10"/>
    <n v="13.81"/>
    <m/>
  </r>
  <r>
    <x v="80"/>
    <x v="79"/>
    <n v="0"/>
    <n v="0"/>
    <n v="0"/>
    <n v="0"/>
    <m/>
    <n v="0"/>
    <n v="0"/>
    <n v="0"/>
    <n v="0"/>
    <x v="1"/>
    <n v="0"/>
    <m/>
  </r>
  <r>
    <x v="81"/>
    <x v="80"/>
    <n v="0"/>
    <n v="0"/>
    <n v="0"/>
    <n v="0"/>
    <m/>
    <n v="0"/>
    <n v="0"/>
    <n v="0"/>
    <n v="0"/>
    <x v="1"/>
    <n v="0"/>
    <m/>
  </r>
  <r>
    <x v="82"/>
    <x v="81"/>
    <n v="168"/>
    <n v="3399.3"/>
    <n v="0"/>
    <n v="0"/>
    <n v="0"/>
    <n v="168"/>
    <n v="3399.3"/>
    <n v="472"/>
    <n v="9633.52"/>
    <x v="43"/>
    <n v="-6234.22"/>
    <n v="-0.64713832534732896"/>
  </r>
  <r>
    <x v="83"/>
    <x v="82"/>
    <n v="2"/>
    <n v="48.17"/>
    <n v="0"/>
    <n v="0"/>
    <n v="0"/>
    <n v="2"/>
    <n v="48.17"/>
    <n v="5"/>
    <n v="104.95"/>
    <x v="44"/>
    <n v="-56.78"/>
    <n v="-0.54101953311100526"/>
  </r>
  <r>
    <x v="84"/>
    <x v="83"/>
    <n v="0"/>
    <n v="0"/>
    <n v="0"/>
    <n v="0"/>
    <m/>
    <n v="0"/>
    <n v="0"/>
    <n v="0"/>
    <n v="0"/>
    <x v="1"/>
    <n v="0"/>
    <m/>
  </r>
  <r>
    <x v="85"/>
    <x v="84"/>
    <n v="0"/>
    <n v="0"/>
    <n v="0"/>
    <n v="0"/>
    <m/>
    <n v="0"/>
    <n v="0"/>
    <n v="0"/>
    <n v="0"/>
    <x v="1"/>
    <n v="0"/>
    <m/>
  </r>
  <r>
    <x v="86"/>
    <x v="85"/>
    <n v="0"/>
    <n v="0"/>
    <n v="0"/>
    <n v="0"/>
    <m/>
    <n v="0"/>
    <n v="0"/>
    <n v="0"/>
    <n v="0"/>
    <x v="1"/>
    <n v="0"/>
    <m/>
  </r>
  <r>
    <x v="87"/>
    <x v="86"/>
    <n v="0"/>
    <n v="0"/>
    <n v="0"/>
    <n v="0"/>
    <m/>
    <n v="0"/>
    <n v="0"/>
    <n v="2"/>
    <n v="162.30000000000001"/>
    <x v="15"/>
    <n v="-162.30000000000001"/>
    <n v="-1"/>
  </r>
  <r>
    <x v="88"/>
    <x v="87"/>
    <n v="0"/>
    <n v="0"/>
    <n v="0"/>
    <n v="0"/>
    <m/>
    <n v="0"/>
    <n v="0"/>
    <n v="0"/>
    <n v="0"/>
    <x v="1"/>
    <n v="0"/>
    <m/>
  </r>
  <r>
    <x v="89"/>
    <x v="88"/>
    <n v="99"/>
    <n v="1371.15"/>
    <n v="0"/>
    <n v="0"/>
    <n v="0"/>
    <n v="99"/>
    <n v="1371.15"/>
    <n v="43"/>
    <n v="701.33"/>
    <x v="45"/>
    <n v="669.82"/>
    <n v="0.95507107923516743"/>
  </r>
  <r>
    <x v="90"/>
    <x v="89"/>
    <n v="0"/>
    <n v="0"/>
    <n v="0"/>
    <n v="0"/>
    <m/>
    <n v="0"/>
    <n v="0"/>
    <n v="2"/>
    <n v="32.659999999999997"/>
    <x v="15"/>
    <n v="-32.659999999999997"/>
    <n v="-1"/>
  </r>
  <r>
    <x v="91"/>
    <x v="90"/>
    <n v="6"/>
    <n v="147.06"/>
    <n v="0"/>
    <n v="0"/>
    <n v="0"/>
    <n v="6"/>
    <n v="147.06"/>
    <n v="16"/>
    <n v="392.16"/>
    <x v="46"/>
    <n v="-245.10000000000002"/>
    <n v="-0.625"/>
  </r>
  <r>
    <x v="92"/>
    <x v="91"/>
    <n v="0"/>
    <n v="0"/>
    <n v="0"/>
    <n v="0"/>
    <m/>
    <n v="0"/>
    <n v="0"/>
    <n v="794"/>
    <n v="9694.74"/>
    <x v="47"/>
    <n v="-9694.74"/>
    <n v="-1"/>
  </r>
  <r>
    <x v="93"/>
    <x v="92"/>
    <n v="16"/>
    <n v="167.52"/>
    <n v="0"/>
    <n v="0"/>
    <n v="0"/>
    <n v="16"/>
    <n v="167.52"/>
    <n v="52"/>
    <n v="596.63"/>
    <x v="48"/>
    <n v="-429.11"/>
    <n v="-0.71922296900926874"/>
  </r>
  <r>
    <x v="94"/>
    <x v="93"/>
    <n v="0"/>
    <n v="0"/>
    <n v="0"/>
    <n v="0"/>
    <m/>
    <n v="0"/>
    <n v="0"/>
    <n v="0"/>
    <n v="0"/>
    <x v="1"/>
    <n v="0"/>
    <m/>
  </r>
  <r>
    <x v="95"/>
    <x v="94"/>
    <n v="0"/>
    <n v="0"/>
    <n v="1"/>
    <n v="15.9"/>
    <n v="1"/>
    <n v="1"/>
    <n v="15.9"/>
    <n v="0"/>
    <n v="0"/>
    <x v="10"/>
    <n v="15.9"/>
    <m/>
  </r>
  <r>
    <x v="96"/>
    <x v="95"/>
    <n v="0"/>
    <n v="0"/>
    <n v="0"/>
    <n v="0"/>
    <m/>
    <n v="0"/>
    <n v="0"/>
    <n v="23"/>
    <n v="171.89"/>
    <x v="20"/>
    <n v="-171.89"/>
    <n v="-1"/>
  </r>
  <r>
    <x v="97"/>
    <x v="96"/>
    <n v="105"/>
    <n v="2591.61"/>
    <n v="104"/>
    <n v="3109.6000000000017"/>
    <n v="0.54542807579443675"/>
    <n v="209"/>
    <n v="5701.2100000000019"/>
    <n v="247"/>
    <n v="5658.63"/>
    <x v="49"/>
    <n v="42.580000000001746"/>
    <n v="7.5247895692069893E-3"/>
  </r>
  <r>
    <x v="98"/>
    <x v="97"/>
    <n v="25"/>
    <n v="993.72"/>
    <n v="0"/>
    <n v="0"/>
    <n v="0"/>
    <n v="25"/>
    <n v="993.72"/>
    <n v="21"/>
    <n v="998.34"/>
    <x v="50"/>
    <n v="-4.6200000000000045"/>
    <n v="-4.6276819520403916E-3"/>
  </r>
  <r>
    <x v="99"/>
    <x v="98"/>
    <n v="0"/>
    <n v="0"/>
    <n v="0"/>
    <n v="0"/>
    <m/>
    <n v="0"/>
    <n v="0"/>
    <n v="0"/>
    <n v="0"/>
    <x v="1"/>
    <n v="0"/>
    <m/>
  </r>
  <r>
    <x v="100"/>
    <x v="99"/>
    <n v="4"/>
    <n v="80.010000000000005"/>
    <n v="0"/>
    <n v="0"/>
    <n v="0"/>
    <n v="4"/>
    <n v="80.010000000000005"/>
    <n v="11"/>
    <n v="221.38"/>
    <x v="18"/>
    <n v="-141.37"/>
    <n v="-0.6385852380522179"/>
  </r>
  <r>
    <x v="101"/>
    <x v="100"/>
    <n v="0"/>
    <n v="0"/>
    <n v="0"/>
    <n v="0"/>
    <m/>
    <n v="0"/>
    <n v="0"/>
    <n v="0"/>
    <n v="0"/>
    <x v="1"/>
    <n v="0"/>
    <m/>
  </r>
  <r>
    <x v="102"/>
    <x v="101"/>
    <n v="0"/>
    <n v="0"/>
    <n v="0"/>
    <n v="0"/>
    <m/>
    <n v="0"/>
    <n v="0"/>
    <n v="0"/>
    <n v="0"/>
    <x v="1"/>
    <n v="0"/>
    <m/>
  </r>
  <r>
    <x v="103"/>
    <x v="102"/>
    <n v="0"/>
    <n v="0"/>
    <n v="26"/>
    <n v="2077.400000000001"/>
    <n v="1"/>
    <n v="26"/>
    <n v="2077.400000000001"/>
    <n v="0"/>
    <n v="0"/>
    <x v="51"/>
    <n v="2077.400000000001"/>
    <m/>
  </r>
  <r>
    <x v="104"/>
    <x v="103"/>
    <n v="0"/>
    <n v="0"/>
    <n v="3"/>
    <n v="149.69999999999999"/>
    <n v="1"/>
    <n v="3"/>
    <n v="149.69999999999999"/>
    <n v="0"/>
    <n v="0"/>
    <x v="28"/>
    <n v="149.69999999999999"/>
    <m/>
  </r>
  <r>
    <x v="105"/>
    <x v="104"/>
    <n v="3"/>
    <n v="92.19"/>
    <n v="0"/>
    <n v="0"/>
    <n v="0"/>
    <n v="3"/>
    <n v="92.19"/>
    <n v="39"/>
    <n v="955.89"/>
    <x v="48"/>
    <n v="-863.7"/>
    <n v="-0.90355584847628923"/>
  </r>
  <r>
    <x v="106"/>
    <x v="105"/>
    <n v="-4"/>
    <n v="-230.16"/>
    <n v="0"/>
    <n v="0"/>
    <n v="0"/>
    <n v="-4"/>
    <n v="-230.16"/>
    <n v="76"/>
    <n v="4817.34"/>
    <x v="12"/>
    <n v="-5047.5"/>
    <n v="-1.0477774041275891"/>
  </r>
  <r>
    <x v="107"/>
    <x v="106"/>
    <n v="0"/>
    <n v="0"/>
    <n v="0"/>
    <n v="0"/>
    <m/>
    <n v="0"/>
    <n v="0"/>
    <n v="0"/>
    <n v="0"/>
    <x v="1"/>
    <n v="0"/>
    <m/>
  </r>
  <r>
    <x v="108"/>
    <x v="107"/>
    <n v="12"/>
    <n v="709.12"/>
    <n v="0"/>
    <n v="0"/>
    <n v="0"/>
    <n v="12"/>
    <n v="709.12"/>
    <n v="33"/>
    <n v="1963.08"/>
    <x v="52"/>
    <n v="-1253.96"/>
    <n v="-0.63877172606312538"/>
  </r>
  <r>
    <x v="109"/>
    <x v="108"/>
    <n v="107"/>
    <n v="1345.75"/>
    <n v="0"/>
    <n v="0"/>
    <n v="0"/>
    <n v="107"/>
    <n v="1345.75"/>
    <n v="2989"/>
    <n v="36493.17"/>
    <x v="53"/>
    <n v="-35147.42"/>
    <n v="-0.96312323648507381"/>
  </r>
  <r>
    <x v="110"/>
    <x v="109"/>
    <n v="3"/>
    <n v="66.150000000000006"/>
    <n v="0"/>
    <n v="0"/>
    <n v="0"/>
    <n v="3"/>
    <n v="66.150000000000006"/>
    <n v="4"/>
    <n v="81.64"/>
    <x v="3"/>
    <n v="-15.489999999999995"/>
    <n v="-0.18973542381185687"/>
  </r>
  <r>
    <x v="111"/>
    <x v="110"/>
    <n v="0"/>
    <n v="0"/>
    <n v="29"/>
    <n v="1737.1000000000008"/>
    <n v="1"/>
    <n v="29"/>
    <n v="1737.1000000000008"/>
    <n v="0"/>
    <n v="0"/>
    <x v="54"/>
    <n v="1737.1000000000008"/>
    <m/>
  </r>
  <r>
    <x v="112"/>
    <x v="111"/>
    <n v="1"/>
    <n v="24.88"/>
    <n v="36"/>
    <n v="1101.6199999999997"/>
    <n v="0.97791389258766082"/>
    <n v="37"/>
    <n v="1126.4999999999998"/>
    <n v="889"/>
    <n v="18144.490000000002"/>
    <x v="55"/>
    <n v="-17017.990000000002"/>
    <n v="-0.93791503646561569"/>
  </r>
  <r>
    <x v="113"/>
    <x v="112"/>
    <n v="28"/>
    <n v="676.38"/>
    <n v="0"/>
    <n v="0"/>
    <n v="0"/>
    <n v="28"/>
    <n v="676.38"/>
    <n v="245"/>
    <n v="6004.95"/>
    <x v="56"/>
    <n v="-5328.57"/>
    <n v="-0.88736292558639118"/>
  </r>
  <r>
    <x v="114"/>
    <x v="113"/>
    <n v="5"/>
    <n v="24.55"/>
    <n v="0"/>
    <n v="0"/>
    <n v="0"/>
    <n v="5"/>
    <n v="24.55"/>
    <n v="7"/>
    <n v="41.82"/>
    <x v="15"/>
    <n v="-17.27"/>
    <n v="-0.41296030607364898"/>
  </r>
  <r>
    <x v="115"/>
    <x v="114"/>
    <n v="1"/>
    <n v="7.62"/>
    <n v="0"/>
    <n v="0"/>
    <n v="0"/>
    <n v="1"/>
    <n v="7.62"/>
    <n v="74"/>
    <n v="540.20000000000005"/>
    <x v="4"/>
    <n v="-532.58000000000004"/>
    <n v="-0.98589411329137355"/>
  </r>
  <r>
    <x v="116"/>
    <x v="115"/>
    <n v="45"/>
    <n v="281"/>
    <n v="0"/>
    <n v="0"/>
    <n v="0"/>
    <n v="45"/>
    <n v="281"/>
    <n v="11"/>
    <n v="80.3"/>
    <x v="57"/>
    <n v="200.7"/>
    <n v="2.4993773349937731"/>
  </r>
  <r>
    <x v="117"/>
    <x v="116"/>
    <n v="29"/>
    <n v="189.95"/>
    <n v="0"/>
    <n v="0"/>
    <n v="0"/>
    <n v="29"/>
    <n v="189.95"/>
    <n v="19"/>
    <n v="138.69999999999999"/>
    <x v="58"/>
    <n v="51.25"/>
    <n v="0.36950252343186735"/>
  </r>
  <r>
    <x v="118"/>
    <x v="117"/>
    <n v="57"/>
    <n v="357.47"/>
    <n v="0"/>
    <n v="0"/>
    <n v="0"/>
    <n v="57"/>
    <n v="357.47"/>
    <n v="50"/>
    <n v="352.02"/>
    <x v="59"/>
    <n v="5.4500000000000455"/>
    <n v="1.5482074882109101E-2"/>
  </r>
  <r>
    <x v="119"/>
    <x v="118"/>
    <n v="0"/>
    <n v="0"/>
    <n v="0"/>
    <n v="0"/>
    <m/>
    <n v="0"/>
    <n v="0"/>
    <n v="0"/>
    <n v="0"/>
    <x v="1"/>
    <n v="0"/>
    <m/>
  </r>
  <r>
    <x v="120"/>
    <x v="119"/>
    <n v="51"/>
    <n v="665.8"/>
    <n v="0"/>
    <n v="0"/>
    <n v="0"/>
    <n v="51"/>
    <n v="665.8"/>
    <n v="52"/>
    <n v="818.72"/>
    <x v="3"/>
    <n v="-152.92000000000007"/>
    <n v="-0.18677936290795397"/>
  </r>
  <r>
    <x v="121"/>
    <x v="120"/>
    <n v="1"/>
    <n v="5.98"/>
    <n v="0"/>
    <n v="0"/>
    <n v="0"/>
    <n v="1"/>
    <n v="5.98"/>
    <n v="0"/>
    <n v="0"/>
    <x v="10"/>
    <n v="5.98"/>
    <m/>
  </r>
  <r>
    <x v="122"/>
    <x v="121"/>
    <n v="25"/>
    <n v="612.75"/>
    <n v="1"/>
    <n v="29.9"/>
    <n v="4.6526102855364508E-2"/>
    <n v="26"/>
    <n v="642.65"/>
    <n v="74"/>
    <n v="1813.74"/>
    <x v="60"/>
    <n v="-1171.0900000000001"/>
    <n v="-0.64567688863894501"/>
  </r>
  <r>
    <x v="123"/>
    <x v="122"/>
    <n v="5"/>
    <n v="81.55"/>
    <n v="0"/>
    <n v="0"/>
    <n v="0"/>
    <n v="5"/>
    <n v="81.55"/>
    <n v="0"/>
    <n v="0"/>
    <x v="2"/>
    <n v="81.55"/>
    <m/>
  </r>
  <r>
    <x v="124"/>
    <x v="123"/>
    <n v="0"/>
    <n v="0"/>
    <n v="0"/>
    <n v="0"/>
    <m/>
    <n v="0"/>
    <n v="0"/>
    <n v="0"/>
    <n v="0"/>
    <x v="1"/>
    <n v="0"/>
    <m/>
  </r>
  <r>
    <x v="125"/>
    <x v="124"/>
    <n v="43"/>
    <n v="278.64"/>
    <n v="0"/>
    <n v="0"/>
    <n v="0"/>
    <n v="43"/>
    <n v="278.64"/>
    <n v="242"/>
    <n v="1766.5"/>
    <x v="61"/>
    <n v="-1487.8600000000001"/>
    <n v="-0.84226436456269471"/>
  </r>
  <r>
    <x v="126"/>
    <x v="125"/>
    <n v="16"/>
    <n v="206.03"/>
    <n v="0"/>
    <n v="0"/>
    <n v="0"/>
    <n v="16"/>
    <n v="206.03"/>
    <n v="833"/>
    <n v="10170.93"/>
    <x v="62"/>
    <n v="-9964.9"/>
    <n v="-0.97974324865081164"/>
  </r>
  <r>
    <x v="127"/>
    <x v="126"/>
    <n v="10"/>
    <n v="204.1"/>
    <n v="0"/>
    <n v="0"/>
    <n v="0"/>
    <n v="10"/>
    <n v="204.1"/>
    <n v="0"/>
    <n v="0"/>
    <x v="58"/>
    <n v="204.1"/>
    <m/>
  </r>
  <r>
    <x v="128"/>
    <x v="127"/>
    <n v="54"/>
    <n v="261.66000000000003"/>
    <n v="0"/>
    <n v="0"/>
    <n v="0"/>
    <n v="54"/>
    <n v="261.66000000000003"/>
    <n v="222"/>
    <n v="1074.48"/>
    <x v="63"/>
    <n v="-812.81999999999994"/>
    <n v="-0.75647755193209731"/>
  </r>
  <r>
    <x v="129"/>
    <x v="128"/>
    <n v="2"/>
    <n v="28.91"/>
    <n v="0"/>
    <n v="0"/>
    <n v="0"/>
    <n v="2"/>
    <n v="28.91"/>
    <n v="7"/>
    <n v="79.989999999999995"/>
    <x v="9"/>
    <n v="-51.08"/>
    <n v="-0.63857982247780976"/>
  </r>
  <r>
    <x v="130"/>
    <x v="129"/>
    <n v="43"/>
    <n v="712.92"/>
    <n v="0"/>
    <n v="0"/>
    <n v="0"/>
    <n v="43"/>
    <n v="712.92"/>
    <n v="229"/>
    <n v="3405.42"/>
    <x v="64"/>
    <n v="-2692.5"/>
    <n v="-0.79065137339887592"/>
  </r>
  <r>
    <x v="131"/>
    <x v="130"/>
    <n v="0"/>
    <n v="0"/>
    <n v="0"/>
    <n v="0"/>
    <m/>
    <n v="0"/>
    <n v="0"/>
    <n v="0"/>
    <n v="0"/>
    <x v="1"/>
    <n v="0"/>
    <m/>
  </r>
  <r>
    <x v="132"/>
    <x v="131"/>
    <n v="0"/>
    <n v="0"/>
    <n v="0"/>
    <n v="0"/>
    <m/>
    <n v="0"/>
    <n v="0"/>
    <n v="0"/>
    <n v="0"/>
    <x v="1"/>
    <n v="0"/>
    <m/>
  </r>
  <r>
    <x v="133"/>
    <x v="132"/>
    <n v="12"/>
    <n v="631.29999999999995"/>
    <n v="0"/>
    <n v="0"/>
    <n v="0"/>
    <n v="12"/>
    <n v="631.29999999999995"/>
    <n v="0"/>
    <n v="0"/>
    <x v="65"/>
    <n v="631.29999999999995"/>
    <m/>
  </r>
  <r>
    <x v="134"/>
    <x v="133"/>
    <n v="0"/>
    <n v="0"/>
    <n v="0"/>
    <n v="0"/>
    <m/>
    <n v="0"/>
    <n v="0"/>
    <n v="0"/>
    <n v="0"/>
    <x v="1"/>
    <n v="0"/>
    <m/>
  </r>
  <r>
    <x v="135"/>
    <x v="134"/>
    <n v="33"/>
    <n v="402.93"/>
    <n v="0"/>
    <n v="0"/>
    <n v="0"/>
    <n v="33"/>
    <n v="402.93"/>
    <n v="12"/>
    <n v="195.22"/>
    <x v="66"/>
    <n v="207.71"/>
    <n v="1.0639791005019978"/>
  </r>
  <r>
    <x v="136"/>
    <x v="135"/>
    <n v="0"/>
    <n v="0"/>
    <n v="0"/>
    <n v="0"/>
    <m/>
    <n v="0"/>
    <n v="0"/>
    <n v="0"/>
    <n v="0"/>
    <x v="1"/>
    <n v="0"/>
    <m/>
  </r>
  <r>
    <x v="137"/>
    <x v="136"/>
    <n v="0"/>
    <n v="0"/>
    <n v="0"/>
    <n v="0"/>
    <m/>
    <n v="0"/>
    <n v="0"/>
    <n v="339"/>
    <n v="4139.1899999999996"/>
    <x v="8"/>
    <n v="-4139.1899999999996"/>
    <n v="-1"/>
  </r>
  <r>
    <x v="138"/>
    <x v="137"/>
    <n v="8"/>
    <n v="261.60000000000002"/>
    <n v="0"/>
    <n v="0"/>
    <n v="0"/>
    <n v="8"/>
    <n v="261.60000000000002"/>
    <n v="5"/>
    <n v="158.13"/>
    <x v="28"/>
    <n v="103.47000000000003"/>
    <n v="0.65433504078922422"/>
  </r>
  <r>
    <x v="139"/>
    <x v="138"/>
    <n v="33"/>
    <n v="432.96"/>
    <n v="0"/>
    <n v="0"/>
    <n v="0"/>
    <n v="33"/>
    <n v="432.96"/>
    <n v="58"/>
    <n v="708.18"/>
    <x v="67"/>
    <n v="-275.21999999999997"/>
    <n v="-0.38863000931966446"/>
  </r>
  <r>
    <x v="140"/>
    <x v="139"/>
    <n v="4"/>
    <n v="88.2"/>
    <n v="0"/>
    <n v="0"/>
    <n v="0"/>
    <n v="4"/>
    <n v="88.2"/>
    <n v="12"/>
    <n v="150.51"/>
    <x v="68"/>
    <n v="-62.309999999999988"/>
    <n v="-0.41399242575244166"/>
  </r>
  <r>
    <x v="141"/>
    <x v="140"/>
    <n v="1"/>
    <n v="9.75"/>
    <n v="0"/>
    <n v="0"/>
    <n v="0"/>
    <n v="1"/>
    <n v="9.75"/>
    <n v="3"/>
    <n v="32.47"/>
    <x v="15"/>
    <n v="-22.72"/>
    <n v="-0.69972282106559902"/>
  </r>
  <r>
    <x v="142"/>
    <x v="141"/>
    <n v="0"/>
    <n v="0"/>
    <n v="0"/>
    <n v="0"/>
    <m/>
    <n v="0"/>
    <n v="0"/>
    <n v="0"/>
    <n v="0"/>
    <x v="1"/>
    <n v="0"/>
    <m/>
  </r>
  <r>
    <x v="143"/>
    <x v="142"/>
    <n v="0"/>
    <n v="0"/>
    <n v="0"/>
    <n v="0"/>
    <m/>
    <n v="0"/>
    <n v="0"/>
    <n v="2"/>
    <n v="24.42"/>
    <x v="15"/>
    <n v="-24.42"/>
    <n v="-1"/>
  </r>
  <r>
    <x v="144"/>
    <x v="143"/>
    <n v="0"/>
    <n v="0"/>
    <n v="0"/>
    <n v="0"/>
    <m/>
    <n v="0"/>
    <n v="0"/>
    <n v="0"/>
    <n v="0"/>
    <x v="1"/>
    <n v="0"/>
    <m/>
  </r>
  <r>
    <x v="145"/>
    <x v="144"/>
    <n v="6"/>
    <n v="147.06"/>
    <n v="2"/>
    <n v="74.8"/>
    <n v="0.33714955377264938"/>
    <n v="8"/>
    <n v="221.86"/>
    <n v="23"/>
    <n v="629.25"/>
    <x v="69"/>
    <n v="-407.39"/>
    <n v="-0.64742153357171228"/>
  </r>
  <r>
    <x v="146"/>
    <x v="145"/>
    <n v="2"/>
    <n v="54.55"/>
    <n v="0"/>
    <n v="0"/>
    <n v="0"/>
    <n v="2"/>
    <n v="54.55"/>
    <n v="6"/>
    <n v="154.09"/>
    <x v="70"/>
    <n v="-99.54"/>
    <n v="-0.64598611201246026"/>
  </r>
  <r>
    <x v="147"/>
    <x v="146"/>
    <n v="0"/>
    <n v="0"/>
    <n v="0"/>
    <n v="0"/>
    <m/>
    <n v="0"/>
    <n v="0"/>
    <n v="12"/>
    <n v="178.21"/>
    <x v="37"/>
    <n v="-178.21"/>
    <n v="-1"/>
  </r>
  <r>
    <x v="148"/>
    <x v="147"/>
    <n v="9"/>
    <n v="182.97"/>
    <n v="0"/>
    <n v="0"/>
    <n v="0"/>
    <n v="9"/>
    <n v="182.97"/>
    <n v="118"/>
    <n v="2367.1999999999998"/>
    <x v="71"/>
    <n v="-2184.23"/>
    <n v="-0.9227061507265969"/>
  </r>
  <r>
    <x v="149"/>
    <x v="148"/>
    <n v="0"/>
    <n v="0"/>
    <n v="0"/>
    <n v="0"/>
    <m/>
    <n v="0"/>
    <n v="0"/>
    <n v="0"/>
    <n v="0"/>
    <x v="1"/>
    <n v="0"/>
    <m/>
  </r>
  <r>
    <x v="150"/>
    <x v="149"/>
    <n v="30"/>
    <n v="488.1"/>
    <n v="0"/>
    <n v="0"/>
    <n v="0"/>
    <n v="30"/>
    <n v="488.1"/>
    <n v="123"/>
    <n v="2164.4499999999998"/>
    <x v="72"/>
    <n v="-1676.35"/>
    <n v="-0.77449236526600296"/>
  </r>
  <r>
    <x v="151"/>
    <x v="150"/>
    <n v="0"/>
    <n v="0"/>
    <n v="0"/>
    <n v="0"/>
    <m/>
    <n v="0"/>
    <n v="0"/>
    <n v="0"/>
    <n v="0"/>
    <x v="1"/>
    <n v="0"/>
    <m/>
  </r>
  <r>
    <x v="152"/>
    <x v="151"/>
    <n v="7"/>
    <n v="121.73"/>
    <n v="0"/>
    <n v="0"/>
    <n v="0"/>
    <n v="7"/>
    <n v="121.73"/>
    <n v="7"/>
    <n v="141.31"/>
    <x v="1"/>
    <n v="-19.579999999999998"/>
    <n v="-0.13856061142169696"/>
  </r>
  <r>
    <x v="153"/>
    <x v="152"/>
    <n v="191"/>
    <n v="2651.93"/>
    <n v="94"/>
    <n v="2171.3700000000031"/>
    <n v="0.4501834843364505"/>
    <n v="285"/>
    <n v="4823.3000000000029"/>
    <n v="1095"/>
    <n v="24665.9"/>
    <x v="73"/>
    <n v="-19842.599999999999"/>
    <n v="-0.80445473305251369"/>
  </r>
  <r>
    <x v="154"/>
    <x v="153"/>
    <n v="17"/>
    <n v="179.69"/>
    <n v="0"/>
    <n v="0"/>
    <n v="0"/>
    <n v="17"/>
    <n v="179.69"/>
    <n v="85"/>
    <n v="1386.35"/>
    <x v="74"/>
    <n v="-1206.6599999999999"/>
    <n v="-0.8703862660944206"/>
  </r>
  <r>
    <x v="155"/>
    <x v="154"/>
    <n v="1"/>
    <n v="12.48"/>
    <n v="0"/>
    <n v="0"/>
    <n v="0"/>
    <n v="1"/>
    <n v="12.48"/>
    <n v="19"/>
    <n v="252.19"/>
    <x v="75"/>
    <n v="-239.71"/>
    <n v="-0.95051350172489002"/>
  </r>
  <r>
    <x v="156"/>
    <x v="155"/>
    <n v="2"/>
    <n v="21.14"/>
    <n v="66"/>
    <n v="1051.3999999999994"/>
    <n v="0.98028977940216677"/>
    <n v="68"/>
    <n v="1072.5399999999995"/>
    <n v="428"/>
    <n v="5216.21"/>
    <x v="76"/>
    <n v="-4143.67"/>
    <n v="-0.79438327828059074"/>
  </r>
  <r>
    <x v="157"/>
    <x v="156"/>
    <n v="63"/>
    <n v="567.63"/>
    <n v="0"/>
    <n v="0"/>
    <n v="0"/>
    <n v="63"/>
    <n v="567.63"/>
    <n v="223"/>
    <n v="2418.41"/>
    <x v="77"/>
    <n v="-1850.7799999999997"/>
    <n v="-0.76528793711570819"/>
  </r>
  <r>
    <x v="158"/>
    <x v="157"/>
    <n v="0"/>
    <n v="0"/>
    <n v="0"/>
    <n v="0"/>
    <m/>
    <n v="0"/>
    <n v="0"/>
    <n v="17"/>
    <n v="227.33"/>
    <x v="34"/>
    <n v="-227.33"/>
    <n v="-1"/>
  </r>
  <r>
    <x v="159"/>
    <x v="158"/>
    <n v="0"/>
    <n v="0"/>
    <n v="21"/>
    <n v="837.89999999999975"/>
    <n v="1"/>
    <n v="21"/>
    <n v="837.89999999999975"/>
    <n v="0"/>
    <n v="0"/>
    <x v="66"/>
    <n v="837.89999999999975"/>
    <m/>
  </r>
  <r>
    <x v="160"/>
    <x v="159"/>
    <n v="4"/>
    <n v="158.49"/>
    <n v="0"/>
    <n v="0"/>
    <n v="0"/>
    <n v="4"/>
    <n v="158.49"/>
    <n v="152"/>
    <n v="6234.61"/>
    <x v="39"/>
    <n v="-6076.12"/>
    <n v="-0.97457900333781911"/>
  </r>
  <r>
    <x v="161"/>
    <x v="160"/>
    <n v="19"/>
    <n v="1088.7"/>
    <n v="5"/>
    <n v="349.5"/>
    <n v="0.24301209845640384"/>
    <n v="24"/>
    <n v="1438.2"/>
    <n v="150"/>
    <n v="8110.64"/>
    <x v="78"/>
    <n v="-6672.4400000000005"/>
    <n v="-0.822677371945987"/>
  </r>
  <r>
    <x v="162"/>
    <x v="161"/>
    <n v="2"/>
    <n v="9.82"/>
    <n v="0"/>
    <n v="0"/>
    <n v="0"/>
    <n v="2"/>
    <n v="9.82"/>
    <n v="17"/>
    <n v="68.34"/>
    <x v="69"/>
    <n v="-58.52"/>
    <n v="-0.85630670178519164"/>
  </r>
  <r>
    <x v="163"/>
    <x v="162"/>
    <n v="4"/>
    <n v="65.239999999999995"/>
    <n v="0"/>
    <n v="0"/>
    <n v="0"/>
    <n v="4"/>
    <n v="65.239999999999995"/>
    <n v="2"/>
    <n v="32.619999999999997"/>
    <x v="11"/>
    <n v="32.619999999999997"/>
    <n v="1"/>
  </r>
  <r>
    <x v="164"/>
    <x v="163"/>
    <n v="0"/>
    <n v="0"/>
    <n v="23"/>
    <n v="1820.7000000000005"/>
    <n v="1"/>
    <n v="23"/>
    <n v="1820.7000000000005"/>
    <n v="0"/>
    <n v="0"/>
    <x v="79"/>
    <n v="1820.7000000000005"/>
    <m/>
  </r>
  <r>
    <x v="165"/>
    <x v="164"/>
    <n v="0"/>
    <n v="0"/>
    <n v="0"/>
    <n v="0"/>
    <m/>
    <n v="0"/>
    <n v="0"/>
    <n v="8"/>
    <n v="235.31"/>
    <x v="68"/>
    <n v="-235.31"/>
    <n v="-1"/>
  </r>
  <r>
    <x v="166"/>
    <x v="165"/>
    <n v="4"/>
    <n v="52.22"/>
    <n v="0"/>
    <n v="0"/>
    <n v="0"/>
    <n v="4"/>
    <n v="52.22"/>
    <n v="101"/>
    <n v="1233.21"/>
    <x v="80"/>
    <n v="-1180.99"/>
    <n v="-0.95765522498195765"/>
  </r>
  <r>
    <x v="167"/>
    <x v="166"/>
    <n v="0"/>
    <n v="0"/>
    <n v="0"/>
    <n v="0"/>
    <m/>
    <n v="0"/>
    <n v="0"/>
    <n v="0"/>
    <n v="0"/>
    <x v="1"/>
    <n v="0"/>
    <m/>
  </r>
  <r>
    <x v="168"/>
    <x v="167"/>
    <n v="9"/>
    <n v="203.19"/>
    <n v="0"/>
    <n v="0"/>
    <n v="0"/>
    <n v="9"/>
    <n v="203.19"/>
    <n v="9"/>
    <n v="220.59"/>
    <x v="1"/>
    <n v="-17.400000000000006"/>
    <n v="-7.887936896504831E-2"/>
  </r>
  <r>
    <x v="169"/>
    <x v="168"/>
    <n v="0"/>
    <n v="0"/>
    <n v="0"/>
    <n v="0"/>
    <m/>
    <n v="0"/>
    <n v="0"/>
    <n v="0"/>
    <n v="0"/>
    <x v="1"/>
    <n v="0"/>
    <m/>
  </r>
  <r>
    <x v="170"/>
    <x v="169"/>
    <n v="9"/>
    <n v="45.88"/>
    <n v="0"/>
    <n v="0"/>
    <n v="0"/>
    <n v="9"/>
    <n v="45.88"/>
    <n v="24"/>
    <n v="168.36"/>
    <x v="69"/>
    <n v="-122.48000000000002"/>
    <n v="-0.72748871465906395"/>
  </r>
  <r>
    <x v="171"/>
    <x v="170"/>
    <n v="0"/>
    <n v="0"/>
    <n v="0"/>
    <n v="0"/>
    <m/>
    <n v="0"/>
    <n v="0"/>
    <n v="1"/>
    <n v="10.57"/>
    <x v="3"/>
    <n v="-10.57"/>
    <n v="-1"/>
  </r>
  <r>
    <x v="172"/>
    <x v="171"/>
    <n v="0"/>
    <n v="0"/>
    <n v="0"/>
    <n v="0"/>
    <m/>
    <n v="0"/>
    <n v="0"/>
    <n v="0"/>
    <n v="0"/>
    <x v="1"/>
    <n v="0"/>
    <m/>
  </r>
  <r>
    <x v="173"/>
    <x v="172"/>
    <n v="2"/>
    <n v="30.66"/>
    <n v="0"/>
    <n v="0"/>
    <n v="0"/>
    <n v="2"/>
    <n v="30.66"/>
    <n v="1"/>
    <n v="10.83"/>
    <x v="10"/>
    <n v="19.829999999999998"/>
    <n v="1.8310249307479223"/>
  </r>
  <r>
    <x v="174"/>
    <x v="173"/>
    <n v="0"/>
    <n v="0"/>
    <n v="0"/>
    <n v="0"/>
    <m/>
    <n v="0"/>
    <n v="0"/>
    <n v="0"/>
    <n v="0"/>
    <x v="1"/>
    <n v="0"/>
    <m/>
  </r>
  <r>
    <x v="175"/>
    <x v="174"/>
    <n v="0"/>
    <n v="0"/>
    <n v="0"/>
    <n v="0"/>
    <m/>
    <n v="0"/>
    <n v="0"/>
    <n v="0"/>
    <n v="0"/>
    <x v="1"/>
    <n v="0"/>
    <m/>
  </r>
  <r>
    <x v="176"/>
    <x v="175"/>
    <n v="0"/>
    <n v="0"/>
    <n v="0"/>
    <n v="0"/>
    <m/>
    <n v="0"/>
    <n v="0"/>
    <n v="0"/>
    <n v="0"/>
    <x v="1"/>
    <n v="0"/>
    <m/>
  </r>
  <r>
    <x v="177"/>
    <x v="176"/>
    <n v="0"/>
    <n v="0"/>
    <n v="0"/>
    <n v="0"/>
    <m/>
    <n v="0"/>
    <n v="0"/>
    <n v="0"/>
    <n v="0"/>
    <x v="1"/>
    <n v="0"/>
    <m/>
  </r>
  <r>
    <x v="178"/>
    <x v="177"/>
    <n v="544"/>
    <n v="5723.45"/>
    <n v="0"/>
    <n v="0"/>
    <n v="0"/>
    <n v="544"/>
    <n v="5723.45"/>
    <n v="1836"/>
    <n v="14888.98"/>
    <x v="81"/>
    <n v="-9165.5299999999988"/>
    <n v="-0.61559153145480749"/>
  </r>
  <r>
    <x v="179"/>
    <x v="178"/>
    <n v="0"/>
    <n v="0"/>
    <n v="0"/>
    <n v="0"/>
    <m/>
    <n v="0"/>
    <n v="0"/>
    <n v="0"/>
    <n v="0"/>
    <x v="1"/>
    <n v="0"/>
    <m/>
  </r>
  <r>
    <x v="180"/>
    <x v="179"/>
    <n v="7"/>
    <n v="415.55"/>
    <n v="0"/>
    <n v="0"/>
    <n v="0"/>
    <n v="7"/>
    <n v="415.55"/>
    <n v="51"/>
    <n v="3256.79"/>
    <x v="82"/>
    <n v="-2841.24"/>
    <n v="-0.87240503686144943"/>
  </r>
  <r>
    <x v="181"/>
    <x v="180"/>
    <n v="1"/>
    <n v="18.18"/>
    <n v="0"/>
    <n v="0"/>
    <n v="0"/>
    <n v="1"/>
    <n v="18.18"/>
    <n v="0"/>
    <n v="0"/>
    <x v="10"/>
    <n v="18.18"/>
    <m/>
  </r>
  <r>
    <x v="182"/>
    <x v="181"/>
    <n v="2"/>
    <n v="32.01"/>
    <n v="0"/>
    <n v="0"/>
    <n v="0"/>
    <n v="2"/>
    <n v="32.01"/>
    <n v="3"/>
    <n v="48.93"/>
    <x v="3"/>
    <n v="-16.920000000000002"/>
    <n v="-0.34580012262415699"/>
  </r>
  <r>
    <x v="183"/>
    <x v="182"/>
    <n v="6"/>
    <n v="58.74"/>
    <n v="0"/>
    <n v="0"/>
    <n v="0"/>
    <n v="6"/>
    <n v="58.74"/>
    <n v="0"/>
    <n v="0"/>
    <x v="14"/>
    <n v="58.74"/>
    <m/>
  </r>
  <r>
    <x v="184"/>
    <x v="183"/>
    <n v="4"/>
    <n v="81.040000000000006"/>
    <n v="0"/>
    <n v="0"/>
    <n v="0"/>
    <n v="4"/>
    <n v="81.040000000000006"/>
    <n v="0"/>
    <n v="0"/>
    <x v="50"/>
    <n v="81.040000000000006"/>
    <m/>
  </r>
  <r>
    <x v="185"/>
    <x v="184"/>
    <n v="0"/>
    <n v="0"/>
    <n v="0"/>
    <n v="0"/>
    <m/>
    <n v="0"/>
    <n v="0"/>
    <n v="0"/>
    <n v="0"/>
    <x v="1"/>
    <n v="0"/>
    <m/>
  </r>
  <r>
    <x v="186"/>
    <x v="185"/>
    <n v="0"/>
    <n v="0"/>
    <n v="0"/>
    <n v="0"/>
    <m/>
    <n v="0"/>
    <n v="0"/>
    <n v="40"/>
    <n v="324.39999999999998"/>
    <x v="83"/>
    <n v="-324.39999999999998"/>
    <n v="-1"/>
  </r>
  <r>
    <x v="187"/>
    <x v="186"/>
    <n v="6"/>
    <n v="109.67"/>
    <n v="0"/>
    <n v="0"/>
    <n v="0"/>
    <n v="6"/>
    <n v="109.67"/>
    <n v="34"/>
    <n v="543.38"/>
    <x v="84"/>
    <n v="-433.71"/>
    <n v="-0.79817070926423495"/>
  </r>
  <r>
    <x v="188"/>
    <x v="187"/>
    <n v="2"/>
    <n v="32.619999999999997"/>
    <n v="0"/>
    <n v="0"/>
    <n v="0"/>
    <n v="2"/>
    <n v="32.619999999999997"/>
    <n v="146"/>
    <n v="2282.7399999999998"/>
    <x v="85"/>
    <n v="-2250.12"/>
    <n v="-0.9857101553396358"/>
  </r>
  <r>
    <x v="189"/>
    <x v="188"/>
    <n v="5"/>
    <n v="93.23"/>
    <n v="0"/>
    <n v="0"/>
    <n v="0"/>
    <n v="5"/>
    <n v="93.23"/>
    <n v="111"/>
    <n v="1355.31"/>
    <x v="86"/>
    <n v="-1262.08"/>
    <n v="-0.9312113095896879"/>
  </r>
  <r>
    <x v="190"/>
    <x v="189"/>
    <n v="0"/>
    <n v="0"/>
    <n v="0"/>
    <n v="0"/>
    <m/>
    <n v="0"/>
    <n v="0"/>
    <n v="0"/>
    <n v="0"/>
    <x v="1"/>
    <n v="0"/>
    <m/>
  </r>
  <r>
    <x v="191"/>
    <x v="190"/>
    <n v="81"/>
    <n v="906.26"/>
    <n v="0"/>
    <n v="0"/>
    <n v="0"/>
    <n v="81"/>
    <n v="906.26"/>
    <n v="546"/>
    <n v="4428.0600000000004"/>
    <x v="87"/>
    <n v="-3521.8"/>
    <n v="-0.79533700988694822"/>
  </r>
  <r>
    <x v="192"/>
    <x v="191"/>
    <n v="11"/>
    <n v="84.03"/>
    <n v="0"/>
    <n v="0"/>
    <n v="0"/>
    <n v="11"/>
    <n v="84.03"/>
    <n v="132"/>
    <n v="1042.1500000000001"/>
    <x v="88"/>
    <n v="-958.12000000000012"/>
    <n v="-0.91936861296358496"/>
  </r>
  <r>
    <x v="193"/>
    <x v="192"/>
    <n v="1"/>
    <n v="9.51"/>
    <n v="0"/>
    <n v="0"/>
    <n v="0"/>
    <n v="1"/>
    <n v="9.51"/>
    <n v="50"/>
    <n v="859.53"/>
    <x v="89"/>
    <n v="-850.02"/>
    <n v="-0.98893581375868211"/>
  </r>
  <r>
    <x v="194"/>
    <x v="193"/>
    <n v="0"/>
    <n v="0"/>
    <n v="0"/>
    <n v="0"/>
    <m/>
    <n v="0"/>
    <n v="0"/>
    <n v="24"/>
    <n v="230.68"/>
    <x v="26"/>
    <n v="-230.68"/>
    <n v="-1"/>
  </r>
  <r>
    <x v="195"/>
    <x v="194"/>
    <n v="84"/>
    <n v="1179.03"/>
    <n v="70"/>
    <n v="1052.9999999999991"/>
    <n v="0.47176785258262643"/>
    <n v="154"/>
    <n v="2232.0299999999988"/>
    <n v="501"/>
    <n v="6117.21"/>
    <x v="90"/>
    <n v="-3885.1800000000012"/>
    <n v="-0.63512287464383288"/>
  </r>
  <r>
    <x v="196"/>
    <x v="195"/>
    <n v="12"/>
    <n v="132.43"/>
    <n v="0"/>
    <n v="0"/>
    <n v="0"/>
    <n v="12"/>
    <n v="132.43"/>
    <n v="11"/>
    <n v="125.12"/>
    <x v="10"/>
    <n v="7.3100000000000023"/>
    <n v="5.8423913043478277E-2"/>
  </r>
  <r>
    <x v="197"/>
    <x v="196"/>
    <n v="0"/>
    <n v="0"/>
    <n v="0"/>
    <n v="0"/>
    <m/>
    <n v="0"/>
    <n v="0"/>
    <n v="0"/>
    <n v="0"/>
    <x v="1"/>
    <n v="0"/>
    <m/>
  </r>
  <r>
    <x v="198"/>
    <x v="197"/>
    <n v="13"/>
    <n v="158.72999999999999"/>
    <n v="0"/>
    <n v="0"/>
    <n v="0"/>
    <n v="13"/>
    <n v="158.72999999999999"/>
    <n v="32"/>
    <n v="390.72"/>
    <x v="91"/>
    <n v="-231.99000000000004"/>
    <n v="-0.59375"/>
  </r>
  <r>
    <x v="199"/>
    <x v="198"/>
    <n v="2"/>
    <n v="65.400000000000006"/>
    <n v="0"/>
    <n v="0"/>
    <n v="0"/>
    <n v="2"/>
    <n v="65.400000000000006"/>
    <n v="0"/>
    <n v="0"/>
    <x v="11"/>
    <n v="65.400000000000006"/>
    <m/>
  </r>
  <r>
    <x v="200"/>
    <x v="199"/>
    <n v="1"/>
    <n v="28.61"/>
    <n v="8"/>
    <n v="291.2"/>
    <n v="0.91054063350114123"/>
    <n v="9"/>
    <n v="319.81"/>
    <n v="33"/>
    <n v="944.13"/>
    <x v="26"/>
    <n v="-624.31999999999994"/>
    <n v="-0.66126486818552521"/>
  </r>
  <r>
    <x v="201"/>
    <x v="200"/>
    <n v="7"/>
    <n v="433.99"/>
    <n v="0"/>
    <n v="0"/>
    <n v="0"/>
    <n v="7"/>
    <n v="433.99"/>
    <n v="3"/>
    <n v="196.47"/>
    <x v="50"/>
    <n v="237.52"/>
    <n v="1.2089377513106327"/>
  </r>
  <r>
    <x v="202"/>
    <x v="201"/>
    <n v="1"/>
    <n v="2.93"/>
    <n v="0"/>
    <n v="0"/>
    <n v="0"/>
    <n v="1"/>
    <n v="2.93"/>
    <n v="0"/>
    <n v="0"/>
    <x v="10"/>
    <n v="2.93"/>
    <m/>
  </r>
  <r>
    <x v="203"/>
    <x v="202"/>
    <n v="0"/>
    <n v="0"/>
    <n v="0"/>
    <n v="0"/>
    <m/>
    <n v="0"/>
    <n v="0"/>
    <n v="0"/>
    <n v="0"/>
    <x v="1"/>
    <n v="0"/>
    <m/>
  </r>
  <r>
    <x v="204"/>
    <x v="203"/>
    <n v="13"/>
    <n v="187.88"/>
    <n v="0"/>
    <n v="0"/>
    <n v="0"/>
    <n v="13"/>
    <n v="187.88"/>
    <n v="14"/>
    <n v="228.34"/>
    <x v="3"/>
    <n v="-40.460000000000008"/>
    <n v="-0.17719190680564073"/>
  </r>
  <r>
    <x v="205"/>
    <x v="204"/>
    <n v="0"/>
    <n v="0"/>
    <n v="0"/>
    <n v="0"/>
    <m/>
    <n v="0"/>
    <n v="0"/>
    <n v="0"/>
    <n v="0"/>
    <x v="1"/>
    <n v="0"/>
    <m/>
  </r>
  <r>
    <x v="206"/>
    <x v="205"/>
    <n v="0"/>
    <n v="0"/>
    <n v="0"/>
    <n v="0"/>
    <m/>
    <n v="0"/>
    <n v="0"/>
    <n v="6"/>
    <n v="196.2"/>
    <x v="22"/>
    <n v="-196.2"/>
    <n v="-1"/>
  </r>
  <r>
    <x v="207"/>
    <x v="206"/>
    <n v="4"/>
    <n v="112.32"/>
    <n v="0"/>
    <n v="0"/>
    <n v="0"/>
    <n v="4"/>
    <n v="112.32"/>
    <n v="1"/>
    <n v="28.61"/>
    <x v="28"/>
    <n v="83.71"/>
    <n v="2.9259000349528135"/>
  </r>
  <r>
    <x v="208"/>
    <x v="207"/>
    <n v="0"/>
    <n v="0"/>
    <n v="0"/>
    <n v="0"/>
    <m/>
    <n v="0"/>
    <n v="0"/>
    <n v="1"/>
    <n v="56.23"/>
    <x v="3"/>
    <n v="-56.23"/>
    <n v="-1"/>
  </r>
  <r>
    <x v="209"/>
    <x v="208"/>
    <n v="5"/>
    <n v="79.12"/>
    <n v="0"/>
    <n v="0"/>
    <n v="0"/>
    <n v="5"/>
    <n v="79.12"/>
    <n v="5"/>
    <n v="86.76"/>
    <x v="1"/>
    <n v="-7.6400000000000006"/>
    <n v="-8.8059013370216696E-2"/>
  </r>
  <r>
    <x v="210"/>
    <x v="209"/>
    <n v="0"/>
    <n v="0"/>
    <n v="0"/>
    <n v="0"/>
    <m/>
    <n v="0"/>
    <n v="0"/>
    <n v="2"/>
    <n v="51.28"/>
    <x v="15"/>
    <n v="-51.28"/>
    <n v="-1"/>
  </r>
  <r>
    <x v="211"/>
    <x v="210"/>
    <n v="8"/>
    <n v="842.72"/>
    <n v="0"/>
    <n v="0"/>
    <n v="0"/>
    <n v="8"/>
    <n v="842.72"/>
    <n v="6"/>
    <n v="551.73"/>
    <x v="11"/>
    <n v="290.99"/>
    <n v="0.52741377122868072"/>
  </r>
  <r>
    <x v="212"/>
    <x v="211"/>
    <n v="4"/>
    <n v="314.75"/>
    <n v="0"/>
    <n v="0"/>
    <n v="0"/>
    <n v="4"/>
    <n v="314.75"/>
    <n v="19"/>
    <n v="1386.05"/>
    <x v="69"/>
    <n v="-1071.3"/>
    <n v="-0.77291583997691282"/>
  </r>
  <r>
    <x v="213"/>
    <x v="212"/>
    <n v="1"/>
    <n v="58.2"/>
    <n v="0"/>
    <n v="0"/>
    <n v="0"/>
    <n v="1"/>
    <n v="58.2"/>
    <n v="7"/>
    <n v="401.1"/>
    <x v="22"/>
    <n v="-342.90000000000003"/>
    <n v="-0.85489902767389681"/>
  </r>
  <r>
    <x v="214"/>
    <x v="213"/>
    <n v="21"/>
    <n v="549.39"/>
    <n v="0"/>
    <n v="0"/>
    <n v="0"/>
    <n v="21"/>
    <n v="549.39"/>
    <n v="105"/>
    <n v="2143.0500000000002"/>
    <x v="92"/>
    <n v="-1593.6600000000003"/>
    <n v="-0.74364107230349275"/>
  </r>
  <r>
    <x v="215"/>
    <x v="214"/>
    <n v="20"/>
    <n v="490.2"/>
    <n v="0"/>
    <n v="0"/>
    <n v="0"/>
    <n v="20"/>
    <n v="490.2"/>
    <n v="53"/>
    <n v="1299.03"/>
    <x v="93"/>
    <n v="-808.82999999999993"/>
    <n v="-0.62264150943396224"/>
  </r>
  <r>
    <x v="216"/>
    <x v="215"/>
    <n v="28"/>
    <n v="516.37"/>
    <n v="0"/>
    <n v="0"/>
    <n v="0"/>
    <n v="28"/>
    <n v="516.37"/>
    <n v="26"/>
    <n v="536.78"/>
    <x v="11"/>
    <n v="-20.409999999999968"/>
    <n v="-3.8023026193226221E-2"/>
  </r>
  <r>
    <x v="217"/>
    <x v="216"/>
    <n v="1"/>
    <n v="49.1"/>
    <n v="0"/>
    <n v="0"/>
    <n v="0"/>
    <n v="1"/>
    <n v="49.1"/>
    <n v="0"/>
    <n v="0"/>
    <x v="10"/>
    <n v="49.1"/>
    <m/>
  </r>
  <r>
    <x v="218"/>
    <x v="217"/>
    <n v="0"/>
    <n v="0"/>
    <n v="0"/>
    <n v="0"/>
    <m/>
    <n v="0"/>
    <n v="0"/>
    <n v="55"/>
    <n v="1090.33"/>
    <x v="94"/>
    <n v="-1090.33"/>
    <n v="-1"/>
  </r>
  <r>
    <x v="219"/>
    <x v="218"/>
    <n v="2"/>
    <n v="12.32"/>
    <n v="0"/>
    <n v="0"/>
    <n v="0"/>
    <n v="2"/>
    <n v="12.32"/>
    <n v="0"/>
    <n v="0"/>
    <x v="11"/>
    <n v="12.32"/>
    <m/>
  </r>
  <r>
    <x v="220"/>
    <x v="219"/>
    <n v="8"/>
    <n v="115.44"/>
    <n v="0"/>
    <n v="0"/>
    <n v="0"/>
    <n v="8"/>
    <n v="115.44"/>
    <n v="10"/>
    <n v="140.69"/>
    <x v="15"/>
    <n v="-25.25"/>
    <n v="-0.17947259933186438"/>
  </r>
  <r>
    <x v="221"/>
    <x v="220"/>
    <n v="0"/>
    <n v="0"/>
    <n v="0"/>
    <n v="0"/>
    <m/>
    <n v="0"/>
    <n v="0"/>
    <n v="1"/>
    <n v="70.88"/>
    <x v="3"/>
    <n v="-70.88"/>
    <n v="-1"/>
  </r>
  <r>
    <x v="222"/>
    <x v="221"/>
    <n v="0"/>
    <n v="0"/>
    <n v="0"/>
    <n v="0"/>
    <m/>
    <n v="0"/>
    <n v="0"/>
    <n v="1"/>
    <n v="30.37"/>
    <x v="3"/>
    <n v="-30.37"/>
    <n v="-1"/>
  </r>
  <r>
    <x v="223"/>
    <x v="222"/>
    <n v="1"/>
    <n v="98.22"/>
    <n v="0"/>
    <n v="0"/>
    <n v="0"/>
    <n v="1"/>
    <n v="98.22"/>
    <n v="13"/>
    <n v="948.35"/>
    <x v="37"/>
    <n v="-850.13"/>
    <n v="-0.89643064269520745"/>
  </r>
  <r>
    <x v="224"/>
    <x v="223"/>
    <n v="0"/>
    <n v="0"/>
    <n v="0"/>
    <n v="0"/>
    <m/>
    <n v="0"/>
    <n v="0"/>
    <n v="0"/>
    <n v="0"/>
    <x v="1"/>
    <n v="0"/>
    <m/>
  </r>
  <r>
    <x v="225"/>
    <x v="224"/>
    <n v="92"/>
    <n v="1274.2"/>
    <n v="1"/>
    <n v="24.9"/>
    <n v="1.9167115695481483E-2"/>
    <n v="93"/>
    <n v="1299.1000000000001"/>
    <n v="208"/>
    <n v="3392.48"/>
    <x v="95"/>
    <n v="-2093.38"/>
    <n v="-0.61706480215063908"/>
  </r>
  <r>
    <x v="226"/>
    <x v="225"/>
    <n v="0"/>
    <n v="0"/>
    <n v="0"/>
    <n v="0"/>
    <m/>
    <n v="0"/>
    <n v="0"/>
    <n v="0"/>
    <n v="0"/>
    <x v="1"/>
    <n v="0"/>
    <m/>
  </r>
  <r>
    <x v="227"/>
    <x v="226"/>
    <n v="12"/>
    <n v="451.55"/>
    <n v="0"/>
    <n v="0"/>
    <n v="0"/>
    <n v="12"/>
    <n v="451.55"/>
    <n v="23"/>
    <n v="906.26"/>
    <x v="16"/>
    <n v="-454.71"/>
    <n v="-0.50174342903802438"/>
  </r>
  <r>
    <x v="228"/>
    <x v="227"/>
    <n v="6"/>
    <n v="154.62"/>
    <n v="0"/>
    <n v="0"/>
    <n v="0"/>
    <n v="6"/>
    <n v="154.62"/>
    <n v="15"/>
    <n v="367.65"/>
    <x v="5"/>
    <n v="-213.02999999999997"/>
    <n v="-0.57943696450428395"/>
  </r>
  <r>
    <x v="229"/>
    <x v="228"/>
    <n v="222"/>
    <n v="2397.59"/>
    <n v="0"/>
    <n v="0"/>
    <n v="0"/>
    <n v="222"/>
    <n v="2397.59"/>
    <n v="1584"/>
    <n v="12846.24"/>
    <x v="96"/>
    <n v="-10448.65"/>
    <n v="-0.81336250918556707"/>
  </r>
  <r>
    <x v="230"/>
    <x v="229"/>
    <n v="6"/>
    <n v="196.2"/>
    <n v="0"/>
    <n v="0"/>
    <n v="0"/>
    <n v="6"/>
    <n v="196.2"/>
    <n v="32"/>
    <n v="1046.4000000000001"/>
    <x v="97"/>
    <n v="-850.2"/>
    <n v="-0.8125"/>
  </r>
  <r>
    <x v="231"/>
    <x v="230"/>
    <n v="0"/>
    <n v="0"/>
    <n v="0"/>
    <n v="0"/>
    <m/>
    <n v="0"/>
    <n v="0"/>
    <n v="0"/>
    <n v="0"/>
    <x v="1"/>
    <n v="0"/>
    <m/>
  </r>
  <r>
    <x v="232"/>
    <x v="231"/>
    <n v="7"/>
    <n v="131.65"/>
    <n v="0"/>
    <n v="0"/>
    <n v="0"/>
    <n v="7"/>
    <n v="131.65"/>
    <n v="60"/>
    <n v="978.6"/>
    <x v="98"/>
    <n v="-846.95"/>
    <n v="-0.86547108113631721"/>
  </r>
  <r>
    <x v="233"/>
    <x v="232"/>
    <n v="5"/>
    <n v="93.85"/>
    <n v="0"/>
    <n v="0"/>
    <n v="0"/>
    <n v="5"/>
    <n v="93.85"/>
    <n v="22"/>
    <n v="358.82"/>
    <x v="34"/>
    <n v="-264.97000000000003"/>
    <n v="-0.73844824703193812"/>
  </r>
  <r>
    <x v="234"/>
    <x v="233"/>
    <n v="11"/>
    <n v="206.47"/>
    <n v="14"/>
    <n v="348.6"/>
    <n v="0.62802889725620192"/>
    <n v="25"/>
    <n v="555.07000000000005"/>
    <n v="79"/>
    <n v="1288.49"/>
    <x v="25"/>
    <n v="-733.42"/>
    <n v="-0.56920891896716308"/>
  </r>
  <r>
    <x v="235"/>
    <x v="234"/>
    <n v="2"/>
    <n v="87.72"/>
    <n v="0"/>
    <n v="0"/>
    <n v="0"/>
    <n v="2"/>
    <n v="87.72"/>
    <n v="7"/>
    <n v="276.7"/>
    <x v="9"/>
    <n v="-188.98"/>
    <n v="-0.68297795446331766"/>
  </r>
  <r>
    <x v="236"/>
    <x v="235"/>
    <n v="4"/>
    <n v="52.72"/>
    <n v="0"/>
    <n v="0"/>
    <n v="0"/>
    <n v="4"/>
    <n v="52.72"/>
    <n v="4"/>
    <n v="65.239999999999995"/>
    <x v="1"/>
    <n v="-12.519999999999996"/>
    <n v="-0.19190680564071116"/>
  </r>
  <r>
    <x v="237"/>
    <x v="236"/>
    <n v="100"/>
    <n v="1631"/>
    <n v="17"/>
    <n v="418.80999999999989"/>
    <n v="0.20431649762660925"/>
    <n v="117"/>
    <n v="2049.81"/>
    <n v="828"/>
    <n v="13504.68"/>
    <x v="99"/>
    <n v="-11454.87"/>
    <n v="-0.84821484107731548"/>
  </r>
  <r>
    <x v="238"/>
    <x v="237"/>
    <n v="0"/>
    <n v="0"/>
    <n v="0"/>
    <n v="0"/>
    <m/>
    <n v="0"/>
    <n v="0"/>
    <n v="3"/>
    <n v="122.7"/>
    <x v="44"/>
    <n v="-122.7"/>
    <n v="-1"/>
  </r>
  <r>
    <x v="239"/>
    <x v="238"/>
    <n v="9"/>
    <n v="72.989999999999995"/>
    <n v="0"/>
    <n v="0"/>
    <n v="0"/>
    <n v="9"/>
    <n v="72.989999999999995"/>
    <n v="27"/>
    <n v="218.97"/>
    <x v="75"/>
    <n v="-145.98000000000002"/>
    <n v="-0.66666666666666674"/>
  </r>
  <r>
    <x v="240"/>
    <x v="239"/>
    <n v="57"/>
    <n v="5001.34"/>
    <n v="0"/>
    <n v="0"/>
    <n v="0"/>
    <n v="57"/>
    <n v="5001.34"/>
    <n v="13"/>
    <n v="1278.33"/>
    <x v="100"/>
    <n v="3723.01"/>
    <n v="2.9124013361182173"/>
  </r>
  <r>
    <x v="241"/>
    <x v="240"/>
    <n v="4"/>
    <n v="380.8"/>
    <n v="0"/>
    <n v="0"/>
    <n v="0"/>
    <n v="4"/>
    <n v="380.8"/>
    <n v="52"/>
    <n v="4258.28"/>
    <x v="60"/>
    <n v="-3877.4799999999996"/>
    <n v="-0.91057422245601505"/>
  </r>
  <r>
    <x v="242"/>
    <x v="241"/>
    <n v="62"/>
    <n v="690.53"/>
    <n v="0"/>
    <n v="0"/>
    <n v="0"/>
    <n v="62"/>
    <n v="690.53"/>
    <n v="198"/>
    <n v="2092.86"/>
    <x v="101"/>
    <n v="-1402.3300000000002"/>
    <n v="-0.67005437535238865"/>
  </r>
  <r>
    <x v="243"/>
    <x v="242"/>
    <n v="0"/>
    <n v="0"/>
    <n v="0"/>
    <n v="0"/>
    <m/>
    <n v="0"/>
    <n v="0"/>
    <n v="0"/>
    <n v="0"/>
    <x v="1"/>
    <n v="0"/>
    <m/>
  </r>
  <r>
    <x v="244"/>
    <x v="243"/>
    <n v="2"/>
    <n v="88.34"/>
    <n v="0"/>
    <n v="0"/>
    <n v="0"/>
    <n v="2"/>
    <n v="88.34"/>
    <n v="6"/>
    <n v="220.8"/>
    <x v="70"/>
    <n v="-132.46"/>
    <n v="-0.59990942028985506"/>
  </r>
  <r>
    <x v="245"/>
    <x v="244"/>
    <n v="558"/>
    <n v="9074.8700000000008"/>
    <n v="0"/>
    <n v="0"/>
    <n v="0"/>
    <n v="558"/>
    <n v="9074.8700000000008"/>
    <n v="922"/>
    <n v="15037.82"/>
    <x v="102"/>
    <n v="-5962.9499999999989"/>
    <n v="-0.39653021515086623"/>
  </r>
  <r>
    <x v="246"/>
    <x v="245"/>
    <n v="0"/>
    <n v="0"/>
    <n v="0"/>
    <n v="0"/>
    <m/>
    <n v="0"/>
    <n v="0"/>
    <n v="1"/>
    <n v="31.75"/>
    <x v="3"/>
    <n v="-31.75"/>
    <n v="-1"/>
  </r>
  <r>
    <x v="247"/>
    <x v="246"/>
    <n v="1"/>
    <n v="160.65"/>
    <n v="0"/>
    <n v="0"/>
    <n v="0"/>
    <n v="1"/>
    <n v="160.65"/>
    <n v="0"/>
    <n v="0"/>
    <x v="10"/>
    <n v="160.65"/>
    <m/>
  </r>
  <r>
    <x v="248"/>
    <x v="247"/>
    <n v="453"/>
    <n v="2224.23"/>
    <n v="0"/>
    <n v="0"/>
    <n v="0"/>
    <n v="453"/>
    <n v="2224.23"/>
    <n v="512"/>
    <n v="2094.08"/>
    <x v="103"/>
    <n v="130.15000000000009"/>
    <n v="6.2151398227383907E-2"/>
  </r>
  <r>
    <x v="249"/>
    <x v="248"/>
    <n v="31"/>
    <n v="172.86"/>
    <n v="0"/>
    <n v="0"/>
    <n v="0"/>
    <n v="31"/>
    <n v="172.86"/>
    <n v="2441"/>
    <n v="9812.82"/>
    <x v="104"/>
    <n v="-9639.9599999999991"/>
    <n v="-0.98238426874231866"/>
  </r>
  <r>
    <x v="250"/>
    <x v="249"/>
    <n v="9"/>
    <n v="33.79"/>
    <n v="0"/>
    <n v="0"/>
    <n v="0"/>
    <n v="9"/>
    <n v="33.79"/>
    <n v="12"/>
    <n v="78.599999999999994"/>
    <x v="44"/>
    <n v="-44.809999999999995"/>
    <n v="-0.57010178117048349"/>
  </r>
  <r>
    <x v="251"/>
    <x v="250"/>
    <n v="0"/>
    <n v="0"/>
    <n v="0"/>
    <n v="0"/>
    <m/>
    <n v="0"/>
    <n v="0"/>
    <n v="0"/>
    <n v="0"/>
    <x v="1"/>
    <n v="0"/>
    <m/>
  </r>
  <r>
    <x v="252"/>
    <x v="251"/>
    <n v="99"/>
    <n v="1096.6500000000001"/>
    <n v="0"/>
    <n v="0"/>
    <n v="0"/>
    <n v="99"/>
    <n v="1096.6500000000001"/>
    <n v="0"/>
    <n v="0"/>
    <x v="105"/>
    <n v="1096.6500000000001"/>
    <m/>
  </r>
  <r>
    <x v="253"/>
    <x v="252"/>
    <n v="0"/>
    <n v="0"/>
    <n v="0"/>
    <n v="0"/>
    <m/>
    <n v="0"/>
    <n v="0"/>
    <n v="0"/>
    <n v="0"/>
    <x v="1"/>
    <n v="0"/>
    <m/>
  </r>
  <r>
    <x v="254"/>
    <x v="253"/>
    <n v="168"/>
    <n v="1493.58"/>
    <n v="0"/>
    <n v="0"/>
    <n v="0"/>
    <n v="168"/>
    <n v="1493.58"/>
    <n v="0"/>
    <n v="0"/>
    <x v="106"/>
    <n v="1493.58"/>
    <m/>
  </r>
  <r>
    <x v="255"/>
    <x v="254"/>
    <n v="3"/>
    <n v="122.7"/>
    <n v="0"/>
    <n v="0"/>
    <n v="0"/>
    <n v="3"/>
    <n v="122.7"/>
    <n v="0"/>
    <n v="0"/>
    <x v="28"/>
    <n v="122.7"/>
    <m/>
  </r>
  <r>
    <x v="256"/>
    <x v="255"/>
    <n v="12"/>
    <n v="464.74"/>
    <n v="0"/>
    <n v="0"/>
    <n v="0"/>
    <n v="12"/>
    <n v="464.74"/>
    <n v="0"/>
    <n v="0"/>
    <x v="65"/>
    <n v="464.74"/>
    <m/>
  </r>
  <r>
    <x v="257"/>
    <x v="256"/>
    <n v="2"/>
    <n v="50.2"/>
    <n v="0"/>
    <n v="0"/>
    <n v="0"/>
    <n v="2"/>
    <n v="50.2"/>
    <n v="0"/>
    <n v="0"/>
    <x v="11"/>
    <n v="50.2"/>
    <m/>
  </r>
  <r>
    <x v="258"/>
    <x v="257"/>
    <n v="1"/>
    <n v="39.58"/>
    <n v="0"/>
    <n v="0"/>
    <n v="0"/>
    <n v="1"/>
    <n v="39.58"/>
    <n v="0"/>
    <n v="0"/>
    <x v="10"/>
    <n v="39.58"/>
    <m/>
  </r>
  <r>
    <x v="259"/>
    <x v="258"/>
    <n v="0"/>
    <n v="0"/>
    <n v="0"/>
    <n v="0"/>
    <m/>
    <n v="0"/>
    <n v="0"/>
    <n v="0"/>
    <n v="0"/>
    <x v="1"/>
    <n v="0"/>
    <m/>
  </r>
  <r>
    <x v="260"/>
    <x v="259"/>
    <n v="5"/>
    <n v="143.05000000000001"/>
    <n v="0"/>
    <n v="0"/>
    <n v="0"/>
    <n v="5"/>
    <n v="143.05000000000001"/>
    <n v="0"/>
    <n v="0"/>
    <x v="2"/>
    <n v="143.05000000000001"/>
    <m/>
  </r>
  <r>
    <x v="261"/>
    <x v="260"/>
    <n v="0"/>
    <n v="0"/>
    <n v="0"/>
    <n v="0"/>
    <m/>
    <n v="0"/>
    <n v="0"/>
    <n v="0"/>
    <n v="0"/>
    <x v="1"/>
    <n v="0"/>
    <m/>
  </r>
  <r>
    <x v="262"/>
    <x v="261"/>
    <n v="0"/>
    <n v="0"/>
    <n v="0"/>
    <n v="0"/>
    <m/>
    <n v="0"/>
    <n v="0"/>
    <n v="0"/>
    <n v="0"/>
    <x v="1"/>
    <n v="0"/>
    <m/>
  </r>
  <r>
    <x v="263"/>
    <x v="262"/>
    <n v="11"/>
    <n v="188.32"/>
    <n v="0"/>
    <n v="0"/>
    <n v="0"/>
    <n v="11"/>
    <n v="188.32"/>
    <n v="0"/>
    <n v="0"/>
    <x v="107"/>
    <n v="188.32"/>
    <m/>
  </r>
  <r>
    <x v="264"/>
    <x v="263"/>
    <n v="1"/>
    <n v="18.47"/>
    <n v="0"/>
    <n v="0"/>
    <n v="0"/>
    <n v="1"/>
    <n v="18.47"/>
    <n v="0"/>
    <n v="0"/>
    <x v="10"/>
    <n v="18.47"/>
    <m/>
  </r>
  <r>
    <x v="265"/>
    <x v="264"/>
    <n v="0"/>
    <n v="0"/>
    <n v="0"/>
    <n v="0"/>
    <m/>
    <n v="0"/>
    <n v="0"/>
    <n v="0"/>
    <n v="0"/>
    <x v="1"/>
    <n v="0"/>
    <m/>
  </r>
  <r>
    <x v="266"/>
    <x v="265"/>
    <n v="0"/>
    <n v="0"/>
    <n v="0"/>
    <n v="0"/>
    <m/>
    <n v="0"/>
    <n v="0"/>
    <n v="0"/>
    <n v="0"/>
    <x v="1"/>
    <n v="0"/>
    <m/>
  </r>
  <r>
    <x v="267"/>
    <x v="266"/>
    <n v="21"/>
    <n v="489.7"/>
    <n v="0"/>
    <n v="0"/>
    <n v="0"/>
    <n v="21"/>
    <n v="489.7"/>
    <n v="0"/>
    <n v="0"/>
    <x v="66"/>
    <n v="489.7"/>
    <m/>
  </r>
  <r>
    <x v="268"/>
    <x v="267"/>
    <n v="24"/>
    <n v="122.81"/>
    <n v="0"/>
    <n v="0"/>
    <n v="0"/>
    <n v="24"/>
    <n v="122.81"/>
    <n v="0"/>
    <n v="0"/>
    <x v="108"/>
    <n v="122.81"/>
    <m/>
  </r>
  <r>
    <x v="269"/>
    <x v="268"/>
    <n v="1"/>
    <n v="6.55"/>
    <n v="0"/>
    <n v="0"/>
    <n v="0"/>
    <n v="1"/>
    <n v="6.55"/>
    <n v="0"/>
    <n v="0"/>
    <x v="10"/>
    <n v="6.55"/>
    <m/>
  </r>
  <r>
    <x v="270"/>
    <x v="269"/>
    <n v="199"/>
    <n v="1134.1099999999999"/>
    <n v="0"/>
    <n v="0"/>
    <n v="0"/>
    <n v="199"/>
    <n v="1134.1099999999999"/>
    <n v="0"/>
    <n v="0"/>
    <x v="109"/>
    <n v="1134.1099999999999"/>
    <m/>
  </r>
  <r>
    <x v="271"/>
    <x v="270"/>
    <n v="51"/>
    <n v="1652.69"/>
    <n v="0"/>
    <n v="0"/>
    <n v="0"/>
    <n v="51"/>
    <n v="1652.69"/>
    <n v="0"/>
    <n v="0"/>
    <x v="110"/>
    <n v="1652.69"/>
    <m/>
  </r>
  <r>
    <x v="272"/>
    <x v="271"/>
    <n v="85"/>
    <n v="1342.61"/>
    <n v="0"/>
    <n v="0"/>
    <n v="0"/>
    <n v="85"/>
    <n v="1342.61"/>
    <n v="0"/>
    <n v="0"/>
    <x v="111"/>
    <n v="1342.61"/>
    <m/>
  </r>
  <r>
    <x v="273"/>
    <x v="272"/>
    <n v="0"/>
    <n v="0"/>
    <n v="0"/>
    <n v="0"/>
    <m/>
    <n v="0"/>
    <n v="0"/>
    <n v="0"/>
    <n v="0"/>
    <x v="1"/>
    <n v="0"/>
    <m/>
  </r>
  <r>
    <x v="274"/>
    <x v="273"/>
    <n v="5"/>
    <n v="204.5"/>
    <n v="0"/>
    <n v="0"/>
    <n v="0"/>
    <n v="5"/>
    <n v="204.5"/>
    <n v="0"/>
    <n v="0"/>
    <x v="2"/>
    <n v="204.5"/>
    <m/>
  </r>
  <r>
    <x v="275"/>
    <x v="274"/>
    <n v="95"/>
    <n v="1549.45"/>
    <n v="0"/>
    <n v="0"/>
    <n v="0"/>
    <n v="95"/>
    <n v="1549.45"/>
    <n v="0"/>
    <n v="0"/>
    <x v="112"/>
    <n v="1549.45"/>
    <m/>
  </r>
  <r>
    <x v="276"/>
    <x v="275"/>
    <n v="324"/>
    <n v="5284.44"/>
    <n v="0"/>
    <n v="0"/>
    <n v="0"/>
    <n v="324"/>
    <n v="5284.44"/>
    <n v="0"/>
    <n v="0"/>
    <x v="113"/>
    <n v="5284.44"/>
    <m/>
  </r>
  <r>
    <x v="277"/>
    <x v="276"/>
    <n v="137"/>
    <n v="2234.4699999999998"/>
    <n v="0"/>
    <n v="0"/>
    <n v="0"/>
    <n v="137"/>
    <n v="2234.4699999999998"/>
    <n v="0"/>
    <n v="0"/>
    <x v="114"/>
    <n v="2234.4699999999998"/>
    <m/>
  </r>
  <r>
    <x v="278"/>
    <x v="277"/>
    <n v="0"/>
    <n v="0"/>
    <n v="0"/>
    <n v="0"/>
    <m/>
    <n v="0"/>
    <n v="0"/>
    <n v="0"/>
    <n v="0"/>
    <x v="1"/>
    <n v="0"/>
    <m/>
  </r>
  <r>
    <x v="279"/>
    <x v="278"/>
    <n v="40"/>
    <n v="1210"/>
    <n v="0"/>
    <n v="0"/>
    <n v="0"/>
    <n v="40"/>
    <n v="1210"/>
    <n v="0"/>
    <n v="0"/>
    <x v="115"/>
    <n v="1210"/>
    <m/>
  </r>
  <r>
    <x v="280"/>
    <x v="279"/>
    <n v="8"/>
    <n v="117.36"/>
    <n v="0"/>
    <n v="0"/>
    <n v="0"/>
    <n v="8"/>
    <n v="117.36"/>
    <n v="0"/>
    <n v="0"/>
    <x v="116"/>
    <n v="117.36"/>
    <m/>
  </r>
  <r>
    <x v="281"/>
    <x v="280"/>
    <n v="0"/>
    <n v="0"/>
    <n v="0"/>
    <n v="0"/>
    <m/>
    <n v="0"/>
    <n v="0"/>
    <n v="0"/>
    <n v="0"/>
    <x v="116"/>
    <n v="0"/>
    <m/>
  </r>
  <r>
    <x v="282"/>
    <x v="281"/>
    <n v="0"/>
    <n v="0"/>
    <n v="0"/>
    <n v="0"/>
    <m/>
    <n v="0"/>
    <n v="0"/>
    <n v="0"/>
    <n v="0"/>
    <x v="117"/>
    <n v="0"/>
    <m/>
  </r>
  <r>
    <x v="283"/>
    <x v="282"/>
    <n v="0"/>
    <n v="0"/>
    <n v="0"/>
    <n v="0"/>
    <m/>
    <n v="0"/>
    <n v="0"/>
    <n v="0"/>
    <n v="0"/>
    <x v="1"/>
    <n v="0"/>
    <m/>
  </r>
  <r>
    <x v="284"/>
    <x v="283"/>
    <n v="0"/>
    <n v="0"/>
    <n v="27"/>
    <n v="822.29999999999961"/>
    <n v="1"/>
    <n v="27"/>
    <n v="822.29999999999961"/>
    <n v="165"/>
    <n v="3367.65"/>
    <x v="1"/>
    <n v="-2545.3500000000004"/>
    <n v="-0.7558237940403546"/>
  </r>
  <r>
    <x v="285"/>
    <x v="284"/>
    <n v="0"/>
    <n v="0"/>
    <n v="0"/>
    <n v="0"/>
    <m/>
    <n v="0"/>
    <n v="0"/>
    <n v="0"/>
    <n v="0"/>
    <x v="1"/>
    <n v="0"/>
    <m/>
  </r>
  <r>
    <x v="286"/>
    <x v="285"/>
    <n v="0"/>
    <n v="0"/>
    <n v="0"/>
    <n v="0"/>
    <m/>
    <n v="0"/>
    <n v="0"/>
    <n v="0"/>
    <n v="0"/>
    <x v="118"/>
    <n v="0"/>
    <m/>
  </r>
  <r>
    <x v="287"/>
    <x v="286"/>
    <n v="0"/>
    <n v="0"/>
    <n v="0"/>
    <n v="0"/>
    <m/>
    <n v="0"/>
    <n v="0"/>
    <n v="7"/>
    <n v="71.13"/>
    <x v="1"/>
    <n v="-71.13"/>
    <n v="-1"/>
  </r>
  <r>
    <x v="288"/>
    <x v="287"/>
    <n v="0"/>
    <n v="0"/>
    <n v="0"/>
    <n v="0"/>
    <m/>
    <n v="0"/>
    <n v="0"/>
    <n v="0"/>
    <n v="0"/>
    <x v="1"/>
    <n v="0"/>
    <m/>
  </r>
  <r>
    <x v="289"/>
    <x v="288"/>
    <n v="0"/>
    <n v="0"/>
    <n v="0"/>
    <n v="0"/>
    <m/>
    <n v="0"/>
    <n v="0"/>
    <n v="0"/>
    <n v="0"/>
    <x v="18"/>
    <n v="0"/>
    <m/>
  </r>
  <r>
    <x v="290"/>
    <x v="289"/>
    <n v="0"/>
    <n v="0"/>
    <n v="0"/>
    <n v="0"/>
    <m/>
    <n v="0"/>
    <n v="0"/>
    <n v="4"/>
    <n v="27.55"/>
    <x v="1"/>
    <n v="-27.55"/>
    <n v="-1"/>
  </r>
  <r>
    <x v="291"/>
    <x v="290"/>
    <n v="0"/>
    <n v="0"/>
    <n v="0"/>
    <n v="0"/>
    <m/>
    <n v="0"/>
    <n v="0"/>
    <n v="0"/>
    <n v="0"/>
    <x v="1"/>
    <n v="0"/>
    <m/>
  </r>
  <r>
    <x v="292"/>
    <x v="291"/>
    <n v="0"/>
    <n v="0"/>
    <n v="0"/>
    <n v="0"/>
    <m/>
    <n v="0"/>
    <n v="0"/>
    <n v="0"/>
    <n v="0"/>
    <x v="70"/>
    <n v="0"/>
    <m/>
  </r>
  <r>
    <x v="293"/>
    <x v="292"/>
    <n v="0"/>
    <n v="0"/>
    <n v="0"/>
    <n v="0"/>
    <m/>
    <n v="0"/>
    <n v="0"/>
    <n v="1"/>
    <n v="11.82"/>
    <x v="1"/>
    <n v="-11.82"/>
    <n v="-1"/>
  </r>
  <r>
    <x v="294"/>
    <x v="293"/>
    <n v="0"/>
    <n v="0"/>
    <n v="0"/>
    <n v="0"/>
    <m/>
    <n v="0"/>
    <n v="0"/>
    <n v="1"/>
    <n v="27.93"/>
    <x v="1"/>
    <n v="-27.93"/>
    <n v="-1"/>
  </r>
  <r>
    <x v="295"/>
    <x v="294"/>
    <n v="0"/>
    <n v="0"/>
    <n v="0"/>
    <n v="0"/>
    <m/>
    <n v="0"/>
    <n v="0"/>
    <n v="0"/>
    <n v="0"/>
    <x v="3"/>
    <n v="0"/>
    <m/>
  </r>
  <r>
    <x v="296"/>
    <x v="295"/>
    <n v="0"/>
    <n v="0"/>
    <n v="0"/>
    <n v="0"/>
    <m/>
    <n v="0"/>
    <n v="0"/>
    <n v="0"/>
    <n v="0"/>
    <x v="3"/>
    <n v="0"/>
    <m/>
  </r>
  <r>
    <x v="297"/>
    <x v="296"/>
    <n v="0"/>
    <n v="0"/>
    <n v="0"/>
    <n v="0"/>
    <m/>
    <n v="0"/>
    <n v="0"/>
    <n v="14"/>
    <n v="117.64"/>
    <x v="1"/>
    <n v="-117.64"/>
    <n v="-1"/>
  </r>
  <r>
    <x v="298"/>
    <x v="297"/>
    <n v="0"/>
    <n v="0"/>
    <n v="0"/>
    <n v="0"/>
    <m/>
    <n v="0"/>
    <n v="0"/>
    <n v="0"/>
    <n v="0"/>
    <x v="1"/>
    <n v="0"/>
    <m/>
  </r>
  <r>
    <x v="299"/>
    <x v="298"/>
    <n v="0"/>
    <n v="0"/>
    <n v="0"/>
    <n v="0"/>
    <m/>
    <n v="0"/>
    <n v="0"/>
    <n v="0"/>
    <n v="0"/>
    <x v="6"/>
    <n v="0"/>
    <m/>
  </r>
  <r>
    <x v="300"/>
    <x v="299"/>
    <n v="0"/>
    <n v="0"/>
    <n v="0"/>
    <n v="0"/>
    <m/>
    <n v="0"/>
    <n v="0"/>
    <n v="0"/>
    <n v="0"/>
    <x v="1"/>
    <n v="0"/>
    <m/>
  </r>
  <r>
    <x v="301"/>
    <x v="300"/>
    <n v="0"/>
    <n v="0"/>
    <n v="0"/>
    <n v="0"/>
    <m/>
    <n v="0"/>
    <n v="0"/>
    <n v="0"/>
    <n v="0"/>
    <x v="1"/>
    <n v="0"/>
    <m/>
  </r>
  <r>
    <x v="302"/>
    <x v="301"/>
    <n v="0"/>
    <n v="0"/>
    <n v="0"/>
    <n v="0"/>
    <m/>
    <n v="0"/>
    <n v="0"/>
    <n v="26"/>
    <n v="223.33"/>
    <x v="1"/>
    <n v="-223.33"/>
    <n v="-1"/>
  </r>
  <r>
    <x v="303"/>
    <x v="302"/>
    <n v="0"/>
    <n v="0"/>
    <n v="0"/>
    <n v="0"/>
    <m/>
    <n v="0"/>
    <n v="0"/>
    <n v="16"/>
    <n v="150.5"/>
    <x v="1"/>
    <n v="-150.5"/>
    <n v="-1"/>
  </r>
  <r>
    <x v="304"/>
    <x v="303"/>
    <n v="0"/>
    <n v="0"/>
    <n v="0"/>
    <n v="0"/>
    <m/>
    <n v="0"/>
    <n v="0"/>
    <n v="0"/>
    <n v="0"/>
    <x v="97"/>
    <n v="0"/>
    <m/>
  </r>
  <r>
    <x v="305"/>
    <x v="304"/>
    <n v="0"/>
    <n v="0"/>
    <n v="0"/>
    <n v="0"/>
    <m/>
    <n v="0"/>
    <n v="0"/>
    <n v="0"/>
    <n v="0"/>
    <x v="119"/>
    <n v="0"/>
    <m/>
  </r>
  <r>
    <x v="306"/>
    <x v="305"/>
    <n v="0"/>
    <n v="0"/>
    <n v="0"/>
    <n v="0"/>
    <m/>
    <n v="0"/>
    <n v="0"/>
    <n v="-1"/>
    <n v="-11.39"/>
    <x v="1"/>
    <n v="11.39"/>
    <n v="-1"/>
  </r>
  <r>
    <x v="307"/>
    <x v="306"/>
    <n v="0"/>
    <n v="0"/>
    <n v="0"/>
    <n v="0"/>
    <m/>
    <n v="0"/>
    <n v="0"/>
    <n v="0"/>
    <n v="0"/>
    <x v="1"/>
    <n v="0"/>
    <m/>
  </r>
  <r>
    <x v="308"/>
    <x v="307"/>
    <n v="0"/>
    <n v="0"/>
    <n v="0"/>
    <n v="0"/>
    <m/>
    <n v="0"/>
    <n v="0"/>
    <n v="0"/>
    <n v="0"/>
    <x v="10"/>
    <n v="0"/>
    <m/>
  </r>
  <r>
    <x v="309"/>
    <x v="308"/>
    <n v="0"/>
    <n v="0"/>
    <n v="0"/>
    <n v="0"/>
    <m/>
    <n v="0"/>
    <n v="0"/>
    <n v="2"/>
    <n v="23.6"/>
    <x v="1"/>
    <n v="-23.6"/>
    <n v="-1"/>
  </r>
  <r>
    <x v="310"/>
    <x v="309"/>
    <n v="0"/>
    <n v="0"/>
    <n v="0"/>
    <n v="0"/>
    <m/>
    <n v="0"/>
    <n v="0"/>
    <n v="2"/>
    <n v="211.48"/>
    <x v="1"/>
    <n v="-211.48"/>
    <n v="-1"/>
  </r>
  <r>
    <x v="311"/>
    <x v="310"/>
    <n v="0"/>
    <n v="0"/>
    <n v="0"/>
    <n v="0"/>
    <m/>
    <n v="0"/>
    <n v="0"/>
    <n v="1"/>
    <n v="21.51"/>
    <x v="15"/>
    <n v="-21.51"/>
    <n v="-1"/>
  </r>
  <r>
    <x v="312"/>
    <x v="311"/>
    <n v="0"/>
    <n v="0"/>
    <n v="0"/>
    <n v="0"/>
    <m/>
    <n v="0"/>
    <n v="0"/>
    <n v="0"/>
    <n v="0"/>
    <x v="15"/>
    <n v="0"/>
    <m/>
  </r>
  <r>
    <x v="313"/>
    <x v="312"/>
    <n v="0"/>
    <n v="0"/>
    <n v="0"/>
    <n v="0"/>
    <m/>
    <n v="0"/>
    <n v="0"/>
    <n v="14"/>
    <n v="71.680000000000007"/>
    <x v="3"/>
    <n v="-71.680000000000007"/>
    <n v="-1"/>
  </r>
  <r>
    <x v="314"/>
    <x v="313"/>
    <n v="0"/>
    <n v="0"/>
    <n v="0"/>
    <n v="0"/>
    <m/>
    <n v="0"/>
    <n v="0"/>
    <n v="1"/>
    <n v="64.61"/>
    <x v="1"/>
    <n v="-64.61"/>
    <n v="-1"/>
  </r>
  <r>
    <x v="315"/>
    <x v="314"/>
    <n v="0"/>
    <n v="0"/>
    <n v="0"/>
    <n v="0"/>
    <m/>
    <n v="0"/>
    <n v="0"/>
    <n v="0"/>
    <n v="0"/>
    <x v="6"/>
    <n v="0"/>
    <m/>
  </r>
  <r>
    <x v="316"/>
    <x v="315"/>
    <n v="0"/>
    <n v="0"/>
    <n v="0"/>
    <n v="0"/>
    <m/>
    <n v="0"/>
    <n v="0"/>
    <n v="0"/>
    <n v="0"/>
    <x v="3"/>
    <n v="0"/>
    <m/>
  </r>
  <r>
    <x v="317"/>
    <x v="316"/>
    <n v="0"/>
    <n v="0"/>
    <n v="0"/>
    <n v="0"/>
    <m/>
    <n v="0"/>
    <n v="0"/>
    <n v="2"/>
    <n v="49.02"/>
    <x v="1"/>
    <n v="-49.02"/>
    <n v="-1"/>
  </r>
  <r>
    <x v="318"/>
    <x v="317"/>
    <n v="0"/>
    <n v="0"/>
    <n v="0"/>
    <n v="0"/>
    <m/>
    <n v="0"/>
    <n v="0"/>
    <n v="1"/>
    <n v="20.41"/>
    <x v="1"/>
    <n v="-20.41"/>
    <n v="-1"/>
  </r>
  <r>
    <x v="319"/>
    <x v="318"/>
    <n v="0"/>
    <n v="0"/>
    <n v="0"/>
    <n v="0"/>
    <m/>
    <n v="0"/>
    <n v="0"/>
    <n v="0"/>
    <n v="0"/>
    <x v="15"/>
    <n v="0"/>
    <m/>
  </r>
  <r>
    <x v="320"/>
    <x v="319"/>
    <n v="0"/>
    <n v="0"/>
    <n v="0"/>
    <n v="0"/>
    <m/>
    <n v="0"/>
    <n v="0"/>
    <n v="0"/>
    <n v="0"/>
    <x v="3"/>
    <n v="0"/>
    <m/>
  </r>
  <r>
    <x v="321"/>
    <x v="320"/>
    <n v="0"/>
    <n v="0"/>
    <n v="0"/>
    <n v="0"/>
    <m/>
    <n v="0"/>
    <n v="0"/>
    <n v="0"/>
    <n v="0"/>
    <x v="1"/>
    <n v="0"/>
    <m/>
  </r>
  <r>
    <x v="322"/>
    <x v="321"/>
    <n v="0"/>
    <n v="0"/>
    <n v="0"/>
    <n v="0"/>
    <m/>
    <n v="0"/>
    <n v="0"/>
    <n v="5"/>
    <n v="327.45"/>
    <x v="1"/>
    <n v="-327.45"/>
    <n v="-1"/>
  </r>
  <r>
    <x v="323"/>
    <x v="322"/>
    <n v="0"/>
    <n v="0"/>
    <n v="0"/>
    <n v="0"/>
    <m/>
    <n v="0"/>
    <n v="0"/>
    <n v="0"/>
    <n v="0"/>
    <x v="1"/>
    <n v="0"/>
    <m/>
  </r>
  <r>
    <x v="324"/>
    <x v="323"/>
    <n v="0"/>
    <n v="0"/>
    <n v="0"/>
    <n v="0"/>
    <m/>
    <n v="0"/>
    <n v="0"/>
    <n v="1"/>
    <n v="44.57"/>
    <x v="9"/>
    <n v="-44.57"/>
    <n v="-1"/>
  </r>
  <r>
    <x v="325"/>
    <x v="324"/>
    <n v="0"/>
    <n v="0"/>
    <n v="0"/>
    <n v="0"/>
    <m/>
    <n v="0"/>
    <n v="0"/>
    <n v="0"/>
    <n v="0"/>
    <x v="1"/>
    <n v="0"/>
    <m/>
  </r>
  <r>
    <x v="326"/>
    <x v="325"/>
    <n v="0"/>
    <n v="0"/>
    <n v="0"/>
    <n v="0"/>
    <m/>
    <n v="0"/>
    <n v="0"/>
    <n v="8"/>
    <n v="156.72"/>
    <x v="3"/>
    <n v="-156.72"/>
    <n v="-1"/>
  </r>
  <r>
    <x v="327"/>
    <x v="326"/>
    <n v="0"/>
    <n v="0"/>
    <n v="0"/>
    <n v="0"/>
    <m/>
    <n v="0"/>
    <n v="0"/>
    <n v="0"/>
    <n v="0"/>
    <x v="1"/>
    <n v="0"/>
    <m/>
  </r>
  <r>
    <x v="328"/>
    <x v="327"/>
    <n v="0"/>
    <n v="0"/>
    <n v="0"/>
    <n v="0"/>
    <m/>
    <n v="0"/>
    <n v="0"/>
    <n v="1"/>
    <n v="24.51"/>
    <x v="68"/>
    <n v="-24.51"/>
    <n v="-1"/>
  </r>
  <r>
    <x v="329"/>
    <x v="328"/>
    <n v="0"/>
    <n v="0"/>
    <n v="0"/>
    <n v="0"/>
    <m/>
    <n v="0"/>
    <n v="0"/>
    <n v="0"/>
    <n v="0"/>
    <x v="1"/>
    <n v="0"/>
    <m/>
  </r>
  <r>
    <x v="330"/>
    <x v="329"/>
    <n v="0"/>
    <n v="0"/>
    <n v="0"/>
    <n v="0"/>
    <m/>
    <n v="0"/>
    <n v="0"/>
    <n v="0"/>
    <n v="0"/>
    <x v="3"/>
    <n v="0"/>
    <m/>
  </r>
  <r>
    <x v="331"/>
    <x v="330"/>
    <n v="0"/>
    <n v="0"/>
    <n v="0"/>
    <n v="0"/>
    <m/>
    <n v="0"/>
    <n v="0"/>
    <n v="2"/>
    <n v="98.2"/>
    <x v="1"/>
    <n v="-98.2"/>
    <n v="-1"/>
  </r>
  <r>
    <x v="332"/>
    <x v="331"/>
    <n v="0"/>
    <n v="0"/>
    <n v="0"/>
    <n v="0"/>
    <m/>
    <n v="0"/>
    <n v="0"/>
    <n v="3"/>
    <n v="34.130000000000003"/>
    <x v="1"/>
    <n v="-34.130000000000003"/>
    <n v="-1"/>
  </r>
  <r>
    <x v="333"/>
    <x v="332"/>
    <n v="0"/>
    <n v="0"/>
    <n v="0"/>
    <n v="0"/>
    <m/>
    <n v="0"/>
    <n v="0"/>
    <n v="0"/>
    <n v="0"/>
    <x v="15"/>
    <n v="0"/>
    <m/>
  </r>
  <r>
    <x v="334"/>
    <x v="333"/>
    <n v="0"/>
    <n v="0"/>
    <n v="0"/>
    <n v="0"/>
    <m/>
    <n v="0"/>
    <n v="0"/>
    <n v="0"/>
    <n v="0"/>
    <x v="44"/>
    <n v="0"/>
    <m/>
  </r>
  <r>
    <x v="335"/>
    <x v="334"/>
    <n v="0"/>
    <n v="0"/>
    <n v="0"/>
    <n v="0"/>
    <m/>
    <n v="0"/>
    <n v="0"/>
    <n v="0"/>
    <n v="0"/>
    <x v="1"/>
    <n v="0"/>
    <m/>
  </r>
  <r>
    <x v="336"/>
    <x v="335"/>
    <n v="0"/>
    <n v="0"/>
    <n v="0"/>
    <n v="0"/>
    <m/>
    <n v="0"/>
    <n v="0"/>
    <n v="1"/>
    <n v="47.98"/>
    <x v="1"/>
    <n v="-47.98"/>
    <n v="-1"/>
  </r>
  <r>
    <x v="337"/>
    <x v="336"/>
    <n v="0"/>
    <n v="0"/>
    <n v="0"/>
    <n v="0"/>
    <m/>
    <n v="0"/>
    <n v="0"/>
    <n v="0"/>
    <n v="0"/>
    <x v="1"/>
    <n v="0"/>
    <m/>
  </r>
  <r>
    <x v="338"/>
    <x v="337"/>
    <n v="0"/>
    <n v="0"/>
    <n v="0"/>
    <n v="0"/>
    <m/>
    <n v="0"/>
    <n v="0"/>
    <n v="3"/>
    <n v="61.23"/>
    <x v="3"/>
    <n v="-61.23"/>
    <n v="-1"/>
  </r>
  <r>
    <x v="339"/>
    <x v="338"/>
    <n v="0"/>
    <n v="0"/>
    <n v="0"/>
    <n v="0"/>
    <m/>
    <n v="0"/>
    <n v="0"/>
    <n v="-1"/>
    <n v="-16.309999999999999"/>
    <x v="1"/>
    <n v="16.309999999999999"/>
    <n v="-1"/>
  </r>
  <r>
    <x v="340"/>
    <x v="339"/>
    <n v="0"/>
    <n v="0"/>
    <n v="0"/>
    <n v="0"/>
    <m/>
    <n v="0"/>
    <n v="0"/>
    <n v="53"/>
    <n v="862.16"/>
    <x v="44"/>
    <n v="-862.16"/>
    <n v="-1"/>
  </r>
  <r>
    <x v="341"/>
    <x v="340"/>
    <n v="0"/>
    <n v="0"/>
    <n v="0"/>
    <n v="0"/>
    <m/>
    <n v="0"/>
    <n v="0"/>
    <n v="0"/>
    <n v="0"/>
    <x v="10"/>
    <n v="0"/>
    <m/>
  </r>
  <r>
    <x v="342"/>
    <x v="341"/>
    <n v="0"/>
    <n v="0"/>
    <n v="0"/>
    <n v="0"/>
    <m/>
    <n v="0"/>
    <n v="0"/>
    <n v="0"/>
    <n v="0"/>
    <x v="98"/>
    <n v="0"/>
    <m/>
  </r>
  <r>
    <x v="343"/>
    <x v="342"/>
    <n v="0"/>
    <n v="0"/>
    <n v="0"/>
    <n v="0"/>
    <m/>
    <n v="0"/>
    <n v="0"/>
    <n v="0"/>
    <n v="0"/>
    <x v="1"/>
    <n v="0"/>
    <m/>
  </r>
  <r>
    <x v="344"/>
    <x v="343"/>
    <n v="0"/>
    <n v="0"/>
    <n v="0"/>
    <n v="0"/>
    <m/>
    <n v="0"/>
    <n v="0"/>
    <n v="23"/>
    <n v="477.88"/>
    <x v="1"/>
    <n v="-477.88"/>
    <n v="-1"/>
  </r>
  <r>
    <x v="345"/>
    <x v="344"/>
    <n v="0"/>
    <n v="0"/>
    <n v="0"/>
    <n v="0"/>
    <m/>
    <n v="0"/>
    <n v="0"/>
    <n v="0"/>
    <n v="0"/>
    <x v="1"/>
    <n v="0"/>
    <m/>
  </r>
  <r>
    <x v="346"/>
    <x v="345"/>
    <n v="0"/>
    <n v="0"/>
    <n v="0"/>
    <n v="0"/>
    <m/>
    <n v="0"/>
    <n v="0"/>
    <n v="0"/>
    <n v="0"/>
    <x v="20"/>
    <n v="0"/>
    <m/>
  </r>
  <r>
    <x v="347"/>
    <x v="346"/>
    <n v="0"/>
    <n v="0"/>
    <n v="0"/>
    <n v="0"/>
    <m/>
    <n v="0"/>
    <n v="0"/>
    <n v="0"/>
    <n v="0"/>
    <x v="1"/>
    <n v="0"/>
    <m/>
  </r>
  <r>
    <x v="348"/>
    <x v="347"/>
    <n v="0"/>
    <n v="0"/>
    <n v="21"/>
    <n v="842.89999999999975"/>
    <n v="1"/>
    <n v="21"/>
    <n v="842.89999999999975"/>
    <n v="0"/>
    <n v="0"/>
    <x v="1"/>
    <n v="842.89999999999975"/>
    <m/>
  </r>
  <r>
    <x v="349"/>
    <x v="348"/>
    <n v="0"/>
    <n v="0"/>
    <n v="0"/>
    <n v="0"/>
    <m/>
    <n v="0"/>
    <n v="0"/>
    <n v="0"/>
    <n v="0"/>
    <x v="1"/>
    <n v="0"/>
    <m/>
  </r>
  <r>
    <x v="350"/>
    <x v="349"/>
    <n v="0"/>
    <n v="0"/>
    <n v="0"/>
    <n v="0"/>
    <m/>
    <n v="0"/>
    <n v="0"/>
    <n v="0"/>
    <n v="0"/>
    <x v="66"/>
    <n v="0"/>
    <m/>
  </r>
  <r>
    <x v="351"/>
    <x v="350"/>
    <n v="0"/>
    <n v="0"/>
    <n v="0"/>
    <n v="0"/>
    <m/>
    <n v="0"/>
    <n v="0"/>
    <n v="0"/>
    <n v="0"/>
    <x v="1"/>
    <n v="0"/>
    <m/>
  </r>
  <r>
    <x v="352"/>
    <x v="351"/>
    <n v="0"/>
    <n v="0"/>
    <n v="0"/>
    <n v="0"/>
    <m/>
    <n v="0"/>
    <n v="0"/>
    <n v="11"/>
    <n v="1190.25"/>
    <x v="1"/>
    <n v="-1190.25"/>
    <n v="-1"/>
  </r>
  <r>
    <x v="353"/>
    <x v="352"/>
    <n v="0"/>
    <n v="0"/>
    <n v="0"/>
    <n v="0"/>
    <m/>
    <n v="0"/>
    <n v="0"/>
    <n v="0"/>
    <n v="0"/>
    <x v="1"/>
    <n v="0"/>
    <m/>
  </r>
  <r>
    <x v="354"/>
    <x v="353"/>
    <n v="0"/>
    <n v="0"/>
    <n v="0"/>
    <n v="0"/>
    <m/>
    <n v="0"/>
    <n v="0"/>
    <n v="9"/>
    <n v="1073.6300000000001"/>
    <x v="16"/>
    <n v="-1073.6300000000001"/>
    <n v="-1"/>
  </r>
  <r>
    <x v="355"/>
    <x v="354"/>
    <n v="0"/>
    <n v="0"/>
    <n v="0"/>
    <n v="0"/>
    <m/>
    <n v="0"/>
    <n v="0"/>
    <n v="0"/>
    <n v="0"/>
    <x v="1"/>
    <n v="0"/>
    <m/>
  </r>
  <r>
    <x v="356"/>
    <x v="355"/>
    <n v="0"/>
    <n v="0"/>
    <n v="0"/>
    <n v="0"/>
    <m/>
    <n v="0"/>
    <n v="0"/>
    <n v="0"/>
    <n v="0"/>
    <x v="5"/>
    <n v="0"/>
    <m/>
  </r>
  <r>
    <x v="357"/>
    <x v="356"/>
    <n v="0"/>
    <n v="0"/>
    <n v="0"/>
    <n v="0"/>
    <m/>
    <n v="0"/>
    <n v="0"/>
    <n v="9"/>
    <n v="36.18"/>
    <x v="1"/>
    <n v="-36.18"/>
    <n v="-1"/>
  </r>
  <r>
    <x v="358"/>
    <x v="357"/>
    <m/>
    <m/>
    <m/>
    <m/>
    <m/>
    <m/>
    <m/>
    <m/>
    <m/>
    <x v="120"/>
    <m/>
    <m/>
  </r>
  <r>
    <x v="0"/>
    <x v="0"/>
    <n v="311"/>
    <n v="4876.26"/>
    <n v="1"/>
    <n v="19.899999999999999"/>
    <n v="4.0644096598150383E-3"/>
    <n v="312"/>
    <n v="4896.16"/>
    <n v="24"/>
    <n v="312.72000000000003"/>
    <x v="121"/>
    <n v="4583.4399999999996"/>
    <n v="14.656689690457915"/>
  </r>
  <r>
    <x v="2"/>
    <x v="2"/>
    <n v="1"/>
    <n v="13.85"/>
    <n v="0"/>
    <n v="0"/>
    <n v="0"/>
    <n v="1"/>
    <n v="13.85"/>
    <n v="2"/>
    <n v="35.729999999999997"/>
    <x v="3"/>
    <n v="-21.879999999999995"/>
    <n v="-0.6123705569549398"/>
  </r>
  <r>
    <x v="4"/>
    <x v="4"/>
    <n v="17"/>
    <n v="102.19"/>
    <n v="0"/>
    <n v="0"/>
    <n v="0"/>
    <n v="17"/>
    <n v="102.19"/>
    <n v="159"/>
    <n v="878.28"/>
    <x v="122"/>
    <n v="-776.08999999999992"/>
    <n v="-0.88364758391401366"/>
  </r>
  <r>
    <x v="284"/>
    <x v="283"/>
    <n v="0"/>
    <n v="0"/>
    <n v="36"/>
    <n v="1151.9099999999999"/>
    <n v="1"/>
    <n v="36"/>
    <n v="1151.9099999999999"/>
    <n v="92"/>
    <n v="1877.72"/>
    <x v="123"/>
    <n v="-725.81000000000017"/>
    <n v="-0.38653792897769645"/>
  </r>
  <r>
    <x v="285"/>
    <x v="284"/>
    <n v="0"/>
    <n v="0"/>
    <n v="0"/>
    <n v="0"/>
    <m/>
    <n v="0"/>
    <n v="0"/>
    <n v="0"/>
    <n v="0"/>
    <x v="1"/>
    <n v="0"/>
    <m/>
  </r>
  <r>
    <x v="5"/>
    <x v="5"/>
    <n v="0"/>
    <n v="0"/>
    <n v="0"/>
    <n v="0"/>
    <m/>
    <n v="0"/>
    <n v="0"/>
    <n v="3"/>
    <n v="18.989999999999998"/>
    <x v="44"/>
    <n v="-18.989999999999998"/>
    <n v="-1"/>
  </r>
  <r>
    <x v="6"/>
    <x v="6"/>
    <n v="0"/>
    <n v="0"/>
    <n v="0"/>
    <n v="0"/>
    <m/>
    <n v="0"/>
    <n v="0"/>
    <n v="0"/>
    <n v="0"/>
    <x v="1"/>
    <n v="0"/>
    <m/>
  </r>
  <r>
    <x v="286"/>
    <x v="285"/>
    <n v="3"/>
    <n v="61.3"/>
    <n v="0"/>
    <n v="0"/>
    <n v="0"/>
    <n v="3"/>
    <n v="61.3"/>
    <n v="3"/>
    <n v="49.83"/>
    <x v="1"/>
    <n v="11.469999999999999"/>
    <n v="0.23018262091109773"/>
  </r>
  <r>
    <x v="7"/>
    <x v="7"/>
    <n v="3"/>
    <n v="73.53"/>
    <n v="0"/>
    <n v="0"/>
    <n v="0"/>
    <n v="3"/>
    <n v="73.53"/>
    <n v="2"/>
    <n v="49.02"/>
    <x v="10"/>
    <n v="24.509999999999998"/>
    <n v="0.49999999999999994"/>
  </r>
  <r>
    <x v="8"/>
    <x v="8"/>
    <n v="424"/>
    <n v="7577.95"/>
    <n v="0"/>
    <n v="0"/>
    <n v="0"/>
    <n v="424"/>
    <n v="7577.95"/>
    <n v="202"/>
    <n v="3294.62"/>
    <x v="124"/>
    <n v="4283.33"/>
    <n v="1.30009834214568"/>
  </r>
  <r>
    <x v="9"/>
    <x v="9"/>
    <n v="0"/>
    <n v="0"/>
    <n v="96"/>
    <n v="2882.4000000000051"/>
    <n v="1"/>
    <n v="96"/>
    <n v="2882.4000000000051"/>
    <n v="515"/>
    <n v="10511.15"/>
    <x v="125"/>
    <n v="-7628.7499999999945"/>
    <n v="-0.72577691308753034"/>
  </r>
  <r>
    <x v="10"/>
    <x v="10"/>
    <n v="3"/>
    <n v="147.35"/>
    <n v="0"/>
    <n v="0"/>
    <n v="0"/>
    <n v="3"/>
    <n v="147.35"/>
    <n v="1"/>
    <n v="53.22"/>
    <x v="11"/>
    <n v="94.13"/>
    <n v="1.7686959789552799"/>
  </r>
  <r>
    <x v="287"/>
    <x v="286"/>
    <n v="1"/>
    <n v="10.57"/>
    <n v="0"/>
    <n v="0"/>
    <n v="0"/>
    <n v="1"/>
    <n v="10.57"/>
    <n v="3"/>
    <n v="31.71"/>
    <x v="15"/>
    <n v="-21.14"/>
    <n v="-0.66666666666666663"/>
  </r>
  <r>
    <x v="13"/>
    <x v="13"/>
    <n v="24"/>
    <n v="784.8"/>
    <n v="0"/>
    <n v="0"/>
    <n v="0"/>
    <n v="24"/>
    <n v="784.8"/>
    <n v="103"/>
    <n v="2946.83"/>
    <x v="126"/>
    <n v="-2162.0299999999997"/>
    <n v="-0.73367992045689767"/>
  </r>
  <r>
    <x v="359"/>
    <x v="358"/>
    <n v="1"/>
    <n v="6.73"/>
    <n v="0"/>
    <n v="0"/>
    <n v="0"/>
    <n v="1"/>
    <n v="6.73"/>
    <n v="0"/>
    <n v="0"/>
    <x v="10"/>
    <n v="6.73"/>
    <m/>
  </r>
  <r>
    <x v="360"/>
    <x v="359"/>
    <n v="0"/>
    <n v="0"/>
    <n v="0"/>
    <n v="0"/>
    <m/>
    <n v="0"/>
    <n v="0"/>
    <n v="0"/>
    <n v="0"/>
    <x v="1"/>
    <n v="0"/>
    <m/>
  </r>
  <r>
    <x v="293"/>
    <x v="292"/>
    <n v="1"/>
    <n v="16.309999999999999"/>
    <n v="0"/>
    <n v="0"/>
    <n v="0"/>
    <n v="1"/>
    <n v="16.309999999999999"/>
    <n v="0"/>
    <n v="0"/>
    <x v="10"/>
    <n v="16.309999999999999"/>
    <m/>
  </r>
  <r>
    <x v="14"/>
    <x v="14"/>
    <n v="274"/>
    <n v="4464.6099999999997"/>
    <n v="7"/>
    <n v="155.61000000000001"/>
    <n v="3.3680214362086659E-2"/>
    <n v="281"/>
    <n v="4620.2199999999993"/>
    <n v="323"/>
    <n v="5211.46"/>
    <x v="127"/>
    <n v="-591.24000000000069"/>
    <n v="-0.11344997371178148"/>
  </r>
  <r>
    <x v="15"/>
    <x v="15"/>
    <n v="1"/>
    <n v="9.5399999999999991"/>
    <n v="0"/>
    <n v="0"/>
    <n v="0"/>
    <n v="1"/>
    <n v="9.5399999999999991"/>
    <n v="0"/>
    <n v="0"/>
    <x v="10"/>
    <n v="9.5399999999999991"/>
    <m/>
  </r>
  <r>
    <x v="361"/>
    <x v="360"/>
    <n v="0"/>
    <n v="0"/>
    <n v="0"/>
    <n v="0"/>
    <m/>
    <n v="0"/>
    <n v="0"/>
    <n v="0"/>
    <n v="0"/>
    <x v="1"/>
    <n v="0"/>
    <m/>
  </r>
  <r>
    <x v="362"/>
    <x v="361"/>
    <n v="0"/>
    <n v="0"/>
    <n v="0"/>
    <n v="0"/>
    <m/>
    <n v="0"/>
    <n v="0"/>
    <n v="0"/>
    <n v="0"/>
    <x v="1"/>
    <n v="0"/>
    <m/>
  </r>
  <r>
    <x v="17"/>
    <x v="17"/>
    <n v="0"/>
    <n v="0"/>
    <n v="0"/>
    <n v="0"/>
    <m/>
    <n v="0"/>
    <n v="0"/>
    <n v="0"/>
    <n v="0"/>
    <x v="1"/>
    <n v="0"/>
    <m/>
  </r>
  <r>
    <x v="18"/>
    <x v="18"/>
    <n v="0"/>
    <n v="0"/>
    <n v="0"/>
    <n v="0"/>
    <m/>
    <n v="0"/>
    <n v="0"/>
    <n v="0"/>
    <n v="0"/>
    <x v="1"/>
    <n v="0"/>
    <m/>
  </r>
  <r>
    <x v="19"/>
    <x v="19"/>
    <n v="0"/>
    <n v="0"/>
    <n v="5"/>
    <n v="234.5"/>
    <n v="1"/>
    <n v="5"/>
    <n v="234.5"/>
    <n v="0"/>
    <n v="0"/>
    <x v="2"/>
    <n v="234.5"/>
    <m/>
  </r>
  <r>
    <x v="20"/>
    <x v="20"/>
    <n v="5"/>
    <n v="572.22"/>
    <n v="0"/>
    <n v="0"/>
    <n v="0"/>
    <n v="5"/>
    <n v="572.22"/>
    <n v="4"/>
    <n v="320.64999999999998"/>
    <x v="10"/>
    <n v="251.57000000000005"/>
    <n v="0.78456260720411686"/>
  </r>
  <r>
    <x v="363"/>
    <x v="362"/>
    <n v="0"/>
    <n v="0"/>
    <n v="0"/>
    <n v="0"/>
    <m/>
    <n v="0"/>
    <n v="0"/>
    <n v="0"/>
    <n v="0"/>
    <x v="1"/>
    <n v="0"/>
    <m/>
  </r>
  <r>
    <x v="21"/>
    <x v="21"/>
    <n v="2"/>
    <n v="6.98"/>
    <n v="0"/>
    <n v="0"/>
    <n v="0"/>
    <n v="2"/>
    <n v="6.98"/>
    <n v="9"/>
    <n v="30.95"/>
    <x v="18"/>
    <n v="-23.97"/>
    <n v="-0.77447495961227786"/>
  </r>
  <r>
    <x v="22"/>
    <x v="22"/>
    <n v="2"/>
    <n v="32.619999999999997"/>
    <n v="1084"/>
    <n v="21587.91000000016"/>
    <n v="0.99849124882692519"/>
    <n v="1086"/>
    <n v="21620.530000000159"/>
    <n v="2222"/>
    <n v="30066.66"/>
    <x v="128"/>
    <n v="-8446.1299999998409"/>
    <n v="-0.28091347692094304"/>
  </r>
  <r>
    <x v="23"/>
    <x v="23"/>
    <n v="13"/>
    <n v="50.63"/>
    <n v="0"/>
    <n v="0"/>
    <n v="0"/>
    <n v="13"/>
    <n v="50.63"/>
    <n v="2"/>
    <n v="11.51"/>
    <x v="107"/>
    <n v="39.120000000000005"/>
    <n v="3.3987836663770641"/>
  </r>
  <r>
    <x v="24"/>
    <x v="24"/>
    <n v="3"/>
    <n v="18.149999999999999"/>
    <n v="0"/>
    <n v="0"/>
    <n v="0"/>
    <n v="3"/>
    <n v="18.149999999999999"/>
    <n v="0"/>
    <n v="0"/>
    <x v="28"/>
    <n v="18.149999999999999"/>
    <m/>
  </r>
  <r>
    <x v="364"/>
    <x v="363"/>
    <n v="0"/>
    <n v="0"/>
    <n v="0"/>
    <n v="0"/>
    <m/>
    <n v="0"/>
    <n v="0"/>
    <n v="0"/>
    <n v="0"/>
    <x v="1"/>
    <n v="0"/>
    <m/>
  </r>
  <r>
    <x v="25"/>
    <x v="25"/>
    <n v="0"/>
    <n v="0"/>
    <n v="285"/>
    <n v="9936.0199999999477"/>
    <n v="1"/>
    <n v="285"/>
    <n v="9936.0199999999477"/>
    <n v="327"/>
    <n v="9421.49"/>
    <x v="127"/>
    <n v="514.5299999999479"/>
    <n v="5.4612380844213382E-2"/>
  </r>
  <r>
    <x v="26"/>
    <x v="26"/>
    <n v="43"/>
    <n v="877.63"/>
    <n v="0"/>
    <n v="0"/>
    <n v="0"/>
    <n v="43"/>
    <n v="877.63"/>
    <n v="65"/>
    <n v="1379.23"/>
    <x v="38"/>
    <n v="-501.6"/>
    <n v="-0.363681184428993"/>
  </r>
  <r>
    <x v="365"/>
    <x v="364"/>
    <n v="0"/>
    <n v="0"/>
    <n v="0"/>
    <n v="0"/>
    <m/>
    <n v="0"/>
    <n v="0"/>
    <n v="0"/>
    <n v="0"/>
    <x v="1"/>
    <n v="0"/>
    <m/>
  </r>
  <r>
    <x v="27"/>
    <x v="27"/>
    <n v="0"/>
    <n v="0"/>
    <n v="20"/>
    <n v="897.99999999999966"/>
    <n v="1"/>
    <n v="20"/>
    <n v="897.99999999999966"/>
    <n v="227"/>
    <n v="6496.29"/>
    <x v="129"/>
    <n v="-5598.29"/>
    <n v="-0.86176725484853667"/>
  </r>
  <r>
    <x v="28"/>
    <x v="28"/>
    <n v="0"/>
    <n v="0"/>
    <n v="0"/>
    <n v="0"/>
    <m/>
    <n v="0"/>
    <n v="0"/>
    <n v="0"/>
    <n v="0"/>
    <x v="1"/>
    <n v="0"/>
    <m/>
  </r>
  <r>
    <x v="301"/>
    <x v="300"/>
    <n v="0"/>
    <n v="0"/>
    <n v="0"/>
    <n v="0"/>
    <m/>
    <n v="0"/>
    <n v="0"/>
    <n v="0"/>
    <n v="0"/>
    <x v="1"/>
    <n v="0"/>
    <m/>
  </r>
  <r>
    <x v="366"/>
    <x v="365"/>
    <n v="0"/>
    <n v="0"/>
    <n v="0"/>
    <n v="0"/>
    <m/>
    <n v="0"/>
    <n v="0"/>
    <n v="0"/>
    <n v="0"/>
    <x v="1"/>
    <n v="0"/>
    <m/>
  </r>
  <r>
    <x v="29"/>
    <x v="29"/>
    <n v="0"/>
    <n v="0"/>
    <n v="0"/>
    <n v="0"/>
    <m/>
    <n v="0"/>
    <n v="0"/>
    <n v="4"/>
    <n v="43.35"/>
    <x v="70"/>
    <n v="-43.35"/>
    <n v="-1"/>
  </r>
  <r>
    <x v="30"/>
    <x v="30"/>
    <n v="2"/>
    <n v="29.04"/>
    <n v="0"/>
    <n v="0"/>
    <n v="0"/>
    <n v="2"/>
    <n v="29.04"/>
    <n v="8"/>
    <n v="122.46"/>
    <x v="22"/>
    <n v="-93.419999999999987"/>
    <n v="-0.76286134247917681"/>
  </r>
  <r>
    <x v="31"/>
    <x v="31"/>
    <n v="3"/>
    <n v="11.67"/>
    <n v="0"/>
    <n v="0"/>
    <n v="0"/>
    <n v="3"/>
    <n v="11.67"/>
    <n v="1"/>
    <n v="6.75"/>
    <x v="11"/>
    <n v="4.92"/>
    <n v="0.72888888888888892"/>
  </r>
  <r>
    <x v="32"/>
    <x v="32"/>
    <n v="0"/>
    <n v="0"/>
    <n v="0"/>
    <n v="0"/>
    <m/>
    <n v="0"/>
    <n v="0"/>
    <n v="0"/>
    <n v="0"/>
    <x v="1"/>
    <n v="0"/>
    <m/>
  </r>
  <r>
    <x v="35"/>
    <x v="35"/>
    <n v="197"/>
    <n v="5475.75"/>
    <n v="0"/>
    <n v="0"/>
    <n v="0"/>
    <n v="197"/>
    <n v="5475.75"/>
    <n v="165"/>
    <n v="4246.18"/>
    <x v="130"/>
    <n v="1229.5699999999997"/>
    <n v="0.28957086133889748"/>
  </r>
  <r>
    <x v="36"/>
    <x v="36"/>
    <n v="0"/>
    <n v="0"/>
    <n v="31"/>
    <n v="1546.9000000000005"/>
    <n v="1"/>
    <n v="31"/>
    <n v="1546.9000000000005"/>
    <n v="0"/>
    <n v="0"/>
    <x v="131"/>
    <n v="1546.9000000000005"/>
    <m/>
  </r>
  <r>
    <x v="37"/>
    <x v="37"/>
    <n v="30"/>
    <n v="1743.72"/>
    <n v="0"/>
    <n v="0"/>
    <n v="0"/>
    <n v="30"/>
    <n v="1743.72"/>
    <n v="61"/>
    <n v="3495.3"/>
    <x v="132"/>
    <n v="-1751.5800000000002"/>
    <n v="-0.50112436700712382"/>
  </r>
  <r>
    <x v="38"/>
    <x v="38"/>
    <n v="0"/>
    <n v="0"/>
    <n v="0"/>
    <n v="0"/>
    <m/>
    <n v="0"/>
    <n v="0"/>
    <n v="0"/>
    <n v="0"/>
    <x v="1"/>
    <n v="0"/>
    <m/>
  </r>
  <r>
    <x v="310"/>
    <x v="309"/>
    <n v="0"/>
    <n v="0"/>
    <n v="0"/>
    <n v="0"/>
    <m/>
    <n v="0"/>
    <n v="0"/>
    <n v="8"/>
    <n v="809.04"/>
    <x v="68"/>
    <n v="-809.04"/>
    <n v="-1"/>
  </r>
  <r>
    <x v="39"/>
    <x v="39"/>
    <n v="21"/>
    <n v="1715.37"/>
    <n v="0"/>
    <n v="0"/>
    <n v="0"/>
    <n v="21"/>
    <n v="1715.37"/>
    <n v="43"/>
    <n v="3168.67"/>
    <x v="38"/>
    <n v="-1453.3000000000002"/>
    <n v="-0.45864668772702749"/>
  </r>
  <r>
    <x v="40"/>
    <x v="40"/>
    <n v="0"/>
    <n v="0"/>
    <n v="602"/>
    <n v="19788.010000000024"/>
    <n v="1"/>
    <n v="602"/>
    <n v="19788.010000000024"/>
    <n v="382"/>
    <n v="10284.5"/>
    <x v="133"/>
    <n v="9503.5100000000239"/>
    <n v="0.92406145169916121"/>
  </r>
  <r>
    <x v="41"/>
    <x v="41"/>
    <n v="0"/>
    <n v="0"/>
    <n v="25"/>
    <n v="950.49999999999966"/>
    <n v="1"/>
    <n v="25"/>
    <n v="950.49999999999966"/>
    <n v="0"/>
    <n v="0"/>
    <x v="134"/>
    <n v="950.49999999999966"/>
    <m/>
  </r>
  <r>
    <x v="42"/>
    <x v="42"/>
    <n v="2"/>
    <n v="39.33"/>
    <n v="0"/>
    <n v="0"/>
    <n v="0"/>
    <n v="2"/>
    <n v="39.33"/>
    <n v="-1"/>
    <n v="-14.75"/>
    <x v="28"/>
    <n v="54.08"/>
    <n v="-3.6664406779661016"/>
  </r>
  <r>
    <x v="43"/>
    <x v="43"/>
    <n v="8"/>
    <n v="187.22"/>
    <n v="0"/>
    <n v="0"/>
    <n v="0"/>
    <n v="8"/>
    <n v="187.22"/>
    <n v="14"/>
    <n v="332.32"/>
    <x v="22"/>
    <n v="-145.1"/>
    <n v="-0.43662734713529128"/>
  </r>
  <r>
    <x v="45"/>
    <x v="45"/>
    <n v="0"/>
    <n v="0"/>
    <n v="0"/>
    <n v="0"/>
    <m/>
    <n v="0"/>
    <n v="0"/>
    <n v="0"/>
    <n v="0"/>
    <x v="1"/>
    <n v="0"/>
    <m/>
  </r>
  <r>
    <x v="46"/>
    <x v="46"/>
    <n v="0"/>
    <n v="0"/>
    <n v="4"/>
    <n v="147.96"/>
    <n v="1"/>
    <n v="4"/>
    <n v="147.96"/>
    <n v="0"/>
    <n v="0"/>
    <x v="50"/>
    <n v="147.96"/>
    <m/>
  </r>
  <r>
    <x v="47"/>
    <x v="47"/>
    <n v="2"/>
    <n v="49.02"/>
    <n v="0"/>
    <n v="0"/>
    <n v="0"/>
    <n v="2"/>
    <n v="49.02"/>
    <n v="3"/>
    <n v="54.5"/>
    <x v="3"/>
    <n v="-5.4799999999999969"/>
    <n v="-0.10055045871559627"/>
  </r>
  <r>
    <x v="367"/>
    <x v="366"/>
    <n v="1"/>
    <n v="20.41"/>
    <n v="0"/>
    <n v="0"/>
    <n v="0"/>
    <n v="1"/>
    <n v="20.41"/>
    <n v="0"/>
    <n v="0"/>
    <x v="10"/>
    <n v="20.41"/>
    <m/>
  </r>
  <r>
    <x v="48"/>
    <x v="48"/>
    <n v="4"/>
    <n v="81.64"/>
    <n v="144"/>
    <n v="3615.6000000000085"/>
    <n v="0.97791866365180524"/>
    <n v="148"/>
    <n v="3697.2400000000084"/>
    <n v="277"/>
    <n v="5653.57"/>
    <x v="135"/>
    <n v="-1956.3299999999913"/>
    <n v="-0.3460344525671375"/>
  </r>
  <r>
    <x v="49"/>
    <x v="49"/>
    <n v="19"/>
    <n v="910.1"/>
    <n v="0"/>
    <n v="0"/>
    <n v="0"/>
    <n v="19"/>
    <n v="910.1"/>
    <n v="13"/>
    <n v="744.9"/>
    <x v="14"/>
    <n v="165.20000000000005"/>
    <n v="0.22177473486374016"/>
  </r>
  <r>
    <x v="50"/>
    <x v="50"/>
    <n v="0"/>
    <n v="0"/>
    <n v="0"/>
    <n v="0"/>
    <m/>
    <n v="0"/>
    <n v="0"/>
    <n v="0"/>
    <n v="0"/>
    <x v="1"/>
    <n v="0"/>
    <m/>
  </r>
  <r>
    <x v="52"/>
    <x v="52"/>
    <n v="0"/>
    <n v="0"/>
    <n v="0"/>
    <n v="0"/>
    <m/>
    <n v="0"/>
    <n v="0"/>
    <n v="0"/>
    <n v="0"/>
    <x v="1"/>
    <n v="0"/>
    <m/>
  </r>
  <r>
    <x v="53"/>
    <x v="53"/>
    <n v="14"/>
    <n v="584.30999999999995"/>
    <n v="21"/>
    <n v="1029.8999999999996"/>
    <n v="0.63802107532477181"/>
    <n v="35"/>
    <n v="1614.2099999999996"/>
    <n v="132"/>
    <n v="5435.2"/>
    <x v="80"/>
    <n v="-3820.9900000000002"/>
    <n v="-0.70300816897262297"/>
  </r>
  <r>
    <x v="54"/>
    <x v="54"/>
    <n v="103"/>
    <n v="1257.6300000000001"/>
    <n v="0"/>
    <n v="0"/>
    <n v="0"/>
    <n v="103"/>
    <n v="1257.6300000000001"/>
    <n v="0"/>
    <n v="0"/>
    <x v="136"/>
    <n v="1257.6300000000001"/>
    <m/>
  </r>
  <r>
    <x v="55"/>
    <x v="55"/>
    <n v="57"/>
    <n v="818.58"/>
    <n v="0"/>
    <n v="0"/>
    <n v="0"/>
    <n v="57"/>
    <n v="818.58"/>
    <n v="149"/>
    <n v="2062.9"/>
    <x v="137"/>
    <n v="-1244.3200000000002"/>
    <n v="-0.60318968442483889"/>
  </r>
  <r>
    <x v="56"/>
    <x v="56"/>
    <n v="13"/>
    <n v="572.62"/>
    <n v="0"/>
    <n v="0"/>
    <n v="0"/>
    <n v="13"/>
    <n v="572.62"/>
    <n v="337"/>
    <n v="11019.9"/>
    <x v="138"/>
    <n v="-10447.279999999999"/>
    <n v="-0.94803764099492727"/>
  </r>
  <r>
    <x v="57"/>
    <x v="57"/>
    <n v="0"/>
    <n v="0"/>
    <n v="0"/>
    <n v="0"/>
    <m/>
    <n v="0"/>
    <n v="0"/>
    <n v="0"/>
    <n v="0"/>
    <x v="1"/>
    <n v="0"/>
    <m/>
  </r>
  <r>
    <x v="58"/>
    <x v="58"/>
    <n v="2"/>
    <n v="98.2"/>
    <n v="0"/>
    <n v="0"/>
    <n v="0"/>
    <n v="2"/>
    <n v="98.2"/>
    <n v="24"/>
    <n v="1178.4000000000001"/>
    <x v="38"/>
    <n v="-1080.2"/>
    <n v="-0.91666666666666663"/>
  </r>
  <r>
    <x v="59"/>
    <x v="59"/>
    <n v="0"/>
    <n v="0"/>
    <n v="12"/>
    <n v="478.7999999999999"/>
    <n v="1"/>
    <n v="12"/>
    <n v="478.7999999999999"/>
    <n v="13"/>
    <n v="318.63"/>
    <x v="3"/>
    <n v="160.1699999999999"/>
    <n v="0.50268336314847917"/>
  </r>
  <r>
    <x v="60"/>
    <x v="60"/>
    <n v="47"/>
    <n v="573.23"/>
    <n v="0"/>
    <n v="0"/>
    <n v="0"/>
    <n v="47"/>
    <n v="573.23"/>
    <n v="2"/>
    <n v="32.619999999999997"/>
    <x v="139"/>
    <n v="540.61"/>
    <n v="16.572961373390559"/>
  </r>
  <r>
    <x v="61"/>
    <x v="61"/>
    <n v="0"/>
    <n v="0"/>
    <n v="0"/>
    <n v="0"/>
    <m/>
    <n v="0"/>
    <n v="0"/>
    <n v="0"/>
    <n v="0"/>
    <x v="1"/>
    <n v="0"/>
    <m/>
  </r>
  <r>
    <x v="62"/>
    <x v="62"/>
    <n v="0"/>
    <n v="0"/>
    <n v="0"/>
    <n v="0"/>
    <m/>
    <n v="0"/>
    <n v="0"/>
    <n v="0"/>
    <n v="0"/>
    <x v="1"/>
    <n v="0"/>
    <m/>
  </r>
  <r>
    <x v="63"/>
    <x v="63"/>
    <n v="8"/>
    <n v="29.05"/>
    <n v="0"/>
    <n v="0"/>
    <n v="0"/>
    <n v="8"/>
    <n v="29.05"/>
    <n v="0"/>
    <n v="0"/>
    <x v="116"/>
    <n v="29.05"/>
    <m/>
  </r>
  <r>
    <x v="64"/>
    <x v="64"/>
    <n v="0"/>
    <n v="0"/>
    <n v="0"/>
    <n v="0"/>
    <m/>
    <n v="0"/>
    <n v="0"/>
    <n v="0"/>
    <n v="0"/>
    <x v="1"/>
    <n v="0"/>
    <m/>
  </r>
  <r>
    <x v="66"/>
    <x v="66"/>
    <n v="0"/>
    <n v="0"/>
    <n v="0"/>
    <n v="0"/>
    <m/>
    <n v="0"/>
    <n v="0"/>
    <n v="0"/>
    <n v="0"/>
    <x v="1"/>
    <n v="0"/>
    <m/>
  </r>
  <r>
    <x v="67"/>
    <x v="67"/>
    <n v="0"/>
    <n v="0"/>
    <n v="0"/>
    <n v="0"/>
    <m/>
    <n v="0"/>
    <n v="0"/>
    <n v="1"/>
    <n v="4.0199999999999996"/>
    <x v="3"/>
    <n v="-4.0199999999999996"/>
    <n v="-1"/>
  </r>
  <r>
    <x v="68"/>
    <x v="68"/>
    <n v="0"/>
    <n v="0"/>
    <n v="21"/>
    <n v="607.89999999999986"/>
    <n v="1"/>
    <n v="21"/>
    <n v="607.89999999999986"/>
    <n v="28"/>
    <n v="674.22"/>
    <x v="18"/>
    <n v="-66.320000000000164"/>
    <n v="-9.8365518673430283E-2"/>
  </r>
  <r>
    <x v="69"/>
    <x v="69"/>
    <n v="3"/>
    <n v="44.01"/>
    <n v="0"/>
    <n v="0"/>
    <n v="0"/>
    <n v="3"/>
    <n v="44.01"/>
    <n v="7"/>
    <n v="107.31"/>
    <x v="70"/>
    <n v="-63.300000000000004"/>
    <n v="-0.58987978753145098"/>
  </r>
  <r>
    <x v="70"/>
    <x v="70"/>
    <n v="21"/>
    <n v="464.25"/>
    <n v="0"/>
    <n v="0"/>
    <n v="0"/>
    <n v="21"/>
    <n v="464.25"/>
    <n v="108"/>
    <n v="2118.9699999999998"/>
    <x v="140"/>
    <n v="-1654.7199999999998"/>
    <n v="-0.78090770515863839"/>
  </r>
  <r>
    <x v="71"/>
    <x v="71"/>
    <n v="0"/>
    <n v="0"/>
    <n v="0"/>
    <n v="0"/>
    <m/>
    <n v="0"/>
    <n v="0"/>
    <n v="0"/>
    <n v="0"/>
    <x v="1"/>
    <n v="0"/>
    <m/>
  </r>
  <r>
    <x v="72"/>
    <x v="70"/>
    <n v="-15"/>
    <n v="-173.9"/>
    <n v="191"/>
    <n v="2840.5200000000095"/>
    <n v="1.0652136412387214"/>
    <n v="176"/>
    <n v="2666.6200000000094"/>
    <n v="50"/>
    <n v="597.21"/>
    <x v="141"/>
    <n v="2069.4100000000094"/>
    <n v="3.4651295189297051"/>
  </r>
  <r>
    <x v="73"/>
    <x v="72"/>
    <n v="4"/>
    <n v="67.67"/>
    <n v="0"/>
    <n v="0"/>
    <n v="0"/>
    <n v="4"/>
    <n v="67.67"/>
    <n v="3"/>
    <n v="71.39"/>
    <x v="10"/>
    <n v="-3.7199999999999989"/>
    <n v="-5.210813839473314E-2"/>
  </r>
  <r>
    <x v="74"/>
    <x v="73"/>
    <n v="0"/>
    <n v="0"/>
    <n v="0"/>
    <n v="0"/>
    <m/>
    <n v="0"/>
    <n v="0"/>
    <n v="0"/>
    <n v="0"/>
    <x v="1"/>
    <n v="0"/>
    <m/>
  </r>
  <r>
    <x v="75"/>
    <x v="74"/>
    <n v="215"/>
    <n v="2737.71"/>
    <n v="0"/>
    <n v="0"/>
    <n v="0"/>
    <n v="215"/>
    <n v="2737.71"/>
    <n v="261"/>
    <n v="3186.81"/>
    <x v="142"/>
    <n v="-449.09999999999991"/>
    <n v="-0.14092462368324435"/>
  </r>
  <r>
    <x v="76"/>
    <x v="75"/>
    <n v="0"/>
    <n v="0"/>
    <n v="580"/>
    <n v="17328.229999999905"/>
    <n v="1"/>
    <n v="580"/>
    <n v="17328.229999999905"/>
    <n v="0"/>
    <n v="0"/>
    <x v="143"/>
    <n v="17328.229999999905"/>
    <m/>
  </r>
  <r>
    <x v="77"/>
    <x v="76"/>
    <n v="9"/>
    <n v="331.2"/>
    <n v="9"/>
    <n v="435.09999999999991"/>
    <n v="0.56779329244421239"/>
    <n v="18"/>
    <n v="766.3"/>
    <n v="28"/>
    <n v="1331.46"/>
    <x v="46"/>
    <n v="-565.16000000000008"/>
    <n v="-0.42446637525723646"/>
  </r>
  <r>
    <x v="78"/>
    <x v="77"/>
    <n v="0"/>
    <n v="0"/>
    <n v="10"/>
    <n v="598.99999999999989"/>
    <n v="1"/>
    <n v="10"/>
    <n v="598.99999999999989"/>
    <n v="0"/>
    <n v="0"/>
    <x v="58"/>
    <n v="598.99999999999989"/>
    <m/>
  </r>
  <r>
    <x v="79"/>
    <x v="78"/>
    <n v="2"/>
    <n v="29.58"/>
    <n v="0"/>
    <n v="0"/>
    <n v="0"/>
    <n v="2"/>
    <n v="29.58"/>
    <n v="0"/>
    <n v="0"/>
    <x v="11"/>
    <n v="29.58"/>
    <m/>
  </r>
  <r>
    <x v="82"/>
    <x v="81"/>
    <n v="59"/>
    <n v="1245.32"/>
    <n v="0"/>
    <n v="0"/>
    <n v="0"/>
    <n v="59"/>
    <n v="1245.32"/>
    <n v="320"/>
    <n v="6561.22"/>
    <x v="144"/>
    <n v="-5315.9000000000005"/>
    <n v="-0.81019993232965826"/>
  </r>
  <r>
    <x v="83"/>
    <x v="82"/>
    <n v="4"/>
    <n v="95.19"/>
    <n v="0"/>
    <n v="0"/>
    <n v="0"/>
    <n v="4"/>
    <n v="95.19"/>
    <n v="2"/>
    <n v="43.7"/>
    <x v="11"/>
    <n v="51.489999999999995"/>
    <n v="1.1782608695652173"/>
  </r>
  <r>
    <x v="85"/>
    <x v="84"/>
    <n v="0"/>
    <n v="0"/>
    <n v="0"/>
    <n v="0"/>
    <m/>
    <n v="0"/>
    <n v="0"/>
    <n v="0"/>
    <n v="0"/>
    <x v="1"/>
    <n v="0"/>
    <m/>
  </r>
  <r>
    <x v="86"/>
    <x v="85"/>
    <n v="0"/>
    <n v="0"/>
    <n v="0"/>
    <n v="0"/>
    <m/>
    <n v="0"/>
    <n v="0"/>
    <n v="0"/>
    <n v="0"/>
    <x v="1"/>
    <n v="0"/>
    <m/>
  </r>
  <r>
    <x v="87"/>
    <x v="86"/>
    <n v="0"/>
    <n v="0"/>
    <n v="0"/>
    <n v="0"/>
    <m/>
    <n v="0"/>
    <n v="0"/>
    <n v="2"/>
    <n v="162.30000000000001"/>
    <x v="15"/>
    <n v="-162.30000000000001"/>
    <n v="-1"/>
  </r>
  <r>
    <x v="88"/>
    <x v="87"/>
    <n v="0"/>
    <n v="0"/>
    <n v="0"/>
    <n v="0"/>
    <m/>
    <n v="0"/>
    <n v="0"/>
    <n v="0"/>
    <n v="0"/>
    <x v="1"/>
    <n v="0"/>
    <m/>
  </r>
  <r>
    <x v="89"/>
    <x v="88"/>
    <n v="97"/>
    <n v="1343.45"/>
    <n v="0"/>
    <n v="0"/>
    <n v="0"/>
    <n v="97"/>
    <n v="1343.45"/>
    <n v="21"/>
    <n v="342.51"/>
    <x v="145"/>
    <n v="1000.94"/>
    <n v="2.9223672301538643"/>
  </r>
  <r>
    <x v="90"/>
    <x v="89"/>
    <n v="0"/>
    <n v="0"/>
    <n v="0"/>
    <n v="0"/>
    <m/>
    <n v="0"/>
    <n v="0"/>
    <n v="18"/>
    <n v="233.76"/>
    <x v="75"/>
    <n v="-233.76"/>
    <n v="-1"/>
  </r>
  <r>
    <x v="91"/>
    <x v="90"/>
    <n v="42"/>
    <n v="1029.42"/>
    <n v="3"/>
    <n v="124.69999999999999"/>
    <n v="0.10804769001490311"/>
    <n v="45"/>
    <n v="1154.1200000000001"/>
    <n v="60"/>
    <n v="1470.6"/>
    <x v="69"/>
    <n v="-316.47999999999979"/>
    <n v="-0.21520467836257298"/>
  </r>
  <r>
    <x v="92"/>
    <x v="91"/>
    <n v="0"/>
    <n v="0"/>
    <n v="0"/>
    <n v="0"/>
    <m/>
    <n v="0"/>
    <n v="0"/>
    <n v="655"/>
    <n v="7997.55"/>
    <x v="146"/>
    <n v="-7997.55"/>
    <n v="-1"/>
  </r>
  <r>
    <x v="93"/>
    <x v="92"/>
    <n v="31"/>
    <n v="339.39"/>
    <n v="0"/>
    <n v="0"/>
    <n v="0"/>
    <n v="31"/>
    <n v="339.39"/>
    <n v="46"/>
    <n v="516.88"/>
    <x v="69"/>
    <n v="-177.49"/>
    <n v="-0.34338724655626068"/>
  </r>
  <r>
    <x v="94"/>
    <x v="93"/>
    <n v="0"/>
    <n v="0"/>
    <n v="0"/>
    <n v="0"/>
    <m/>
    <n v="0"/>
    <n v="0"/>
    <n v="0"/>
    <n v="0"/>
    <x v="1"/>
    <n v="0"/>
    <m/>
  </r>
  <r>
    <x v="95"/>
    <x v="94"/>
    <n v="0"/>
    <n v="0"/>
    <n v="0"/>
    <n v="13.03"/>
    <n v="1"/>
    <n v="0"/>
    <n v="13.03"/>
    <n v="0"/>
    <n v="0"/>
    <x v="1"/>
    <n v="13.03"/>
    <m/>
  </r>
  <r>
    <x v="333"/>
    <x v="332"/>
    <n v="0"/>
    <n v="0"/>
    <n v="0"/>
    <n v="0"/>
    <m/>
    <n v="0"/>
    <n v="0"/>
    <n v="0"/>
    <n v="0"/>
    <x v="1"/>
    <n v="0"/>
    <m/>
  </r>
  <r>
    <x v="96"/>
    <x v="95"/>
    <n v="8"/>
    <n v="43.28"/>
    <n v="0"/>
    <n v="0"/>
    <n v="0"/>
    <n v="8"/>
    <n v="43.28"/>
    <n v="11"/>
    <n v="89.21"/>
    <x v="44"/>
    <n v="-45.929999999999993"/>
    <n v="-0.51485259500056046"/>
  </r>
  <r>
    <x v="97"/>
    <x v="96"/>
    <n v="11"/>
    <n v="268.77"/>
    <n v="133"/>
    <n v="3958.7000000000035"/>
    <n v="0.93642296692821014"/>
    <n v="144"/>
    <n v="4227.470000000003"/>
    <n v="291"/>
    <n v="6114.61"/>
    <x v="147"/>
    <n v="-1887.1399999999967"/>
    <n v="-0.3086280237006116"/>
  </r>
  <r>
    <x v="98"/>
    <x v="97"/>
    <n v="27"/>
    <n v="1070.5"/>
    <n v="6"/>
    <n v="359.4"/>
    <n v="0.25134624798936983"/>
    <n v="33"/>
    <n v="1429.9"/>
    <n v="12"/>
    <n v="523.25"/>
    <x v="66"/>
    <n v="906.65000000000009"/>
    <n v="1.7327281414237938"/>
  </r>
  <r>
    <x v="99"/>
    <x v="98"/>
    <n v="0"/>
    <n v="0"/>
    <n v="0"/>
    <n v="0"/>
    <m/>
    <n v="0"/>
    <n v="0"/>
    <n v="0"/>
    <n v="0"/>
    <x v="1"/>
    <n v="0"/>
    <m/>
  </r>
  <r>
    <x v="100"/>
    <x v="99"/>
    <n v="2"/>
    <n v="38.74"/>
    <n v="0"/>
    <n v="0"/>
    <n v="0"/>
    <n v="2"/>
    <n v="38.74"/>
    <n v="4"/>
    <n v="81.55"/>
    <x v="15"/>
    <n v="-42.809999999999995"/>
    <n v="-0.52495401594114033"/>
  </r>
  <r>
    <x v="101"/>
    <x v="100"/>
    <n v="0"/>
    <n v="0"/>
    <n v="0"/>
    <n v="0"/>
    <m/>
    <n v="0"/>
    <n v="0"/>
    <n v="0"/>
    <n v="0"/>
    <x v="1"/>
    <n v="0"/>
    <m/>
  </r>
  <r>
    <x v="102"/>
    <x v="101"/>
    <n v="0"/>
    <n v="0"/>
    <n v="0"/>
    <n v="0"/>
    <m/>
    <n v="0"/>
    <n v="0"/>
    <n v="0"/>
    <n v="0"/>
    <x v="1"/>
    <n v="0"/>
    <m/>
  </r>
  <r>
    <x v="103"/>
    <x v="102"/>
    <n v="0"/>
    <n v="0"/>
    <n v="28"/>
    <n v="2237.2000000000007"/>
    <n v="1"/>
    <n v="28"/>
    <n v="2237.2000000000007"/>
    <n v="0"/>
    <n v="0"/>
    <x v="148"/>
    <n v="2237.2000000000007"/>
    <m/>
  </r>
  <r>
    <x v="104"/>
    <x v="103"/>
    <n v="0"/>
    <n v="0"/>
    <n v="1"/>
    <n v="49.9"/>
    <n v="1"/>
    <n v="1"/>
    <n v="49.9"/>
    <n v="0"/>
    <n v="0"/>
    <x v="10"/>
    <n v="49.9"/>
    <m/>
  </r>
  <r>
    <x v="105"/>
    <x v="104"/>
    <n v="9"/>
    <n v="207.39"/>
    <n v="0"/>
    <n v="0"/>
    <n v="0"/>
    <n v="9"/>
    <n v="207.39"/>
    <n v="16"/>
    <n v="382.95"/>
    <x v="18"/>
    <n v="-175.56"/>
    <n v="-0.45844104974539757"/>
  </r>
  <r>
    <x v="106"/>
    <x v="105"/>
    <n v="-6"/>
    <n v="-377.07"/>
    <n v="0"/>
    <n v="0"/>
    <n v="0"/>
    <n v="-6"/>
    <n v="-377.07"/>
    <n v="59"/>
    <n v="3622.01"/>
    <x v="149"/>
    <n v="-3999.0800000000004"/>
    <n v="-1.1041051791684728"/>
  </r>
  <r>
    <x v="107"/>
    <x v="106"/>
    <n v="0"/>
    <n v="0"/>
    <n v="0"/>
    <n v="0"/>
    <m/>
    <n v="0"/>
    <n v="0"/>
    <n v="0"/>
    <n v="0"/>
    <x v="1"/>
    <n v="0"/>
    <m/>
  </r>
  <r>
    <x v="108"/>
    <x v="107"/>
    <n v="27"/>
    <n v="1547.1"/>
    <n v="0"/>
    <n v="0"/>
    <n v="0"/>
    <n v="27"/>
    <n v="1547.1"/>
    <n v="15"/>
    <n v="847.2"/>
    <x v="65"/>
    <n v="699.89999999999986"/>
    <n v="0.82613314447592046"/>
  </r>
  <r>
    <x v="109"/>
    <x v="108"/>
    <n v="638"/>
    <n v="8094.4"/>
    <n v="0"/>
    <n v="0"/>
    <n v="0"/>
    <n v="638"/>
    <n v="8094.4"/>
    <n v="2063"/>
    <n v="25188.39"/>
    <x v="150"/>
    <n v="-17093.989999999998"/>
    <n v="-0.67864559822997816"/>
  </r>
  <r>
    <x v="110"/>
    <x v="109"/>
    <n v="4"/>
    <n v="92.26"/>
    <n v="0"/>
    <n v="0"/>
    <n v="0"/>
    <n v="4"/>
    <n v="92.26"/>
    <n v="5"/>
    <n v="89.99"/>
    <x v="3"/>
    <n v="2.2700000000000102"/>
    <n v="2.5225025002778203E-2"/>
  </r>
  <r>
    <x v="111"/>
    <x v="110"/>
    <n v="0"/>
    <n v="0"/>
    <n v="79"/>
    <n v="4802.1000000000004"/>
    <n v="1"/>
    <n v="79"/>
    <n v="4802.1000000000004"/>
    <n v="0"/>
    <n v="0"/>
    <x v="151"/>
    <n v="4802.1000000000004"/>
    <m/>
  </r>
  <r>
    <x v="112"/>
    <x v="111"/>
    <n v="0"/>
    <n v="0"/>
    <n v="69"/>
    <n v="2063.1000000000026"/>
    <n v="1"/>
    <n v="69"/>
    <n v="2063.1000000000026"/>
    <n v="664"/>
    <n v="13551.02"/>
    <x v="152"/>
    <n v="-11487.919999999998"/>
    <n v="-0.84775315806485396"/>
  </r>
  <r>
    <x v="113"/>
    <x v="112"/>
    <n v="11"/>
    <n v="277.98"/>
    <n v="0"/>
    <n v="0"/>
    <n v="0"/>
    <n v="11"/>
    <n v="277.98"/>
    <n v="100"/>
    <n v="2451"/>
    <x v="153"/>
    <n v="-2173.02"/>
    <n v="-0.88658506731946141"/>
  </r>
  <r>
    <x v="114"/>
    <x v="113"/>
    <n v="7"/>
    <n v="34.369999999999997"/>
    <n v="0"/>
    <n v="0"/>
    <n v="0"/>
    <n v="7"/>
    <n v="34.369999999999997"/>
    <n v="38"/>
    <n v="213.74"/>
    <x v="132"/>
    <n v="-179.37"/>
    <n v="-0.83919715542247586"/>
  </r>
  <r>
    <x v="115"/>
    <x v="114"/>
    <n v="0"/>
    <n v="0"/>
    <n v="0"/>
    <n v="0"/>
    <m/>
    <n v="0"/>
    <n v="0"/>
    <n v="52"/>
    <n v="381.98"/>
    <x v="154"/>
    <n v="-381.98"/>
    <n v="-1"/>
  </r>
  <r>
    <x v="116"/>
    <x v="115"/>
    <n v="16"/>
    <n v="104.8"/>
    <n v="0"/>
    <n v="0"/>
    <n v="0"/>
    <n v="16"/>
    <n v="104.8"/>
    <n v="136"/>
    <n v="484.94"/>
    <x v="155"/>
    <n v="-380.14"/>
    <n v="-0.78389079061327172"/>
  </r>
  <r>
    <x v="117"/>
    <x v="116"/>
    <n v="30"/>
    <n v="196.5"/>
    <n v="0"/>
    <n v="0"/>
    <n v="0"/>
    <n v="30"/>
    <n v="196.5"/>
    <n v="347"/>
    <n v="1277.2"/>
    <x v="156"/>
    <n v="-1080.7"/>
    <n v="-0.84614782336360794"/>
  </r>
  <r>
    <x v="118"/>
    <x v="117"/>
    <n v="118"/>
    <n v="694.56"/>
    <n v="0"/>
    <n v="0"/>
    <n v="0"/>
    <n v="118"/>
    <n v="694.56"/>
    <n v="259"/>
    <n v="952.03"/>
    <x v="32"/>
    <n v="-257.47000000000003"/>
    <n v="-0.27044315830383497"/>
  </r>
  <r>
    <x v="119"/>
    <x v="118"/>
    <n v="0"/>
    <n v="0"/>
    <n v="0"/>
    <n v="0"/>
    <m/>
    <n v="0"/>
    <n v="0"/>
    <n v="0"/>
    <n v="0"/>
    <x v="1"/>
    <n v="0"/>
    <m/>
  </r>
  <r>
    <x v="120"/>
    <x v="119"/>
    <n v="15"/>
    <n v="218.39"/>
    <n v="0"/>
    <n v="0"/>
    <n v="0"/>
    <n v="15"/>
    <n v="218.39"/>
    <n v="26"/>
    <n v="410.65"/>
    <x v="16"/>
    <n v="-192.26"/>
    <n v="-0.46818458541336905"/>
  </r>
  <r>
    <x v="121"/>
    <x v="120"/>
    <n v="3"/>
    <n v="21.44"/>
    <n v="0"/>
    <n v="0"/>
    <n v="0"/>
    <n v="3"/>
    <n v="21.44"/>
    <n v="0"/>
    <n v="0"/>
    <x v="28"/>
    <n v="21.44"/>
    <m/>
  </r>
  <r>
    <x v="122"/>
    <x v="121"/>
    <n v="9"/>
    <n v="220.36"/>
    <n v="0"/>
    <n v="0"/>
    <n v="0"/>
    <n v="9"/>
    <n v="220.36"/>
    <n v="46"/>
    <n v="1127.46"/>
    <x v="157"/>
    <n v="-907.1"/>
    <n v="-0.80455182445496953"/>
  </r>
  <r>
    <x v="123"/>
    <x v="122"/>
    <n v="6"/>
    <n v="97.86"/>
    <n v="0"/>
    <n v="0"/>
    <n v="0"/>
    <n v="6"/>
    <n v="97.86"/>
    <n v="0"/>
    <n v="0"/>
    <x v="14"/>
    <n v="97.86"/>
    <m/>
  </r>
  <r>
    <x v="124"/>
    <x v="123"/>
    <n v="0"/>
    <n v="0"/>
    <n v="0"/>
    <n v="0"/>
    <m/>
    <n v="0"/>
    <n v="0"/>
    <n v="0"/>
    <n v="0"/>
    <x v="1"/>
    <n v="0"/>
    <m/>
  </r>
  <r>
    <x v="125"/>
    <x v="124"/>
    <n v="66"/>
    <n v="427.54"/>
    <n v="0"/>
    <n v="0"/>
    <n v="0"/>
    <n v="66"/>
    <n v="427.54"/>
    <n v="139"/>
    <n v="967.96"/>
    <x v="4"/>
    <n v="-540.42000000000007"/>
    <n v="-0.55830819455349401"/>
  </r>
  <r>
    <x v="126"/>
    <x v="125"/>
    <n v="4"/>
    <n v="58.68"/>
    <n v="0"/>
    <n v="0"/>
    <n v="0"/>
    <n v="4"/>
    <n v="58.68"/>
    <n v="846"/>
    <n v="10327.56"/>
    <x v="158"/>
    <n v="-10268.879999999999"/>
    <n v="-0.99431811579889151"/>
  </r>
  <r>
    <x v="127"/>
    <x v="126"/>
    <n v="2"/>
    <n v="40.82"/>
    <n v="0"/>
    <n v="0"/>
    <n v="0"/>
    <n v="2"/>
    <n v="40.82"/>
    <n v="0"/>
    <n v="0"/>
    <x v="11"/>
    <n v="40.82"/>
    <m/>
  </r>
  <r>
    <x v="128"/>
    <x v="127"/>
    <n v="19"/>
    <n v="123.39"/>
    <n v="0"/>
    <n v="0"/>
    <n v="0"/>
    <n v="19"/>
    <n v="123.39"/>
    <n v="150"/>
    <n v="726"/>
    <x v="159"/>
    <n v="-602.61"/>
    <n v="-0.83004132231404959"/>
  </r>
  <r>
    <x v="129"/>
    <x v="128"/>
    <n v="0"/>
    <n v="0"/>
    <n v="0"/>
    <n v="0"/>
    <m/>
    <n v="0"/>
    <n v="0"/>
    <n v="4"/>
    <n v="46.72"/>
    <x v="70"/>
    <n v="-46.72"/>
    <n v="-1"/>
  </r>
  <r>
    <x v="130"/>
    <x v="129"/>
    <n v="207"/>
    <n v="2982.05"/>
    <n v="0"/>
    <n v="0"/>
    <n v="0"/>
    <n v="207"/>
    <n v="2982.05"/>
    <n v="254"/>
    <n v="3726.18"/>
    <x v="160"/>
    <n v="-744.12999999999965"/>
    <n v="-0.19970318127411979"/>
  </r>
  <r>
    <x v="131"/>
    <x v="130"/>
    <n v="0"/>
    <n v="0"/>
    <n v="0"/>
    <n v="0"/>
    <m/>
    <n v="0"/>
    <n v="0"/>
    <n v="0"/>
    <n v="0"/>
    <x v="1"/>
    <n v="0"/>
    <m/>
  </r>
  <r>
    <x v="368"/>
    <x v="367"/>
    <n v="-1"/>
    <n v="-32.700000000000003"/>
    <n v="0"/>
    <n v="0"/>
    <n v="0"/>
    <n v="-1"/>
    <n v="-32.700000000000003"/>
    <n v="0"/>
    <n v="0"/>
    <x v="3"/>
    <n v="-32.700000000000003"/>
    <m/>
  </r>
  <r>
    <x v="132"/>
    <x v="131"/>
    <n v="0"/>
    <n v="0"/>
    <n v="0"/>
    <n v="0"/>
    <m/>
    <n v="0"/>
    <n v="0"/>
    <n v="0"/>
    <n v="0"/>
    <x v="1"/>
    <n v="0"/>
    <m/>
  </r>
  <r>
    <x v="342"/>
    <x v="341"/>
    <n v="0"/>
    <n v="0"/>
    <n v="0"/>
    <n v="0"/>
    <m/>
    <n v="0"/>
    <n v="0"/>
    <n v="0"/>
    <n v="0"/>
    <x v="1"/>
    <n v="0"/>
    <m/>
  </r>
  <r>
    <x v="133"/>
    <x v="132"/>
    <n v="4"/>
    <n v="206.9"/>
    <n v="0"/>
    <n v="0"/>
    <n v="0"/>
    <n v="4"/>
    <n v="206.9"/>
    <n v="0"/>
    <n v="0"/>
    <x v="50"/>
    <n v="206.9"/>
    <m/>
  </r>
  <r>
    <x v="135"/>
    <x v="134"/>
    <n v="32"/>
    <n v="390.72"/>
    <n v="0"/>
    <n v="0"/>
    <n v="0"/>
    <n v="32"/>
    <n v="390.72"/>
    <n v="125"/>
    <n v="1321.25"/>
    <x v="72"/>
    <n v="-930.53"/>
    <n v="-0.70428003784295168"/>
  </r>
  <r>
    <x v="136"/>
    <x v="135"/>
    <n v="0"/>
    <n v="0"/>
    <n v="0"/>
    <n v="0"/>
    <m/>
    <n v="0"/>
    <n v="0"/>
    <n v="0"/>
    <n v="0"/>
    <x v="1"/>
    <n v="0"/>
    <m/>
  </r>
  <r>
    <x v="137"/>
    <x v="136"/>
    <n v="0"/>
    <n v="0"/>
    <n v="0"/>
    <n v="0"/>
    <m/>
    <n v="0"/>
    <n v="0"/>
    <n v="482"/>
    <n v="5885.22"/>
    <x v="161"/>
    <n v="-5885.22"/>
    <n v="-1"/>
  </r>
  <r>
    <x v="138"/>
    <x v="137"/>
    <n v="15"/>
    <n v="490.5"/>
    <n v="0"/>
    <n v="0"/>
    <n v="0"/>
    <n v="15"/>
    <n v="490.5"/>
    <n v="3"/>
    <n v="94.03"/>
    <x v="65"/>
    <n v="396.47"/>
    <n v="4.2164202913963633"/>
  </r>
  <r>
    <x v="139"/>
    <x v="138"/>
    <n v="3"/>
    <n v="31.71"/>
    <n v="0"/>
    <n v="0"/>
    <n v="0"/>
    <n v="3"/>
    <n v="31.71"/>
    <n v="89"/>
    <n v="801.33"/>
    <x v="162"/>
    <n v="-769.62"/>
    <n v="-0.9604282879712478"/>
  </r>
  <r>
    <x v="140"/>
    <x v="139"/>
    <n v="2"/>
    <n v="44.1"/>
    <n v="0"/>
    <n v="0"/>
    <n v="0"/>
    <n v="2"/>
    <n v="44.1"/>
    <n v="3"/>
    <n v="48.32"/>
    <x v="3"/>
    <n v="-4.2199999999999989"/>
    <n v="-8.7334437086092689E-2"/>
  </r>
  <r>
    <x v="141"/>
    <x v="140"/>
    <n v="5"/>
    <n v="48.75"/>
    <n v="0"/>
    <n v="0"/>
    <n v="0"/>
    <n v="5"/>
    <n v="48.75"/>
    <n v="3"/>
    <n v="33.31"/>
    <x v="11"/>
    <n v="15.439999999999998"/>
    <n v="0.4635244671269888"/>
  </r>
  <r>
    <x v="142"/>
    <x v="141"/>
    <n v="0"/>
    <n v="0"/>
    <n v="0"/>
    <n v="0"/>
    <m/>
    <n v="0"/>
    <n v="0"/>
    <n v="0"/>
    <n v="0"/>
    <x v="1"/>
    <n v="0"/>
    <m/>
  </r>
  <r>
    <x v="143"/>
    <x v="142"/>
    <n v="0"/>
    <n v="0"/>
    <n v="0"/>
    <n v="0"/>
    <m/>
    <n v="0"/>
    <n v="0"/>
    <n v="1"/>
    <n v="12.21"/>
    <x v="3"/>
    <n v="-12.21"/>
    <n v="-1"/>
  </r>
  <r>
    <x v="145"/>
    <x v="144"/>
    <n v="16"/>
    <n v="392.16"/>
    <n v="2"/>
    <n v="69.8"/>
    <n v="0.15109533292925792"/>
    <n v="18"/>
    <n v="461.96000000000004"/>
    <n v="27"/>
    <n v="687.26"/>
    <x v="5"/>
    <n v="-225.29999999999995"/>
    <n v="-0.32782353112359219"/>
  </r>
  <r>
    <x v="146"/>
    <x v="145"/>
    <n v="2"/>
    <n v="55.74"/>
    <n v="0"/>
    <n v="0"/>
    <n v="0"/>
    <n v="2"/>
    <n v="55.74"/>
    <n v="4"/>
    <n v="117.13"/>
    <x v="15"/>
    <n v="-61.389999999999993"/>
    <n v="-0.52411850081106459"/>
  </r>
  <r>
    <x v="147"/>
    <x v="146"/>
    <n v="0"/>
    <n v="0"/>
    <n v="0"/>
    <n v="0"/>
    <m/>
    <n v="0"/>
    <n v="0"/>
    <n v="28"/>
    <n v="351.76"/>
    <x v="84"/>
    <n v="-351.76"/>
    <n v="-1"/>
  </r>
  <r>
    <x v="148"/>
    <x v="147"/>
    <n v="13"/>
    <n v="264.29000000000002"/>
    <n v="0"/>
    <n v="0"/>
    <n v="0"/>
    <n v="13"/>
    <n v="264.29000000000002"/>
    <n v="83"/>
    <n v="1552.45"/>
    <x v="163"/>
    <n v="-1288.1600000000001"/>
    <n v="-0.82975941254146679"/>
  </r>
  <r>
    <x v="150"/>
    <x v="149"/>
    <n v="32"/>
    <n v="521.91999999999996"/>
    <n v="1"/>
    <n v="26.9"/>
    <n v="4.9014248751867648E-2"/>
    <n v="33"/>
    <n v="548.81999999999994"/>
    <n v="131"/>
    <n v="2111.81"/>
    <x v="164"/>
    <n v="-1562.99"/>
    <n v="-0.74011866597847342"/>
  </r>
  <r>
    <x v="151"/>
    <x v="150"/>
    <n v="0"/>
    <n v="0"/>
    <n v="0"/>
    <n v="0"/>
    <m/>
    <n v="0"/>
    <n v="0"/>
    <n v="0"/>
    <n v="0"/>
    <x v="1"/>
    <n v="0"/>
    <m/>
  </r>
  <r>
    <x v="152"/>
    <x v="151"/>
    <n v="20"/>
    <n v="326.2"/>
    <n v="0"/>
    <n v="0"/>
    <n v="0"/>
    <n v="20"/>
    <n v="326.2"/>
    <n v="10"/>
    <n v="180.58"/>
    <x v="58"/>
    <n v="145.61999999999998"/>
    <n v="0.80640159486100327"/>
  </r>
  <r>
    <x v="153"/>
    <x v="152"/>
    <n v="25"/>
    <n v="356.5"/>
    <n v="38"/>
    <n v="780.19999999999959"/>
    <n v="0.68637283364124213"/>
    <n v="63"/>
    <n v="1136.6999999999996"/>
    <n v="748"/>
    <n v="14353"/>
    <x v="165"/>
    <n v="-13216.300000000001"/>
    <n v="-0.92080401309830706"/>
  </r>
  <r>
    <x v="154"/>
    <x v="153"/>
    <n v="44"/>
    <n v="465.08"/>
    <n v="0"/>
    <n v="0"/>
    <n v="0"/>
    <n v="44"/>
    <n v="465.08"/>
    <n v="47"/>
    <n v="766.57"/>
    <x v="44"/>
    <n v="-301.49000000000007"/>
    <n v="-0.39329741576111776"/>
  </r>
  <r>
    <x v="155"/>
    <x v="154"/>
    <n v="2"/>
    <n v="28.25"/>
    <n v="0"/>
    <n v="0"/>
    <n v="0"/>
    <n v="2"/>
    <n v="28.25"/>
    <n v="14"/>
    <n v="191.03"/>
    <x v="37"/>
    <n v="-162.78"/>
    <n v="-0.85211746846045122"/>
  </r>
  <r>
    <x v="156"/>
    <x v="155"/>
    <n v="1"/>
    <n v="13.85"/>
    <n v="168"/>
    <n v="2785.2000000000039"/>
    <n v="0.99505189260642013"/>
    <n v="169"/>
    <n v="2799.0500000000038"/>
    <n v="520"/>
    <n v="4600.0600000000004"/>
    <x v="166"/>
    <n v="-1801.0099999999966"/>
    <n v="-0.39151880627643909"/>
  </r>
  <r>
    <x v="157"/>
    <x v="156"/>
    <n v="85"/>
    <n v="765.85"/>
    <n v="0"/>
    <n v="0"/>
    <n v="0"/>
    <n v="85"/>
    <n v="765.85"/>
    <n v="738"/>
    <n v="5387.4"/>
    <x v="167"/>
    <n v="-4621.5499999999993"/>
    <n v="-0.85784422912722269"/>
  </r>
  <r>
    <x v="158"/>
    <x v="157"/>
    <n v="0"/>
    <n v="0"/>
    <n v="0"/>
    <n v="0"/>
    <m/>
    <n v="0"/>
    <n v="0"/>
    <n v="14"/>
    <n v="188.83"/>
    <x v="6"/>
    <n v="-188.83"/>
    <n v="-1"/>
  </r>
  <r>
    <x v="159"/>
    <x v="158"/>
    <n v="0"/>
    <n v="0"/>
    <n v="8"/>
    <n v="319.2"/>
    <n v="1"/>
    <n v="8"/>
    <n v="319.2"/>
    <n v="0"/>
    <n v="0"/>
    <x v="116"/>
    <n v="319.2"/>
    <m/>
  </r>
  <r>
    <x v="160"/>
    <x v="159"/>
    <n v="6"/>
    <n v="261.24"/>
    <n v="0"/>
    <n v="0"/>
    <n v="0"/>
    <n v="6"/>
    <n v="261.24"/>
    <n v="6"/>
    <n v="358.93"/>
    <x v="1"/>
    <n v="-97.69"/>
    <n v="-0.2721700610146825"/>
  </r>
  <r>
    <x v="161"/>
    <x v="160"/>
    <n v="28"/>
    <n v="1604.4"/>
    <n v="0"/>
    <n v="0"/>
    <n v="0"/>
    <n v="28"/>
    <n v="1604.4"/>
    <n v="129"/>
    <n v="6333.63"/>
    <x v="168"/>
    <n v="-4729.2299999999996"/>
    <n v="-0.74668554999265813"/>
  </r>
  <r>
    <x v="162"/>
    <x v="161"/>
    <n v="1"/>
    <n v="4.91"/>
    <n v="0"/>
    <n v="0"/>
    <n v="0"/>
    <n v="1"/>
    <n v="4.91"/>
    <n v="11"/>
    <n v="44.22"/>
    <x v="46"/>
    <n v="-39.31"/>
    <n v="-0.8889642695612846"/>
  </r>
  <r>
    <x v="163"/>
    <x v="162"/>
    <n v="4"/>
    <n v="65.239999999999995"/>
    <n v="0"/>
    <n v="0"/>
    <n v="0"/>
    <n v="4"/>
    <n v="65.239999999999995"/>
    <n v="2"/>
    <n v="32.619999999999997"/>
    <x v="11"/>
    <n v="32.619999999999997"/>
    <n v="1"/>
  </r>
  <r>
    <x v="164"/>
    <x v="163"/>
    <n v="0"/>
    <n v="0"/>
    <n v="28"/>
    <n v="2201.2000000000007"/>
    <n v="1"/>
    <n v="28"/>
    <n v="2201.2000000000007"/>
    <n v="0"/>
    <n v="0"/>
    <x v="148"/>
    <n v="2201.2000000000007"/>
    <m/>
  </r>
  <r>
    <x v="165"/>
    <x v="164"/>
    <n v="2"/>
    <n v="55.32"/>
    <n v="0"/>
    <n v="0"/>
    <n v="0"/>
    <n v="2"/>
    <n v="55.32"/>
    <n v="1"/>
    <n v="29.32"/>
    <x v="10"/>
    <n v="26"/>
    <n v="0.88676671214188263"/>
  </r>
  <r>
    <x v="166"/>
    <x v="165"/>
    <n v="4"/>
    <n v="55.4"/>
    <n v="0"/>
    <n v="0"/>
    <n v="0"/>
    <n v="4"/>
    <n v="55.4"/>
    <n v="115"/>
    <n v="1404.15"/>
    <x v="169"/>
    <n v="-1348.75"/>
    <n v="-0.96054552576291696"/>
  </r>
  <r>
    <x v="167"/>
    <x v="166"/>
    <n v="0"/>
    <n v="0"/>
    <n v="0"/>
    <n v="0"/>
    <m/>
    <n v="0"/>
    <n v="0"/>
    <n v="0"/>
    <n v="0"/>
    <x v="1"/>
    <n v="0"/>
    <m/>
  </r>
  <r>
    <x v="168"/>
    <x v="167"/>
    <n v="8"/>
    <n v="174.99"/>
    <n v="0"/>
    <n v="0"/>
    <n v="0"/>
    <n v="8"/>
    <n v="174.99"/>
    <n v="12"/>
    <n v="266.54000000000002"/>
    <x v="70"/>
    <n v="-91.550000000000011"/>
    <n v="-0.34347565093419374"/>
  </r>
  <r>
    <x v="169"/>
    <x v="168"/>
    <n v="0"/>
    <n v="0"/>
    <n v="0"/>
    <n v="0"/>
    <m/>
    <n v="0"/>
    <n v="0"/>
    <n v="0"/>
    <n v="0"/>
    <x v="1"/>
    <n v="0"/>
    <m/>
  </r>
  <r>
    <x v="170"/>
    <x v="169"/>
    <n v="0"/>
    <n v="0"/>
    <n v="0"/>
    <n v="0"/>
    <m/>
    <n v="0"/>
    <n v="0"/>
    <n v="6"/>
    <n v="40.840000000000003"/>
    <x v="22"/>
    <n v="-40.840000000000003"/>
    <n v="-1"/>
  </r>
  <r>
    <x v="171"/>
    <x v="170"/>
    <n v="0"/>
    <n v="0"/>
    <n v="0"/>
    <n v="0"/>
    <m/>
    <n v="0"/>
    <n v="0"/>
    <n v="0"/>
    <n v="0"/>
    <x v="1"/>
    <n v="0"/>
    <m/>
  </r>
  <r>
    <x v="172"/>
    <x v="171"/>
    <n v="0"/>
    <n v="0"/>
    <n v="0"/>
    <n v="0"/>
    <m/>
    <n v="0"/>
    <n v="0"/>
    <n v="0"/>
    <n v="0"/>
    <x v="1"/>
    <n v="0"/>
    <m/>
  </r>
  <r>
    <x v="173"/>
    <x v="172"/>
    <n v="0"/>
    <n v="0"/>
    <n v="0"/>
    <n v="0"/>
    <m/>
    <n v="0"/>
    <n v="0"/>
    <n v="0"/>
    <n v="0"/>
    <x v="1"/>
    <n v="0"/>
    <m/>
  </r>
  <r>
    <x v="175"/>
    <x v="174"/>
    <n v="0"/>
    <n v="0"/>
    <n v="0"/>
    <n v="0"/>
    <m/>
    <n v="0"/>
    <n v="0"/>
    <n v="0"/>
    <n v="0"/>
    <x v="1"/>
    <n v="0"/>
    <m/>
  </r>
  <r>
    <x v="176"/>
    <x v="175"/>
    <n v="0"/>
    <n v="0"/>
    <n v="0"/>
    <n v="0"/>
    <m/>
    <n v="0"/>
    <n v="0"/>
    <n v="0"/>
    <n v="0"/>
    <x v="1"/>
    <n v="0"/>
    <m/>
  </r>
  <r>
    <x v="178"/>
    <x v="177"/>
    <n v="421"/>
    <n v="4828.53"/>
    <n v="0"/>
    <n v="0"/>
    <n v="0"/>
    <n v="421"/>
    <n v="4828.53"/>
    <n v="936"/>
    <n v="7590.96"/>
    <x v="170"/>
    <n v="-2762.4300000000003"/>
    <n v="-0.36391049353441468"/>
  </r>
  <r>
    <x v="179"/>
    <x v="178"/>
    <n v="0"/>
    <n v="0"/>
    <n v="0"/>
    <n v="0"/>
    <m/>
    <n v="0"/>
    <n v="0"/>
    <n v="1"/>
    <n v="65.489999999999995"/>
    <x v="3"/>
    <n v="-65.489999999999995"/>
    <n v="-1"/>
  </r>
  <r>
    <x v="180"/>
    <x v="179"/>
    <n v="6"/>
    <n v="347.46"/>
    <n v="0"/>
    <n v="0"/>
    <n v="0"/>
    <n v="6"/>
    <n v="347.46"/>
    <n v="61"/>
    <n v="3994.89"/>
    <x v="94"/>
    <n v="-3647.43"/>
    <n v="-0.91302388801694168"/>
  </r>
  <r>
    <x v="181"/>
    <x v="180"/>
    <n v="0"/>
    <n v="0"/>
    <n v="0"/>
    <n v="0"/>
    <m/>
    <n v="0"/>
    <n v="0"/>
    <n v="1"/>
    <n v="20.41"/>
    <x v="3"/>
    <n v="-20.41"/>
    <n v="-1"/>
  </r>
  <r>
    <x v="182"/>
    <x v="181"/>
    <n v="0"/>
    <n v="0"/>
    <n v="0"/>
    <n v="0"/>
    <m/>
    <n v="0"/>
    <n v="0"/>
    <n v="5"/>
    <n v="81.55"/>
    <x v="9"/>
    <n v="-81.55"/>
    <n v="-1"/>
  </r>
  <r>
    <x v="183"/>
    <x v="182"/>
    <n v="7"/>
    <n v="73.53"/>
    <n v="0"/>
    <n v="0"/>
    <n v="0"/>
    <n v="7"/>
    <n v="73.53"/>
    <n v="0"/>
    <n v="0"/>
    <x v="59"/>
    <n v="73.53"/>
    <m/>
  </r>
  <r>
    <x v="184"/>
    <x v="183"/>
    <n v="0"/>
    <n v="0"/>
    <n v="0"/>
    <n v="0"/>
    <m/>
    <n v="0"/>
    <n v="0"/>
    <n v="4"/>
    <n v="48.84"/>
    <x v="70"/>
    <n v="-48.84"/>
    <n v="-1"/>
  </r>
  <r>
    <x v="185"/>
    <x v="184"/>
    <n v="1"/>
    <n v="7.21"/>
    <n v="0"/>
    <n v="0"/>
    <n v="0"/>
    <n v="1"/>
    <n v="7.21"/>
    <n v="0"/>
    <n v="0"/>
    <x v="10"/>
    <n v="7.21"/>
    <m/>
  </r>
  <r>
    <x v="186"/>
    <x v="185"/>
    <n v="2"/>
    <n v="16.38"/>
    <n v="0"/>
    <n v="0"/>
    <n v="0"/>
    <n v="2"/>
    <n v="16.38"/>
    <n v="8"/>
    <n v="64.88"/>
    <x v="22"/>
    <n v="-48.5"/>
    <n v="-0.747533908754624"/>
  </r>
  <r>
    <x v="187"/>
    <x v="186"/>
    <n v="6"/>
    <n v="104.26"/>
    <n v="0"/>
    <n v="0"/>
    <n v="0"/>
    <n v="6"/>
    <n v="104.26"/>
    <n v="33"/>
    <n v="483.66"/>
    <x v="171"/>
    <n v="-379.40000000000003"/>
    <n v="-0.78443534714468843"/>
  </r>
  <r>
    <x v="188"/>
    <x v="187"/>
    <n v="53"/>
    <n v="864.43"/>
    <n v="0"/>
    <n v="0"/>
    <n v="0"/>
    <n v="53"/>
    <n v="864.43"/>
    <n v="199"/>
    <n v="3072.76"/>
    <x v="172"/>
    <n v="-2208.3300000000004"/>
    <n v="-0.71867962353063708"/>
  </r>
  <r>
    <x v="189"/>
    <x v="188"/>
    <n v="10"/>
    <n v="138.18"/>
    <n v="0"/>
    <n v="0"/>
    <n v="0"/>
    <n v="10"/>
    <n v="138.18"/>
    <n v="72"/>
    <n v="878.14"/>
    <x v="173"/>
    <n v="-739.96"/>
    <n v="-0.84264468080260557"/>
  </r>
  <r>
    <x v="190"/>
    <x v="189"/>
    <n v="0"/>
    <n v="0"/>
    <n v="0"/>
    <n v="0"/>
    <m/>
    <n v="0"/>
    <n v="0"/>
    <n v="0"/>
    <n v="0"/>
    <x v="1"/>
    <n v="0"/>
    <m/>
  </r>
  <r>
    <x v="191"/>
    <x v="190"/>
    <n v="95"/>
    <n v="1060.56"/>
    <n v="0"/>
    <n v="0"/>
    <n v="0"/>
    <n v="95"/>
    <n v="1060.56"/>
    <n v="444"/>
    <n v="3600.84"/>
    <x v="174"/>
    <n v="-2540.2800000000002"/>
    <n v="-0.7054687239644083"/>
  </r>
  <r>
    <x v="192"/>
    <x v="191"/>
    <n v="11"/>
    <n v="89.1"/>
    <n v="0"/>
    <n v="0"/>
    <n v="0"/>
    <n v="11"/>
    <n v="89.1"/>
    <n v="51"/>
    <n v="372.3"/>
    <x v="83"/>
    <n v="-283.20000000000005"/>
    <n v="-0.76067687348912183"/>
  </r>
  <r>
    <x v="193"/>
    <x v="192"/>
    <n v="0"/>
    <n v="0"/>
    <n v="0"/>
    <n v="0"/>
    <m/>
    <n v="0"/>
    <n v="0"/>
    <n v="67"/>
    <n v="1092.77"/>
    <x v="175"/>
    <n v="-1092.77"/>
    <n v="-1"/>
  </r>
  <r>
    <x v="194"/>
    <x v="193"/>
    <n v="2"/>
    <n v="19.3"/>
    <n v="0"/>
    <n v="0"/>
    <n v="0"/>
    <n v="2"/>
    <n v="19.3"/>
    <n v="57"/>
    <n v="493.55"/>
    <x v="94"/>
    <n v="-474.25"/>
    <n v="-0.96089555262891291"/>
  </r>
  <r>
    <x v="195"/>
    <x v="194"/>
    <n v="44"/>
    <n v="540.46"/>
    <n v="140"/>
    <n v="2042.0000000000045"/>
    <n v="0.79071892691464762"/>
    <n v="184"/>
    <n v="2582.4600000000046"/>
    <n v="396"/>
    <n v="4835.16"/>
    <x v="176"/>
    <n v="-2252.6999999999953"/>
    <n v="-0.46589978408160132"/>
  </r>
  <r>
    <x v="196"/>
    <x v="195"/>
    <n v="0"/>
    <n v="0"/>
    <n v="0"/>
    <n v="0"/>
    <m/>
    <n v="0"/>
    <n v="0"/>
    <n v="9"/>
    <n v="94.5"/>
    <x v="5"/>
    <n v="-94.5"/>
    <n v="-1"/>
  </r>
  <r>
    <x v="197"/>
    <x v="196"/>
    <n v="0"/>
    <n v="0"/>
    <n v="0"/>
    <n v="0"/>
    <m/>
    <n v="0"/>
    <n v="0"/>
    <n v="0"/>
    <n v="0"/>
    <x v="1"/>
    <n v="0"/>
    <m/>
  </r>
  <r>
    <x v="198"/>
    <x v="197"/>
    <n v="25"/>
    <n v="305.25"/>
    <n v="0"/>
    <n v="0"/>
    <n v="0"/>
    <n v="25"/>
    <n v="305.25"/>
    <n v="31"/>
    <n v="372.63"/>
    <x v="22"/>
    <n v="-67.38"/>
    <n v="-0.18082280009661056"/>
  </r>
  <r>
    <x v="199"/>
    <x v="198"/>
    <n v="3"/>
    <n v="88.7"/>
    <n v="0"/>
    <n v="0"/>
    <n v="0"/>
    <n v="3"/>
    <n v="88.7"/>
    <n v="0"/>
    <n v="0"/>
    <x v="28"/>
    <n v="88.7"/>
    <m/>
  </r>
  <r>
    <x v="200"/>
    <x v="199"/>
    <n v="21"/>
    <n v="600.80999999999995"/>
    <n v="2"/>
    <n v="75.8"/>
    <n v="0.11202908617963082"/>
    <n v="23"/>
    <n v="676.6099999999999"/>
    <n v="34"/>
    <n v="972.74"/>
    <x v="16"/>
    <n v="-296.13000000000011"/>
    <n v="-0.30442872710076702"/>
  </r>
  <r>
    <x v="201"/>
    <x v="200"/>
    <n v="2"/>
    <n v="135.21"/>
    <n v="0"/>
    <n v="0"/>
    <n v="0"/>
    <n v="2"/>
    <n v="135.21"/>
    <n v="1"/>
    <n v="65.489999999999995"/>
    <x v="10"/>
    <n v="69.720000000000013"/>
    <n v="1.0645900137425564"/>
  </r>
  <r>
    <x v="203"/>
    <x v="202"/>
    <n v="0"/>
    <n v="0"/>
    <n v="0"/>
    <n v="0"/>
    <m/>
    <n v="0"/>
    <n v="0"/>
    <n v="0"/>
    <n v="0"/>
    <x v="1"/>
    <n v="0"/>
    <m/>
  </r>
  <r>
    <x v="204"/>
    <x v="203"/>
    <n v="40"/>
    <n v="560.5"/>
    <n v="0"/>
    <n v="0"/>
    <n v="0"/>
    <n v="40"/>
    <n v="560.5"/>
    <n v="4"/>
    <n v="58.55"/>
    <x v="177"/>
    <n v="501.95"/>
    <n v="8.5730145175064045"/>
  </r>
  <r>
    <x v="205"/>
    <x v="204"/>
    <n v="0"/>
    <n v="0"/>
    <n v="0"/>
    <n v="0"/>
    <m/>
    <n v="0"/>
    <n v="0"/>
    <n v="0"/>
    <n v="0"/>
    <x v="1"/>
    <n v="0"/>
    <m/>
  </r>
  <r>
    <x v="206"/>
    <x v="205"/>
    <n v="2"/>
    <n v="65.400000000000006"/>
    <n v="0"/>
    <n v="0"/>
    <n v="0"/>
    <n v="2"/>
    <n v="65.400000000000006"/>
    <n v="2"/>
    <n v="65.400000000000006"/>
    <x v="1"/>
    <n v="0"/>
    <n v="0"/>
  </r>
  <r>
    <x v="207"/>
    <x v="206"/>
    <n v="6"/>
    <n v="159.9"/>
    <n v="0"/>
    <n v="0"/>
    <n v="0"/>
    <n v="6"/>
    <n v="159.9"/>
    <n v="1"/>
    <n v="28.61"/>
    <x v="2"/>
    <n v="131.29000000000002"/>
    <n v="4.588954910870326"/>
  </r>
  <r>
    <x v="208"/>
    <x v="207"/>
    <n v="3"/>
    <n v="171.9"/>
    <n v="0"/>
    <n v="0"/>
    <n v="0"/>
    <n v="3"/>
    <n v="171.9"/>
    <n v="0"/>
    <n v="0"/>
    <x v="28"/>
    <n v="171.9"/>
    <m/>
  </r>
  <r>
    <x v="209"/>
    <x v="208"/>
    <n v="10"/>
    <n v="160.85"/>
    <n v="0"/>
    <n v="0"/>
    <n v="0"/>
    <n v="10"/>
    <n v="160.85"/>
    <n v="181"/>
    <n v="1913.17"/>
    <x v="178"/>
    <n v="-1752.3200000000002"/>
    <n v="-0.91592487860461957"/>
  </r>
  <r>
    <x v="210"/>
    <x v="209"/>
    <n v="5"/>
    <n v="107.37"/>
    <n v="0"/>
    <n v="0"/>
    <n v="0"/>
    <n v="5"/>
    <n v="107.37"/>
    <n v="3"/>
    <n v="72.06"/>
    <x v="11"/>
    <n v="35.31"/>
    <n v="0.49000832639467112"/>
  </r>
  <r>
    <x v="211"/>
    <x v="210"/>
    <n v="4"/>
    <n v="421.36"/>
    <n v="1"/>
    <n v="129"/>
    <n v="0.23439203430481867"/>
    <n v="5"/>
    <n v="550.36"/>
    <n v="15"/>
    <n v="1322.86"/>
    <x v="46"/>
    <n v="-772.49999999999989"/>
    <n v="-0.58396202168029876"/>
  </r>
  <r>
    <x v="212"/>
    <x v="211"/>
    <n v="4"/>
    <n v="302.36"/>
    <n v="0"/>
    <n v="0"/>
    <n v="0"/>
    <n v="4"/>
    <n v="302.36"/>
    <n v="10"/>
    <n v="729.5"/>
    <x v="22"/>
    <n v="-427.14"/>
    <n v="-0.58552433173406437"/>
  </r>
  <r>
    <x v="213"/>
    <x v="212"/>
    <n v="1"/>
    <n v="54.86"/>
    <n v="0"/>
    <n v="0"/>
    <n v="0"/>
    <n v="1"/>
    <n v="54.86"/>
    <n v="1"/>
    <n v="57.3"/>
    <x v="1"/>
    <n v="-2.4399999999999977"/>
    <n v="-4.2582897033158776E-2"/>
  </r>
  <r>
    <x v="214"/>
    <x v="213"/>
    <n v="31"/>
    <n v="734.95"/>
    <n v="0"/>
    <n v="0"/>
    <n v="0"/>
    <n v="31"/>
    <n v="734.95"/>
    <n v="78"/>
    <n v="1591.98"/>
    <x v="160"/>
    <n v="-857.03"/>
    <n v="-0.53834219022852048"/>
  </r>
  <r>
    <x v="215"/>
    <x v="214"/>
    <n v="18"/>
    <n v="440.56"/>
    <n v="0"/>
    <n v="0"/>
    <n v="0"/>
    <n v="18"/>
    <n v="440.56"/>
    <n v="48"/>
    <n v="1176.48"/>
    <x v="179"/>
    <n v="-735.92000000000007"/>
    <n v="-0.62552699578403381"/>
  </r>
  <r>
    <x v="216"/>
    <x v="215"/>
    <n v="16"/>
    <n v="278.51"/>
    <n v="2"/>
    <n v="70.210000000000008"/>
    <n v="0.20133631566873136"/>
    <n v="18"/>
    <n v="348.72"/>
    <n v="16"/>
    <n v="324.88"/>
    <x v="11"/>
    <n v="23.840000000000032"/>
    <n v="7.3380940655011176E-2"/>
  </r>
  <r>
    <x v="354"/>
    <x v="353"/>
    <n v="1"/>
    <n v="138.52000000000001"/>
    <n v="0"/>
    <n v="0"/>
    <n v="0"/>
    <n v="1"/>
    <n v="138.52000000000001"/>
    <n v="4"/>
    <n v="488.52"/>
    <x v="44"/>
    <n v="-350"/>
    <n v="-0.71644968476213877"/>
  </r>
  <r>
    <x v="217"/>
    <x v="216"/>
    <n v="2"/>
    <n v="98.2"/>
    <n v="0"/>
    <n v="0"/>
    <n v="0"/>
    <n v="2"/>
    <n v="98.2"/>
    <n v="1"/>
    <n v="56.5"/>
    <x v="10"/>
    <n v="41.7"/>
    <n v="0.7380530973451328"/>
  </r>
  <r>
    <x v="218"/>
    <x v="217"/>
    <n v="0"/>
    <n v="0"/>
    <n v="0"/>
    <n v="0"/>
    <m/>
    <n v="0"/>
    <n v="0"/>
    <n v="24"/>
    <n v="519.37"/>
    <x v="26"/>
    <n v="-519.37"/>
    <n v="-1"/>
  </r>
  <r>
    <x v="219"/>
    <x v="218"/>
    <n v="0"/>
    <n v="0"/>
    <n v="0"/>
    <n v="0"/>
    <m/>
    <n v="0"/>
    <n v="0"/>
    <n v="0"/>
    <n v="0"/>
    <x v="1"/>
    <n v="0"/>
    <m/>
  </r>
  <r>
    <x v="220"/>
    <x v="219"/>
    <n v="5"/>
    <n v="76.66"/>
    <n v="0"/>
    <n v="0"/>
    <n v="0"/>
    <n v="5"/>
    <n v="76.66"/>
    <n v="1"/>
    <n v="22.13"/>
    <x v="50"/>
    <n v="54.53"/>
    <n v="2.4640759150474469"/>
  </r>
  <r>
    <x v="223"/>
    <x v="222"/>
    <n v="0"/>
    <n v="0"/>
    <n v="0"/>
    <n v="0"/>
    <m/>
    <n v="0"/>
    <n v="0"/>
    <n v="10"/>
    <n v="729.5"/>
    <x v="46"/>
    <n v="-729.5"/>
    <n v="-1"/>
  </r>
  <r>
    <x v="224"/>
    <x v="223"/>
    <n v="0"/>
    <n v="0"/>
    <n v="0"/>
    <n v="0"/>
    <m/>
    <n v="0"/>
    <n v="0"/>
    <n v="0"/>
    <n v="0"/>
    <x v="1"/>
    <n v="0"/>
    <m/>
  </r>
  <r>
    <x v="225"/>
    <x v="224"/>
    <n v="46"/>
    <n v="637.1"/>
    <n v="5"/>
    <n v="124.5"/>
    <n v="0.16347163865546219"/>
    <n v="51"/>
    <n v="761.6"/>
    <n v="77"/>
    <n v="944.27"/>
    <x v="97"/>
    <n v="-182.66999999999996"/>
    <n v="-0.19345102566003364"/>
  </r>
  <r>
    <x v="226"/>
    <x v="225"/>
    <n v="1"/>
    <n v="10.65"/>
    <n v="0"/>
    <n v="0"/>
    <n v="0"/>
    <n v="1"/>
    <n v="10.65"/>
    <n v="0"/>
    <n v="0"/>
    <x v="10"/>
    <n v="10.65"/>
    <m/>
  </r>
  <r>
    <x v="227"/>
    <x v="226"/>
    <n v="2"/>
    <n v="72.52"/>
    <n v="0"/>
    <n v="0"/>
    <n v="0"/>
    <n v="2"/>
    <n v="72.52"/>
    <n v="13"/>
    <n v="499.72"/>
    <x v="16"/>
    <n v="-427.20000000000005"/>
    <n v="-0.85487873208997045"/>
  </r>
  <r>
    <x v="228"/>
    <x v="227"/>
    <n v="13"/>
    <n v="356.43"/>
    <n v="0"/>
    <n v="0"/>
    <n v="0"/>
    <n v="13"/>
    <n v="356.43"/>
    <n v="7"/>
    <n v="169.11"/>
    <x v="14"/>
    <n v="187.32"/>
    <n v="1.1076813908107148"/>
  </r>
  <r>
    <x v="229"/>
    <x v="228"/>
    <n v="80"/>
    <n v="882.01"/>
    <n v="0"/>
    <n v="0"/>
    <n v="0"/>
    <n v="80"/>
    <n v="882.01"/>
    <n v="1038"/>
    <n v="8418.18"/>
    <x v="180"/>
    <n v="-7536.17"/>
    <n v="-0.8952255713230175"/>
  </r>
  <r>
    <x v="230"/>
    <x v="229"/>
    <n v="15"/>
    <n v="480.69"/>
    <n v="0"/>
    <n v="0"/>
    <n v="0"/>
    <n v="15"/>
    <n v="480.69"/>
    <n v="17"/>
    <n v="555.9"/>
    <x v="15"/>
    <n v="-75.20999999999998"/>
    <n v="-0.13529411764705879"/>
  </r>
  <r>
    <x v="231"/>
    <x v="230"/>
    <n v="0"/>
    <n v="0"/>
    <n v="0"/>
    <n v="0"/>
    <m/>
    <n v="0"/>
    <n v="0"/>
    <n v="0"/>
    <n v="0"/>
    <x v="1"/>
    <n v="0"/>
    <m/>
  </r>
  <r>
    <x v="356"/>
    <x v="355"/>
    <n v="0"/>
    <n v="0"/>
    <n v="0"/>
    <n v="0"/>
    <m/>
    <n v="0"/>
    <n v="0"/>
    <n v="0"/>
    <n v="0"/>
    <x v="1"/>
    <n v="0"/>
    <m/>
  </r>
  <r>
    <x v="232"/>
    <x v="231"/>
    <n v="9"/>
    <n v="166.71"/>
    <n v="0"/>
    <n v="0"/>
    <n v="0"/>
    <n v="9"/>
    <n v="166.71"/>
    <n v="69"/>
    <n v="1125.3900000000001"/>
    <x v="181"/>
    <n v="-958.68000000000006"/>
    <n v="-0.85186468690853834"/>
  </r>
  <r>
    <x v="233"/>
    <x v="232"/>
    <n v="8"/>
    <n v="150.16"/>
    <n v="0"/>
    <n v="0"/>
    <n v="0"/>
    <n v="8"/>
    <n v="150.16"/>
    <n v="13"/>
    <n v="212.03"/>
    <x v="9"/>
    <n v="-61.870000000000005"/>
    <n v="-0.29179833042493991"/>
  </r>
  <r>
    <x v="234"/>
    <x v="233"/>
    <n v="2"/>
    <n v="37.54"/>
    <n v="29"/>
    <n v="577.09999999999968"/>
    <n v="0.93892359755303922"/>
    <n v="31"/>
    <n v="614.63999999999965"/>
    <n v="54"/>
    <n v="880.74"/>
    <x v="20"/>
    <n v="-266.10000000000036"/>
    <n v="-0.30213229784045276"/>
  </r>
  <r>
    <x v="235"/>
    <x v="234"/>
    <n v="7"/>
    <n v="265.66000000000003"/>
    <n v="0"/>
    <n v="0"/>
    <n v="0"/>
    <n v="7"/>
    <n v="265.66000000000003"/>
    <n v="2"/>
    <n v="78.63"/>
    <x v="2"/>
    <n v="187.03000000000003"/>
    <n v="2.3786086735342749"/>
  </r>
  <r>
    <x v="236"/>
    <x v="235"/>
    <n v="4"/>
    <n v="52.1"/>
    <n v="0"/>
    <n v="0"/>
    <n v="0"/>
    <n v="4"/>
    <n v="52.1"/>
    <n v="3"/>
    <n v="48.93"/>
    <x v="10"/>
    <n v="3.1700000000000017"/>
    <n v="6.4786429593296585E-2"/>
  </r>
  <r>
    <x v="237"/>
    <x v="236"/>
    <n v="88"/>
    <n v="1419.28"/>
    <n v="9"/>
    <n v="201.10000000000002"/>
    <n v="0.12410669102309335"/>
    <n v="97"/>
    <n v="1620.38"/>
    <n v="47"/>
    <n v="766.57"/>
    <x v="182"/>
    <n v="853.81000000000006"/>
    <n v="1.1138056537563432"/>
  </r>
  <r>
    <x v="238"/>
    <x v="237"/>
    <n v="4"/>
    <n v="180"/>
    <n v="0"/>
    <n v="0"/>
    <n v="0"/>
    <n v="4"/>
    <n v="180"/>
    <n v="0"/>
    <n v="0"/>
    <x v="50"/>
    <n v="180"/>
    <m/>
  </r>
  <r>
    <x v="239"/>
    <x v="238"/>
    <n v="9"/>
    <n v="72.989999999999995"/>
    <n v="0"/>
    <n v="0"/>
    <n v="0"/>
    <n v="9"/>
    <n v="72.989999999999995"/>
    <n v="30"/>
    <n v="243.3"/>
    <x v="52"/>
    <n v="-170.31"/>
    <n v="-0.7"/>
  </r>
  <r>
    <x v="240"/>
    <x v="239"/>
    <n v="83"/>
    <n v="7189.97"/>
    <n v="0"/>
    <n v="0"/>
    <n v="0"/>
    <n v="83"/>
    <n v="7189.97"/>
    <n v="9"/>
    <n v="810.72"/>
    <x v="183"/>
    <n v="6379.25"/>
    <n v="7.868622952437339"/>
  </r>
  <r>
    <x v="241"/>
    <x v="240"/>
    <n v="9"/>
    <n v="889.57"/>
    <n v="0"/>
    <n v="0"/>
    <n v="0"/>
    <n v="9"/>
    <n v="889.57"/>
    <n v="32"/>
    <n v="2620.48"/>
    <x v="20"/>
    <n v="-1730.9099999999999"/>
    <n v="-0.66053165832213945"/>
  </r>
  <r>
    <x v="242"/>
    <x v="241"/>
    <n v="89"/>
    <n v="981.68"/>
    <n v="0"/>
    <n v="0"/>
    <n v="0"/>
    <n v="89"/>
    <n v="981.68"/>
    <n v="174"/>
    <n v="1839.18"/>
    <x v="184"/>
    <n v="-857.50000000000011"/>
    <n v="-0.46624038973890541"/>
  </r>
  <r>
    <x v="244"/>
    <x v="243"/>
    <n v="4"/>
    <n v="163.6"/>
    <n v="0"/>
    <n v="0"/>
    <n v="0"/>
    <n v="4"/>
    <n v="163.6"/>
    <n v="5"/>
    <n v="184"/>
    <x v="3"/>
    <n v="-20.400000000000006"/>
    <n v="-0.11086956521739133"/>
  </r>
  <r>
    <x v="369"/>
    <x v="368"/>
    <n v="0"/>
    <n v="0"/>
    <n v="0"/>
    <n v="0"/>
    <m/>
    <n v="0"/>
    <n v="0"/>
    <n v="0"/>
    <n v="0"/>
    <x v="1"/>
    <n v="0"/>
    <m/>
  </r>
  <r>
    <x v="245"/>
    <x v="244"/>
    <n v="191"/>
    <n v="3115.15"/>
    <n v="0"/>
    <n v="0"/>
    <n v="0"/>
    <n v="191"/>
    <n v="3115.15"/>
    <n v="-2"/>
    <n v="-32.619999999999997"/>
    <x v="185"/>
    <n v="3147.77"/>
    <n v="-96.498160637645626"/>
  </r>
  <r>
    <x v="246"/>
    <x v="245"/>
    <n v="8"/>
    <n v="350.79"/>
    <n v="0"/>
    <n v="0"/>
    <n v="0"/>
    <n v="8"/>
    <n v="350.79"/>
    <n v="6"/>
    <n v="164.54"/>
    <x v="11"/>
    <n v="186.25000000000003"/>
    <n v="1.1319436003403429"/>
  </r>
  <r>
    <x v="247"/>
    <x v="246"/>
    <n v="3"/>
    <n v="439.05"/>
    <n v="0"/>
    <n v="0"/>
    <n v="0"/>
    <n v="3"/>
    <n v="439.05"/>
    <n v="1"/>
    <n v="141.35"/>
    <x v="11"/>
    <n v="297.70000000000005"/>
    <n v="2.1061195613724801"/>
  </r>
  <r>
    <x v="248"/>
    <x v="247"/>
    <n v="410"/>
    <n v="2011.5"/>
    <n v="0"/>
    <n v="0"/>
    <n v="0"/>
    <n v="410"/>
    <n v="2011.5"/>
    <n v="395"/>
    <n v="1615.55"/>
    <x v="186"/>
    <n v="395.95000000000005"/>
    <n v="0.24508681254062087"/>
  </r>
  <r>
    <x v="249"/>
    <x v="248"/>
    <n v="29"/>
    <n v="171.8"/>
    <n v="0"/>
    <n v="0"/>
    <n v="0"/>
    <n v="29"/>
    <n v="171.8"/>
    <n v="9"/>
    <n v="36.18"/>
    <x v="35"/>
    <n v="135.62"/>
    <n v="3.7484798231066891"/>
  </r>
  <r>
    <x v="250"/>
    <x v="249"/>
    <n v="10"/>
    <n v="47.53"/>
    <n v="0"/>
    <n v="0"/>
    <n v="0"/>
    <n v="10"/>
    <n v="47.53"/>
    <n v="7"/>
    <n v="45.85"/>
    <x v="28"/>
    <n v="1.6799999999999997"/>
    <n v="3.6641221374045796E-2"/>
  </r>
  <r>
    <x v="251"/>
    <x v="250"/>
    <n v="0"/>
    <n v="0"/>
    <n v="0"/>
    <n v="0"/>
    <m/>
    <n v="0"/>
    <n v="0"/>
    <n v="0"/>
    <n v="0"/>
    <x v="1"/>
    <n v="0"/>
    <m/>
  </r>
  <r>
    <x v="252"/>
    <x v="251"/>
    <n v="165"/>
    <n v="1835.74"/>
    <n v="0"/>
    <n v="0"/>
    <n v="0"/>
    <n v="165"/>
    <n v="1835.74"/>
    <n v="46"/>
    <n v="486.22"/>
    <x v="187"/>
    <n v="1349.52"/>
    <n v="2.7755337090206078"/>
  </r>
  <r>
    <x v="253"/>
    <x v="252"/>
    <n v="0"/>
    <n v="0"/>
    <n v="0"/>
    <n v="0"/>
    <m/>
    <n v="0"/>
    <n v="0"/>
    <n v="0"/>
    <n v="0"/>
    <x v="1"/>
    <n v="0"/>
    <m/>
  </r>
  <r>
    <x v="254"/>
    <x v="253"/>
    <n v="188"/>
    <n v="1742.62"/>
    <n v="0"/>
    <n v="0"/>
    <n v="0"/>
    <n v="188"/>
    <n v="1742.62"/>
    <n v="0"/>
    <n v="0"/>
    <x v="188"/>
    <n v="1742.62"/>
    <m/>
  </r>
  <r>
    <x v="255"/>
    <x v="254"/>
    <n v="8"/>
    <n v="327.2"/>
    <n v="0"/>
    <n v="0"/>
    <n v="0"/>
    <n v="8"/>
    <n v="327.2"/>
    <n v="0"/>
    <n v="0"/>
    <x v="116"/>
    <n v="327.2"/>
    <m/>
  </r>
  <r>
    <x v="370"/>
    <x v="369"/>
    <n v="0"/>
    <n v="0"/>
    <n v="0"/>
    <n v="0"/>
    <m/>
    <n v="0"/>
    <n v="0"/>
    <n v="0"/>
    <n v="0"/>
    <x v="1"/>
    <n v="0"/>
    <m/>
  </r>
  <r>
    <x v="256"/>
    <x v="255"/>
    <n v="41"/>
    <n v="1665.99"/>
    <n v="0"/>
    <n v="0"/>
    <n v="0"/>
    <n v="41"/>
    <n v="1665.99"/>
    <n v="0"/>
    <n v="0"/>
    <x v="189"/>
    <n v="1665.99"/>
    <m/>
  </r>
  <r>
    <x v="371"/>
    <x v="370"/>
    <n v="0"/>
    <n v="0"/>
    <n v="0"/>
    <n v="0"/>
    <m/>
    <n v="0"/>
    <n v="0"/>
    <n v="0"/>
    <n v="0"/>
    <x v="1"/>
    <n v="0"/>
    <m/>
  </r>
  <r>
    <x v="257"/>
    <x v="256"/>
    <n v="1"/>
    <n v="13.85"/>
    <n v="0"/>
    <n v="0"/>
    <n v="0"/>
    <n v="1"/>
    <n v="13.85"/>
    <n v="0"/>
    <n v="0"/>
    <x v="10"/>
    <n v="13.85"/>
    <m/>
  </r>
  <r>
    <x v="258"/>
    <x v="257"/>
    <n v="12"/>
    <n v="349.1"/>
    <n v="0"/>
    <n v="0"/>
    <n v="0"/>
    <n v="12"/>
    <n v="349.1"/>
    <n v="0"/>
    <n v="0"/>
    <x v="65"/>
    <n v="349.1"/>
    <m/>
  </r>
  <r>
    <x v="260"/>
    <x v="259"/>
    <n v="4"/>
    <n v="114.44"/>
    <n v="0"/>
    <n v="0"/>
    <n v="0"/>
    <n v="4"/>
    <n v="114.44"/>
    <n v="0"/>
    <n v="0"/>
    <x v="50"/>
    <n v="114.44"/>
    <m/>
  </r>
  <r>
    <x v="261"/>
    <x v="260"/>
    <n v="0"/>
    <n v="0"/>
    <n v="0"/>
    <n v="0"/>
    <m/>
    <n v="0"/>
    <n v="0"/>
    <n v="0"/>
    <n v="0"/>
    <x v="1"/>
    <n v="0"/>
    <m/>
  </r>
  <r>
    <x v="263"/>
    <x v="262"/>
    <n v="4"/>
    <n v="75.5"/>
    <n v="0"/>
    <n v="0"/>
    <n v="0"/>
    <n v="4"/>
    <n v="75.5"/>
    <n v="0"/>
    <n v="0"/>
    <x v="50"/>
    <n v="75.5"/>
    <m/>
  </r>
  <r>
    <x v="372"/>
    <x v="371"/>
    <n v="0"/>
    <n v="0"/>
    <n v="0"/>
    <n v="0"/>
    <m/>
    <n v="0"/>
    <n v="0"/>
    <n v="0"/>
    <n v="0"/>
    <x v="1"/>
    <n v="0"/>
    <m/>
  </r>
  <r>
    <x v="264"/>
    <x v="263"/>
    <n v="1"/>
    <n v="9.42"/>
    <n v="0"/>
    <n v="0"/>
    <n v="0"/>
    <n v="1"/>
    <n v="9.42"/>
    <n v="0"/>
    <n v="0"/>
    <x v="10"/>
    <n v="9.42"/>
    <m/>
  </r>
  <r>
    <x v="373"/>
    <x v="372"/>
    <n v="0"/>
    <n v="0"/>
    <n v="0"/>
    <n v="0"/>
    <m/>
    <n v="0"/>
    <n v="0"/>
    <n v="0"/>
    <n v="0"/>
    <x v="1"/>
    <n v="0"/>
    <m/>
  </r>
  <r>
    <x v="265"/>
    <x v="264"/>
    <n v="0"/>
    <n v="0"/>
    <n v="0"/>
    <n v="0"/>
    <m/>
    <n v="0"/>
    <n v="0"/>
    <n v="0"/>
    <n v="0"/>
    <x v="1"/>
    <n v="0"/>
    <m/>
  </r>
  <r>
    <x v="266"/>
    <x v="265"/>
    <n v="0"/>
    <n v="0"/>
    <n v="0"/>
    <n v="0"/>
    <m/>
    <n v="0"/>
    <n v="0"/>
    <n v="0"/>
    <n v="0"/>
    <x v="1"/>
    <n v="0"/>
    <m/>
  </r>
  <r>
    <x v="267"/>
    <x v="266"/>
    <n v="203"/>
    <n v="4050.65"/>
    <n v="0"/>
    <n v="0"/>
    <n v="0"/>
    <n v="203"/>
    <n v="4050.65"/>
    <n v="0"/>
    <n v="0"/>
    <x v="190"/>
    <n v="4050.65"/>
    <m/>
  </r>
  <r>
    <x v="268"/>
    <x v="267"/>
    <n v="26"/>
    <n v="136.34"/>
    <n v="0"/>
    <n v="0"/>
    <n v="0"/>
    <n v="26"/>
    <n v="136.34"/>
    <n v="0"/>
    <n v="0"/>
    <x v="51"/>
    <n v="136.34"/>
    <m/>
  </r>
  <r>
    <x v="269"/>
    <x v="268"/>
    <n v="23"/>
    <n v="150.65"/>
    <n v="0"/>
    <n v="0"/>
    <n v="0"/>
    <n v="23"/>
    <n v="150.65"/>
    <n v="0"/>
    <n v="0"/>
    <x v="79"/>
    <n v="150.65"/>
    <m/>
  </r>
  <r>
    <x v="270"/>
    <x v="269"/>
    <n v="277"/>
    <n v="1566.85"/>
    <n v="0"/>
    <n v="0"/>
    <n v="0"/>
    <n v="277"/>
    <n v="1566.85"/>
    <n v="0"/>
    <n v="0"/>
    <x v="191"/>
    <n v="1566.85"/>
    <m/>
  </r>
  <r>
    <x v="271"/>
    <x v="270"/>
    <n v="253"/>
    <n v="6394.47"/>
    <n v="0"/>
    <n v="0"/>
    <n v="0"/>
    <n v="253"/>
    <n v="6394.47"/>
    <n v="0"/>
    <n v="0"/>
    <x v="192"/>
    <n v="6394.47"/>
    <m/>
  </r>
  <r>
    <x v="272"/>
    <x v="271"/>
    <n v="354"/>
    <n v="4902.8999999999996"/>
    <n v="0"/>
    <n v="0"/>
    <n v="0"/>
    <n v="354"/>
    <n v="4902.8999999999996"/>
    <n v="0"/>
    <n v="0"/>
    <x v="193"/>
    <n v="4902.8999999999996"/>
    <m/>
  </r>
  <r>
    <x v="273"/>
    <x v="272"/>
    <n v="3"/>
    <n v="185.15"/>
    <n v="0"/>
    <n v="0"/>
    <n v="0"/>
    <n v="3"/>
    <n v="185.15"/>
    <n v="0"/>
    <n v="0"/>
    <x v="28"/>
    <n v="185.15"/>
    <m/>
  </r>
  <r>
    <x v="274"/>
    <x v="273"/>
    <n v="3"/>
    <n v="122.7"/>
    <n v="0"/>
    <n v="0"/>
    <n v="0"/>
    <n v="3"/>
    <n v="122.7"/>
    <n v="0"/>
    <n v="0"/>
    <x v="28"/>
    <n v="122.7"/>
    <m/>
  </r>
  <r>
    <x v="374"/>
    <x v="373"/>
    <n v="4"/>
    <n v="228.9"/>
    <n v="0"/>
    <n v="0"/>
    <n v="0"/>
    <n v="4"/>
    <n v="228.9"/>
    <n v="0"/>
    <n v="0"/>
    <x v="50"/>
    <n v="228.9"/>
    <m/>
  </r>
  <r>
    <x v="275"/>
    <x v="274"/>
    <n v="0"/>
    <n v="0"/>
    <n v="25"/>
    <n v="537.5"/>
    <n v="1"/>
    <n v="25"/>
    <n v="537.5"/>
    <n v="0"/>
    <n v="0"/>
    <x v="134"/>
    <n v="537.5"/>
    <m/>
  </r>
  <r>
    <x v="276"/>
    <x v="275"/>
    <n v="50"/>
    <n v="815.5"/>
    <n v="29"/>
    <n v="682.09999999999968"/>
    <n v="0.45546207264957256"/>
    <n v="79"/>
    <n v="1497.5999999999997"/>
    <n v="0"/>
    <n v="0"/>
    <x v="151"/>
    <n v="1497.5999999999997"/>
    <m/>
  </r>
  <r>
    <x v="277"/>
    <x v="276"/>
    <n v="-3"/>
    <n v="-48.93"/>
    <n v="56"/>
    <n v="1299.4000000000003"/>
    <n v="1.0391292873879421"/>
    <n v="53"/>
    <n v="1250.4700000000003"/>
    <n v="0"/>
    <n v="0"/>
    <x v="194"/>
    <n v="1250.4700000000003"/>
    <m/>
  </r>
  <r>
    <x v="278"/>
    <x v="277"/>
    <n v="48"/>
    <n v="2356.8000000000002"/>
    <n v="0"/>
    <n v="0"/>
    <n v="0"/>
    <n v="48"/>
    <n v="2356.8000000000002"/>
    <n v="0"/>
    <n v="0"/>
    <x v="195"/>
    <n v="2356.8000000000002"/>
    <m/>
  </r>
  <r>
    <x v="279"/>
    <x v="278"/>
    <n v="382"/>
    <n v="9465.85"/>
    <n v="0"/>
    <n v="0"/>
    <n v="0"/>
    <n v="382"/>
    <n v="9465.85"/>
    <n v="0"/>
    <n v="0"/>
    <x v="196"/>
    <n v="9465.85"/>
    <m/>
  </r>
  <r>
    <x v="281"/>
    <x v="280"/>
    <n v="0"/>
    <n v="0"/>
    <n v="0"/>
    <n v="0"/>
    <m/>
    <n v="0"/>
    <n v="0"/>
    <n v="0"/>
    <n v="0"/>
    <x v="1"/>
    <n v="0"/>
    <m/>
  </r>
  <r>
    <x v="3"/>
    <x v="3"/>
    <n v="0"/>
    <n v="0"/>
    <n v="0"/>
    <n v="0"/>
    <m/>
    <n v="0"/>
    <n v="0"/>
    <n v="1"/>
    <n v="19.87"/>
    <x v="3"/>
    <n v="-19.87"/>
    <n v="-1"/>
  </r>
  <r>
    <x v="283"/>
    <x v="282"/>
    <n v="0"/>
    <n v="0"/>
    <n v="0"/>
    <n v="0"/>
    <m/>
    <n v="0"/>
    <n v="0"/>
    <n v="0"/>
    <n v="0"/>
    <x v="1"/>
    <n v="0"/>
    <m/>
  </r>
  <r>
    <x v="375"/>
    <x v="374"/>
    <n v="0"/>
    <n v="0"/>
    <n v="0"/>
    <n v="0"/>
    <m/>
    <n v="0"/>
    <n v="0"/>
    <n v="0"/>
    <n v="0"/>
    <x v="1"/>
    <n v="0"/>
    <m/>
  </r>
  <r>
    <x v="288"/>
    <x v="287"/>
    <n v="0"/>
    <n v="0"/>
    <n v="0"/>
    <n v="0"/>
    <m/>
    <n v="0"/>
    <n v="0"/>
    <n v="0"/>
    <n v="0"/>
    <x v="1"/>
    <n v="0"/>
    <m/>
  </r>
  <r>
    <x v="289"/>
    <x v="288"/>
    <n v="0"/>
    <n v="0"/>
    <n v="0"/>
    <n v="0"/>
    <m/>
    <n v="0"/>
    <n v="0"/>
    <n v="1"/>
    <n v="20.41"/>
    <x v="3"/>
    <n v="-20.41"/>
    <n v="-1"/>
  </r>
  <r>
    <x v="290"/>
    <x v="289"/>
    <n v="0"/>
    <n v="0"/>
    <n v="0"/>
    <n v="0"/>
    <m/>
    <n v="0"/>
    <n v="0"/>
    <n v="34"/>
    <n v="192.44"/>
    <x v="197"/>
    <n v="-192.44"/>
    <n v="-1"/>
  </r>
  <r>
    <x v="12"/>
    <x v="12"/>
    <n v="0"/>
    <n v="0"/>
    <n v="0"/>
    <n v="0"/>
    <m/>
    <n v="0"/>
    <n v="0"/>
    <n v="0"/>
    <n v="0"/>
    <x v="1"/>
    <n v="0"/>
    <m/>
  </r>
  <r>
    <x v="376"/>
    <x v="375"/>
    <n v="0"/>
    <n v="0"/>
    <n v="0"/>
    <n v="0"/>
    <m/>
    <n v="0"/>
    <n v="0"/>
    <n v="0"/>
    <n v="0"/>
    <x v="1"/>
    <n v="0"/>
    <m/>
  </r>
  <r>
    <x v="294"/>
    <x v="293"/>
    <n v="0"/>
    <n v="0"/>
    <n v="0"/>
    <n v="0"/>
    <m/>
    <n v="0"/>
    <n v="0"/>
    <n v="0"/>
    <n v="0"/>
    <x v="1"/>
    <n v="0"/>
    <m/>
  </r>
  <r>
    <x v="377"/>
    <x v="376"/>
    <n v="0"/>
    <n v="0"/>
    <n v="0"/>
    <n v="0"/>
    <m/>
    <n v="0"/>
    <n v="0"/>
    <n v="0"/>
    <n v="0"/>
    <x v="1"/>
    <n v="0"/>
    <m/>
  </r>
  <r>
    <x v="295"/>
    <x v="294"/>
    <n v="0"/>
    <n v="0"/>
    <n v="0"/>
    <n v="0"/>
    <m/>
    <n v="0"/>
    <n v="0"/>
    <n v="-1"/>
    <n v="-17.09"/>
    <x v="10"/>
    <n v="17.09"/>
    <n v="-1"/>
  </r>
  <r>
    <x v="297"/>
    <x v="296"/>
    <n v="0"/>
    <n v="0"/>
    <n v="0"/>
    <n v="0"/>
    <m/>
    <n v="0"/>
    <n v="0"/>
    <n v="12"/>
    <n v="98.96"/>
    <x v="37"/>
    <n v="-98.96"/>
    <n v="-1"/>
  </r>
  <r>
    <x v="298"/>
    <x v="297"/>
    <n v="0"/>
    <n v="0"/>
    <n v="0"/>
    <n v="0"/>
    <m/>
    <n v="0"/>
    <n v="0"/>
    <n v="1"/>
    <n v="18.29"/>
    <x v="3"/>
    <n v="-18.29"/>
    <n v="-1"/>
  </r>
  <r>
    <x v="299"/>
    <x v="298"/>
    <n v="0"/>
    <n v="0"/>
    <n v="0"/>
    <n v="0"/>
    <m/>
    <n v="0"/>
    <n v="0"/>
    <n v="0"/>
    <n v="0"/>
    <x v="1"/>
    <n v="0"/>
    <m/>
  </r>
  <r>
    <x v="378"/>
    <x v="377"/>
    <n v="0"/>
    <n v="0"/>
    <n v="0"/>
    <n v="0"/>
    <m/>
    <n v="0"/>
    <n v="0"/>
    <n v="0"/>
    <n v="0"/>
    <x v="1"/>
    <n v="0"/>
    <m/>
  </r>
  <r>
    <x v="302"/>
    <x v="301"/>
    <n v="0"/>
    <n v="0"/>
    <n v="0"/>
    <n v="0"/>
    <m/>
    <n v="0"/>
    <n v="0"/>
    <n v="18"/>
    <n v="166.49"/>
    <x v="75"/>
    <n v="-166.49"/>
    <n v="-1"/>
  </r>
  <r>
    <x v="303"/>
    <x v="302"/>
    <n v="0"/>
    <n v="0"/>
    <n v="0"/>
    <n v="0"/>
    <m/>
    <n v="0"/>
    <n v="0"/>
    <n v="9"/>
    <n v="83.45"/>
    <x v="5"/>
    <n v="-83.45"/>
    <n v="-1"/>
  </r>
  <r>
    <x v="304"/>
    <x v="303"/>
    <n v="0"/>
    <n v="0"/>
    <n v="0"/>
    <n v="0"/>
    <m/>
    <n v="0"/>
    <n v="0"/>
    <n v="0"/>
    <n v="0"/>
    <x v="1"/>
    <n v="0"/>
    <m/>
  </r>
  <r>
    <x v="307"/>
    <x v="306"/>
    <n v="0"/>
    <n v="0"/>
    <n v="0"/>
    <n v="0"/>
    <m/>
    <n v="0"/>
    <n v="0"/>
    <n v="0"/>
    <n v="0"/>
    <x v="1"/>
    <n v="0"/>
    <m/>
  </r>
  <r>
    <x v="379"/>
    <x v="378"/>
    <n v="0"/>
    <n v="0"/>
    <n v="0"/>
    <n v="0"/>
    <m/>
    <n v="0"/>
    <n v="0"/>
    <n v="0"/>
    <n v="0"/>
    <x v="1"/>
    <n v="0"/>
    <m/>
  </r>
  <r>
    <x v="44"/>
    <x v="44"/>
    <n v="0"/>
    <n v="0"/>
    <n v="0"/>
    <n v="0"/>
    <m/>
    <n v="0"/>
    <n v="0"/>
    <n v="1"/>
    <n v="26.89"/>
    <x v="3"/>
    <n v="-26.89"/>
    <n v="-1"/>
  </r>
  <r>
    <x v="311"/>
    <x v="310"/>
    <n v="0"/>
    <n v="0"/>
    <n v="0"/>
    <n v="0"/>
    <m/>
    <n v="0"/>
    <n v="0"/>
    <n v="0"/>
    <n v="0"/>
    <x v="1"/>
    <n v="0"/>
    <m/>
  </r>
  <r>
    <x v="51"/>
    <x v="51"/>
    <n v="0"/>
    <n v="0"/>
    <n v="0"/>
    <n v="0"/>
    <m/>
    <n v="0"/>
    <n v="0"/>
    <n v="1"/>
    <n v="6.68"/>
    <x v="3"/>
    <n v="-6.68"/>
    <n v="-1"/>
  </r>
  <r>
    <x v="380"/>
    <x v="379"/>
    <n v="0"/>
    <n v="0"/>
    <n v="0"/>
    <n v="0"/>
    <m/>
    <n v="0"/>
    <n v="0"/>
    <n v="0"/>
    <n v="0"/>
    <x v="1"/>
    <n v="0"/>
    <m/>
  </r>
  <r>
    <x v="313"/>
    <x v="312"/>
    <n v="0"/>
    <n v="0"/>
    <n v="0"/>
    <n v="0"/>
    <m/>
    <n v="0"/>
    <n v="0"/>
    <n v="14"/>
    <n v="71.680000000000007"/>
    <x v="6"/>
    <n v="-71.680000000000007"/>
    <n v="-1"/>
  </r>
  <r>
    <x v="314"/>
    <x v="313"/>
    <n v="0"/>
    <n v="0"/>
    <n v="0"/>
    <n v="0"/>
    <m/>
    <n v="0"/>
    <n v="0"/>
    <n v="0"/>
    <n v="0"/>
    <x v="1"/>
    <n v="0"/>
    <m/>
  </r>
  <r>
    <x v="315"/>
    <x v="314"/>
    <n v="0"/>
    <n v="0"/>
    <n v="0"/>
    <n v="0"/>
    <m/>
    <n v="0"/>
    <n v="0"/>
    <n v="-3"/>
    <n v="-24.33"/>
    <x v="28"/>
    <n v="24.33"/>
    <n v="-1"/>
  </r>
  <r>
    <x v="316"/>
    <x v="315"/>
    <n v="0"/>
    <n v="0"/>
    <n v="0"/>
    <n v="0"/>
    <m/>
    <n v="0"/>
    <n v="0"/>
    <n v="0"/>
    <n v="0"/>
    <x v="1"/>
    <n v="0"/>
    <m/>
  </r>
  <r>
    <x v="65"/>
    <x v="65"/>
    <n v="0"/>
    <n v="0"/>
    <n v="0"/>
    <n v="0"/>
    <m/>
    <n v="0"/>
    <n v="0"/>
    <n v="0"/>
    <n v="0"/>
    <x v="1"/>
    <n v="0"/>
    <m/>
  </r>
  <r>
    <x v="318"/>
    <x v="317"/>
    <n v="0"/>
    <n v="0"/>
    <n v="0"/>
    <n v="0"/>
    <m/>
    <n v="0"/>
    <n v="0"/>
    <n v="0"/>
    <n v="0"/>
    <x v="1"/>
    <n v="0"/>
    <m/>
  </r>
  <r>
    <x v="381"/>
    <x v="380"/>
    <n v="0"/>
    <n v="0"/>
    <n v="0"/>
    <n v="0"/>
    <m/>
    <n v="0"/>
    <n v="0"/>
    <n v="0"/>
    <n v="0"/>
    <x v="1"/>
    <n v="0"/>
    <m/>
  </r>
  <r>
    <x v="320"/>
    <x v="319"/>
    <n v="0"/>
    <n v="0"/>
    <n v="0"/>
    <n v="0"/>
    <m/>
    <n v="0"/>
    <n v="0"/>
    <n v="0"/>
    <n v="0"/>
    <x v="1"/>
    <n v="0"/>
    <m/>
  </r>
  <r>
    <x v="382"/>
    <x v="381"/>
    <n v="0"/>
    <n v="0"/>
    <n v="0"/>
    <n v="0"/>
    <m/>
    <n v="0"/>
    <n v="0"/>
    <n v="0"/>
    <n v="0"/>
    <x v="1"/>
    <n v="0"/>
    <m/>
  </r>
  <r>
    <x v="321"/>
    <x v="320"/>
    <n v="0"/>
    <n v="0"/>
    <n v="0"/>
    <n v="0"/>
    <m/>
    <n v="0"/>
    <n v="0"/>
    <n v="0"/>
    <n v="0"/>
    <x v="1"/>
    <n v="0"/>
    <m/>
  </r>
  <r>
    <x v="322"/>
    <x v="321"/>
    <n v="0"/>
    <n v="0"/>
    <n v="0"/>
    <n v="0"/>
    <m/>
    <n v="0"/>
    <n v="0"/>
    <n v="0"/>
    <n v="0"/>
    <x v="1"/>
    <n v="0"/>
    <m/>
  </r>
  <r>
    <x v="323"/>
    <x v="322"/>
    <n v="0"/>
    <n v="0"/>
    <n v="0"/>
    <n v="0"/>
    <m/>
    <n v="0"/>
    <n v="0"/>
    <n v="0"/>
    <n v="0"/>
    <x v="1"/>
    <n v="0"/>
    <m/>
  </r>
  <r>
    <x v="324"/>
    <x v="323"/>
    <n v="0"/>
    <n v="0"/>
    <n v="0"/>
    <n v="0"/>
    <m/>
    <n v="0"/>
    <n v="0"/>
    <n v="0"/>
    <n v="0"/>
    <x v="1"/>
    <n v="0"/>
    <m/>
  </r>
  <r>
    <x v="80"/>
    <x v="79"/>
    <n v="0"/>
    <n v="0"/>
    <n v="0"/>
    <n v="0"/>
    <m/>
    <n v="0"/>
    <n v="0"/>
    <n v="0"/>
    <n v="0"/>
    <x v="1"/>
    <n v="0"/>
    <m/>
  </r>
  <r>
    <x v="326"/>
    <x v="325"/>
    <n v="0"/>
    <n v="0"/>
    <n v="0"/>
    <n v="0"/>
    <m/>
    <n v="0"/>
    <n v="0"/>
    <n v="3"/>
    <n v="58.77"/>
    <x v="44"/>
    <n v="-58.77"/>
    <n v="-1"/>
  </r>
  <r>
    <x v="327"/>
    <x v="326"/>
    <n v="0"/>
    <n v="0"/>
    <n v="0"/>
    <n v="0"/>
    <m/>
    <n v="0"/>
    <n v="0"/>
    <n v="0"/>
    <n v="0"/>
    <x v="1"/>
    <n v="0"/>
    <m/>
  </r>
  <r>
    <x v="328"/>
    <x v="327"/>
    <n v="0"/>
    <n v="0"/>
    <n v="0"/>
    <n v="0"/>
    <m/>
    <n v="0"/>
    <n v="0"/>
    <n v="1"/>
    <n v="16.23"/>
    <x v="3"/>
    <n v="-16.23"/>
    <n v="-1"/>
  </r>
  <r>
    <x v="330"/>
    <x v="329"/>
    <n v="0"/>
    <n v="0"/>
    <n v="0"/>
    <n v="0"/>
    <m/>
    <n v="0"/>
    <n v="0"/>
    <n v="-2"/>
    <n v="-21.14"/>
    <x v="11"/>
    <n v="21.14"/>
    <n v="-1"/>
  </r>
  <r>
    <x v="332"/>
    <x v="331"/>
    <n v="0"/>
    <n v="0"/>
    <n v="0"/>
    <n v="0"/>
    <m/>
    <n v="0"/>
    <n v="0"/>
    <n v="4"/>
    <n v="43.88"/>
    <x v="70"/>
    <n v="-43.88"/>
    <n v="-1"/>
  </r>
  <r>
    <x v="334"/>
    <x v="333"/>
    <n v="0"/>
    <n v="0"/>
    <n v="0"/>
    <n v="0"/>
    <m/>
    <n v="0"/>
    <n v="0"/>
    <n v="0"/>
    <n v="0"/>
    <x v="1"/>
    <n v="0"/>
    <m/>
  </r>
  <r>
    <x v="335"/>
    <x v="334"/>
    <n v="0"/>
    <n v="0"/>
    <n v="0"/>
    <n v="0"/>
    <m/>
    <n v="0"/>
    <n v="0"/>
    <n v="0"/>
    <n v="0"/>
    <x v="1"/>
    <n v="0"/>
    <m/>
  </r>
  <r>
    <x v="336"/>
    <x v="335"/>
    <n v="0"/>
    <n v="0"/>
    <n v="0"/>
    <n v="0"/>
    <m/>
    <n v="0"/>
    <n v="0"/>
    <n v="0"/>
    <n v="0"/>
    <x v="1"/>
    <n v="0"/>
    <m/>
  </r>
  <r>
    <x v="383"/>
    <x v="382"/>
    <n v="0"/>
    <n v="0"/>
    <n v="0"/>
    <n v="0"/>
    <m/>
    <n v="0"/>
    <n v="0"/>
    <n v="0"/>
    <n v="0"/>
    <x v="1"/>
    <n v="0"/>
    <m/>
  </r>
  <r>
    <x v="337"/>
    <x v="336"/>
    <n v="0"/>
    <n v="0"/>
    <n v="0"/>
    <n v="0"/>
    <m/>
    <n v="0"/>
    <n v="0"/>
    <n v="0"/>
    <n v="0"/>
    <x v="1"/>
    <n v="0"/>
    <m/>
  </r>
  <r>
    <x v="338"/>
    <x v="337"/>
    <n v="0"/>
    <n v="0"/>
    <n v="0"/>
    <n v="0"/>
    <m/>
    <n v="0"/>
    <n v="0"/>
    <n v="0"/>
    <n v="0"/>
    <x v="1"/>
    <n v="0"/>
    <m/>
  </r>
  <r>
    <x v="339"/>
    <x v="338"/>
    <n v="0"/>
    <n v="0"/>
    <n v="0"/>
    <n v="0"/>
    <m/>
    <n v="0"/>
    <n v="0"/>
    <n v="0"/>
    <n v="0"/>
    <x v="1"/>
    <n v="0"/>
    <m/>
  </r>
  <r>
    <x v="340"/>
    <x v="339"/>
    <n v="0"/>
    <n v="0"/>
    <n v="0"/>
    <n v="0"/>
    <m/>
    <n v="0"/>
    <n v="0"/>
    <n v="41"/>
    <n v="674.59"/>
    <x v="198"/>
    <n v="-674.59"/>
    <n v="-1"/>
  </r>
  <r>
    <x v="341"/>
    <x v="340"/>
    <n v="0"/>
    <n v="0"/>
    <n v="0"/>
    <n v="0"/>
    <m/>
    <n v="0"/>
    <n v="0"/>
    <n v="0"/>
    <n v="0"/>
    <x v="1"/>
    <n v="0"/>
    <m/>
  </r>
  <r>
    <x v="344"/>
    <x v="343"/>
    <n v="0"/>
    <n v="0"/>
    <n v="0"/>
    <n v="0"/>
    <m/>
    <n v="0"/>
    <n v="0"/>
    <n v="7"/>
    <n v="146.4"/>
    <x v="18"/>
    <n v="-146.4"/>
    <n v="-1"/>
  </r>
  <r>
    <x v="345"/>
    <x v="344"/>
    <n v="0"/>
    <n v="0"/>
    <n v="0"/>
    <n v="0"/>
    <m/>
    <n v="0"/>
    <n v="0"/>
    <n v="0"/>
    <n v="0"/>
    <x v="1"/>
    <n v="0"/>
    <m/>
  </r>
  <r>
    <x v="346"/>
    <x v="345"/>
    <n v="0"/>
    <n v="0"/>
    <n v="0"/>
    <n v="0"/>
    <m/>
    <n v="0"/>
    <n v="0"/>
    <n v="0"/>
    <n v="0"/>
    <x v="1"/>
    <n v="0"/>
    <m/>
  </r>
  <r>
    <x v="144"/>
    <x v="143"/>
    <n v="0"/>
    <n v="0"/>
    <n v="0"/>
    <n v="0"/>
    <m/>
    <n v="0"/>
    <n v="0"/>
    <n v="0"/>
    <n v="0"/>
    <x v="1"/>
    <n v="0"/>
    <m/>
  </r>
  <r>
    <x v="149"/>
    <x v="148"/>
    <n v="0"/>
    <n v="0"/>
    <n v="0"/>
    <n v="0"/>
    <m/>
    <n v="0"/>
    <n v="0"/>
    <n v="0"/>
    <n v="0"/>
    <x v="1"/>
    <n v="0"/>
    <m/>
  </r>
  <r>
    <x v="347"/>
    <x v="346"/>
    <n v="0"/>
    <n v="0"/>
    <n v="0"/>
    <n v="0"/>
    <m/>
    <n v="0"/>
    <n v="0"/>
    <n v="0"/>
    <n v="0"/>
    <x v="1"/>
    <n v="0"/>
    <m/>
  </r>
  <r>
    <x v="348"/>
    <x v="347"/>
    <n v="0"/>
    <n v="0"/>
    <n v="160"/>
    <n v="6383.9999999999882"/>
    <n v="1"/>
    <n v="160"/>
    <n v="6383.9999999999882"/>
    <n v="0"/>
    <n v="0"/>
    <x v="31"/>
    <n v="6383.9999999999882"/>
    <m/>
  </r>
  <r>
    <x v="174"/>
    <x v="173"/>
    <n v="0"/>
    <n v="0"/>
    <n v="0"/>
    <n v="0"/>
    <m/>
    <n v="0"/>
    <n v="0"/>
    <n v="0"/>
    <n v="0"/>
    <x v="1"/>
    <n v="0"/>
    <m/>
  </r>
  <r>
    <x v="349"/>
    <x v="348"/>
    <n v="0"/>
    <n v="0"/>
    <n v="0"/>
    <n v="0"/>
    <m/>
    <n v="0"/>
    <n v="0"/>
    <n v="1"/>
    <n v="8.11"/>
    <x v="3"/>
    <n v="-8.11"/>
    <n v="-1"/>
  </r>
  <r>
    <x v="384"/>
    <x v="383"/>
    <n v="0"/>
    <n v="0"/>
    <n v="0"/>
    <n v="0"/>
    <m/>
    <n v="0"/>
    <n v="0"/>
    <n v="0"/>
    <n v="0"/>
    <x v="1"/>
    <n v="0"/>
    <m/>
  </r>
  <r>
    <x v="202"/>
    <x v="201"/>
    <n v="0"/>
    <n v="0"/>
    <n v="0"/>
    <n v="0"/>
    <m/>
    <n v="0"/>
    <n v="0"/>
    <n v="1"/>
    <n v="4.0199999999999996"/>
    <x v="3"/>
    <n v="-4.0199999999999996"/>
    <n v="-1"/>
  </r>
  <r>
    <x v="351"/>
    <x v="350"/>
    <n v="0"/>
    <n v="0"/>
    <n v="0"/>
    <n v="0"/>
    <m/>
    <n v="0"/>
    <n v="0"/>
    <n v="0"/>
    <n v="0"/>
    <x v="1"/>
    <n v="0"/>
    <m/>
  </r>
  <r>
    <x v="352"/>
    <x v="351"/>
    <n v="0"/>
    <n v="0"/>
    <n v="0"/>
    <n v="0"/>
    <m/>
    <n v="0"/>
    <n v="0"/>
    <n v="1"/>
    <n v="106.36"/>
    <x v="3"/>
    <n v="-106.36"/>
    <n v="-1"/>
  </r>
  <r>
    <x v="353"/>
    <x v="352"/>
    <n v="0"/>
    <n v="0"/>
    <n v="0"/>
    <n v="0"/>
    <m/>
    <n v="0"/>
    <n v="0"/>
    <n v="0"/>
    <n v="0"/>
    <x v="1"/>
    <n v="0"/>
    <m/>
  </r>
  <r>
    <x v="385"/>
    <x v="384"/>
    <n v="0"/>
    <n v="0"/>
    <n v="0"/>
    <n v="0"/>
    <m/>
    <n v="0"/>
    <n v="0"/>
    <n v="0"/>
    <n v="0"/>
    <x v="1"/>
    <n v="0"/>
    <m/>
  </r>
  <r>
    <x v="355"/>
    <x v="354"/>
    <n v="0"/>
    <n v="0"/>
    <n v="0"/>
    <n v="0"/>
    <m/>
    <n v="0"/>
    <n v="0"/>
    <n v="-1"/>
    <n v="-4.0199999999999996"/>
    <x v="10"/>
    <n v="4.0199999999999996"/>
    <n v="-1"/>
  </r>
  <r>
    <x v="222"/>
    <x v="221"/>
    <n v="0"/>
    <n v="0"/>
    <n v="0"/>
    <n v="0"/>
    <m/>
    <n v="0"/>
    <n v="0"/>
    <n v="1"/>
    <n v="30.37"/>
    <x v="3"/>
    <n v="-30.37"/>
    <n v="-1"/>
  </r>
  <r>
    <x v="357"/>
    <x v="356"/>
    <n v="0"/>
    <n v="0"/>
    <n v="0"/>
    <n v="0"/>
    <m/>
    <n v="0"/>
    <n v="0"/>
    <n v="39"/>
    <n v="156.78"/>
    <x v="199"/>
    <n v="-156.78"/>
    <n v="-1"/>
  </r>
  <r>
    <x v="358"/>
    <x v="357"/>
    <m/>
    <m/>
    <m/>
    <m/>
    <m/>
    <m/>
    <m/>
    <m/>
    <m/>
    <x v="120"/>
    <m/>
    <m/>
  </r>
  <r>
    <x v="0"/>
    <x v="0"/>
    <n v="486"/>
    <n v="6983.03"/>
    <n v="0"/>
    <n v="0"/>
    <n v="0"/>
    <n v="486"/>
    <n v="6983.03"/>
    <n v="294"/>
    <n v="3824.22"/>
    <x v="200"/>
    <n v="3158.81"/>
    <n v="0.82600111918247388"/>
  </r>
  <r>
    <x v="1"/>
    <x v="1"/>
    <n v="0"/>
    <n v="0"/>
    <n v="0"/>
    <n v="0"/>
    <m/>
    <n v="0"/>
    <n v="0"/>
    <n v="0"/>
    <n v="0"/>
    <x v="1"/>
    <n v="0"/>
    <m/>
  </r>
  <r>
    <x v="2"/>
    <x v="2"/>
    <n v="6"/>
    <n v="83.1"/>
    <n v="0"/>
    <n v="0"/>
    <n v="0"/>
    <n v="6"/>
    <n v="83.1"/>
    <n v="0"/>
    <n v="0"/>
    <x v="14"/>
    <n v="83.1"/>
    <m/>
  </r>
  <r>
    <x v="3"/>
    <x v="3"/>
    <n v="0"/>
    <n v="0"/>
    <n v="0"/>
    <n v="0"/>
    <m/>
    <n v="0"/>
    <n v="0"/>
    <n v="1"/>
    <n v="20.41"/>
    <x v="3"/>
    <n v="-20.41"/>
    <n v="-1"/>
  </r>
  <r>
    <x v="5"/>
    <x v="5"/>
    <n v="0"/>
    <n v="0"/>
    <n v="0"/>
    <n v="0"/>
    <m/>
    <n v="0"/>
    <n v="0"/>
    <n v="5"/>
    <n v="42.39"/>
    <x v="9"/>
    <n v="-42.39"/>
    <n v="-1"/>
  </r>
  <r>
    <x v="7"/>
    <x v="7"/>
    <n v="6"/>
    <n v="147.9"/>
    <n v="0"/>
    <n v="0"/>
    <n v="0"/>
    <n v="6"/>
    <n v="147.9"/>
    <n v="4"/>
    <n v="95.58"/>
    <x v="11"/>
    <n v="52.320000000000007"/>
    <n v="0.54739485247959829"/>
  </r>
  <r>
    <x v="8"/>
    <x v="8"/>
    <n v="275"/>
    <n v="5023.29"/>
    <n v="0"/>
    <n v="0"/>
    <n v="0"/>
    <n v="275"/>
    <n v="5023.29"/>
    <n v="-3"/>
    <n v="-48.93"/>
    <x v="201"/>
    <n v="5072.22"/>
    <n v="-103.66278356836297"/>
  </r>
  <r>
    <x v="9"/>
    <x v="9"/>
    <n v="1"/>
    <n v="20.41"/>
    <n v="49"/>
    <n v="1612.100000000001"/>
    <n v="0.98749777949292805"/>
    <n v="50"/>
    <n v="1632.5100000000011"/>
    <n v="494"/>
    <n v="10082.540000000001"/>
    <x v="202"/>
    <n v="-8450.0299999999988"/>
    <n v="-0.8380854427554959"/>
  </r>
  <r>
    <x v="11"/>
    <x v="11"/>
    <n v="1"/>
    <n v="7.43"/>
    <n v="0"/>
    <n v="0"/>
    <n v="0"/>
    <n v="1"/>
    <n v="7.43"/>
    <n v="0"/>
    <n v="0"/>
    <x v="10"/>
    <n v="7.43"/>
    <m/>
  </r>
  <r>
    <x v="12"/>
    <x v="12"/>
    <n v="2"/>
    <n v="12.96"/>
    <n v="0"/>
    <n v="0"/>
    <n v="0"/>
    <n v="2"/>
    <n v="12.96"/>
    <n v="1"/>
    <n v="3.9"/>
    <x v="10"/>
    <n v="9.06"/>
    <n v="2.3230769230769233"/>
  </r>
  <r>
    <x v="13"/>
    <x v="13"/>
    <n v="19"/>
    <n v="686.19"/>
    <n v="0"/>
    <n v="0"/>
    <n v="0"/>
    <n v="19"/>
    <n v="686.19"/>
    <n v="16"/>
    <n v="590.39"/>
    <x v="28"/>
    <n v="95.800000000000068"/>
    <n v="0.16226562103016662"/>
  </r>
  <r>
    <x v="14"/>
    <x v="14"/>
    <n v="15"/>
    <n v="209.45"/>
    <n v="137"/>
    <n v="2722.7100000000064"/>
    <n v="0.92856801811633771"/>
    <n v="152"/>
    <n v="2932.1600000000062"/>
    <n v="329"/>
    <n v="5312.75"/>
    <x v="203"/>
    <n v="-2380.5899999999938"/>
    <n v="-0.44808997223659947"/>
  </r>
  <r>
    <x v="15"/>
    <x v="15"/>
    <n v="1"/>
    <n v="15.05"/>
    <n v="0"/>
    <n v="0"/>
    <n v="0"/>
    <n v="1"/>
    <n v="15.05"/>
    <n v="0"/>
    <n v="0"/>
    <x v="10"/>
    <n v="15.05"/>
    <m/>
  </r>
  <r>
    <x v="17"/>
    <x v="17"/>
    <n v="0"/>
    <n v="0"/>
    <n v="0"/>
    <n v="0"/>
    <m/>
    <n v="0"/>
    <n v="0"/>
    <n v="0"/>
    <n v="0"/>
    <x v="1"/>
    <n v="0"/>
    <m/>
  </r>
  <r>
    <x v="19"/>
    <x v="19"/>
    <n v="0"/>
    <n v="0"/>
    <n v="1"/>
    <n v="46.9"/>
    <n v="1"/>
    <n v="1"/>
    <n v="46.9"/>
    <n v="0"/>
    <n v="0"/>
    <x v="10"/>
    <n v="46.9"/>
    <m/>
  </r>
  <r>
    <x v="20"/>
    <x v="20"/>
    <n v="1"/>
    <n v="86.86"/>
    <n v="0"/>
    <n v="0"/>
    <n v="0"/>
    <n v="1"/>
    <n v="86.86"/>
    <n v="11"/>
    <n v="903.8"/>
    <x v="46"/>
    <n v="-816.93999999999994"/>
    <n v="-0.90389466696171716"/>
  </r>
  <r>
    <x v="22"/>
    <x v="22"/>
    <n v="14"/>
    <n v="260.2"/>
    <n v="531"/>
    <n v="10557.339999999898"/>
    <n v="0.97594647211842955"/>
    <n v="545"/>
    <n v="10817.539999999899"/>
    <n v="1296"/>
    <n v="18280.61"/>
    <x v="204"/>
    <n v="-7463.0700000001016"/>
    <n v="-0.40825059995263296"/>
  </r>
  <r>
    <x v="24"/>
    <x v="24"/>
    <n v="0"/>
    <n v="0"/>
    <n v="0"/>
    <n v="0"/>
    <m/>
    <n v="0"/>
    <n v="0"/>
    <n v="0"/>
    <n v="0"/>
    <x v="1"/>
    <n v="0"/>
    <m/>
  </r>
  <r>
    <x v="25"/>
    <x v="25"/>
    <n v="1"/>
    <n v="35.32"/>
    <n v="139"/>
    <n v="4844.53"/>
    <n v="0.99276207260469074"/>
    <n v="140"/>
    <n v="4879.8499999999995"/>
    <n v="244"/>
    <n v="7663.28"/>
    <x v="205"/>
    <n v="-2783.4300000000003"/>
    <n v="-0.3632165339123718"/>
  </r>
  <r>
    <x v="29"/>
    <x v="29"/>
    <n v="2"/>
    <n v="27.28"/>
    <n v="0"/>
    <n v="0"/>
    <n v="0"/>
    <n v="2"/>
    <n v="27.28"/>
    <n v="9"/>
    <n v="105.59"/>
    <x v="18"/>
    <n v="-78.31"/>
    <n v="-0.74164220096600053"/>
  </r>
  <r>
    <x v="30"/>
    <x v="30"/>
    <n v="2"/>
    <n v="31.65"/>
    <n v="0"/>
    <n v="0"/>
    <n v="0"/>
    <n v="2"/>
    <n v="31.65"/>
    <n v="6"/>
    <n v="90.34"/>
    <x v="70"/>
    <n v="-58.690000000000005"/>
    <n v="-0.64965685189284927"/>
  </r>
  <r>
    <x v="34"/>
    <x v="34"/>
    <n v="0"/>
    <n v="0"/>
    <n v="0"/>
    <n v="0"/>
    <m/>
    <n v="0"/>
    <n v="0"/>
    <n v="0"/>
    <n v="0"/>
    <x v="1"/>
    <n v="0"/>
    <m/>
  </r>
  <r>
    <x v="35"/>
    <x v="35"/>
    <n v="49"/>
    <n v="1395.95"/>
    <n v="1"/>
    <n v="39.9"/>
    <n v="2.7788418010237834E-2"/>
    <n v="50"/>
    <n v="1435.8500000000001"/>
    <n v="29"/>
    <n v="710.79"/>
    <x v="66"/>
    <n v="725.06000000000017"/>
    <n v="1.0200762531830783"/>
  </r>
  <r>
    <x v="36"/>
    <x v="36"/>
    <n v="0"/>
    <n v="0"/>
    <n v="16"/>
    <n v="798.39999999999975"/>
    <n v="1"/>
    <n v="16"/>
    <n v="798.39999999999975"/>
    <n v="0"/>
    <n v="0"/>
    <x v="206"/>
    <n v="798.39999999999975"/>
    <m/>
  </r>
  <r>
    <x v="39"/>
    <x v="39"/>
    <n v="14"/>
    <n v="1136.27"/>
    <n v="0"/>
    <n v="0"/>
    <n v="0"/>
    <n v="14"/>
    <n v="1136.27"/>
    <n v="68"/>
    <n v="5010.92"/>
    <x v="25"/>
    <n v="-3874.65"/>
    <n v="-0.77324124112937342"/>
  </r>
  <r>
    <x v="42"/>
    <x v="42"/>
    <n v="2"/>
    <n v="40.82"/>
    <n v="0"/>
    <n v="0"/>
    <n v="0"/>
    <n v="2"/>
    <n v="40.82"/>
    <n v="-2"/>
    <n v="-33.5"/>
    <x v="50"/>
    <n v="74.319999999999993"/>
    <n v="-2.2185074626865671"/>
  </r>
  <r>
    <x v="43"/>
    <x v="43"/>
    <n v="5"/>
    <n v="129.21"/>
    <n v="0"/>
    <n v="0"/>
    <n v="0"/>
    <n v="5"/>
    <n v="129.21"/>
    <n v="17"/>
    <n v="351.12"/>
    <x v="37"/>
    <n v="-221.91"/>
    <n v="-0.63200615174299379"/>
  </r>
  <r>
    <x v="44"/>
    <x v="44"/>
    <n v="0"/>
    <n v="0"/>
    <n v="0"/>
    <n v="0"/>
    <m/>
    <n v="0"/>
    <n v="0"/>
    <n v="0"/>
    <n v="0"/>
    <x v="1"/>
    <n v="0"/>
    <m/>
  </r>
  <r>
    <x v="45"/>
    <x v="45"/>
    <n v="0"/>
    <n v="0"/>
    <n v="0"/>
    <n v="0"/>
    <m/>
    <n v="0"/>
    <n v="0"/>
    <n v="0"/>
    <n v="0"/>
    <x v="1"/>
    <n v="0"/>
    <m/>
  </r>
  <r>
    <x v="46"/>
    <x v="46"/>
    <n v="0"/>
    <n v="0"/>
    <n v="6"/>
    <n v="232.2"/>
    <n v="1"/>
    <n v="6"/>
    <n v="232.2"/>
    <n v="0"/>
    <n v="0"/>
    <x v="14"/>
    <n v="232.2"/>
    <m/>
  </r>
  <r>
    <x v="47"/>
    <x v="47"/>
    <n v="0"/>
    <n v="0"/>
    <n v="0"/>
    <n v="0"/>
    <m/>
    <n v="0"/>
    <n v="0"/>
    <n v="3"/>
    <n v="62.68"/>
    <x v="44"/>
    <n v="-62.68"/>
    <n v="-1"/>
  </r>
  <r>
    <x v="49"/>
    <x v="49"/>
    <n v="17"/>
    <n v="814.3"/>
    <n v="0"/>
    <n v="0"/>
    <n v="0"/>
    <n v="17"/>
    <n v="814.3"/>
    <n v="24"/>
    <n v="1436.05"/>
    <x v="18"/>
    <n v="-621.75"/>
    <n v="-0.4329584624490791"/>
  </r>
  <r>
    <x v="50"/>
    <x v="50"/>
    <n v="0"/>
    <n v="0"/>
    <n v="0"/>
    <n v="0"/>
    <m/>
    <n v="0"/>
    <n v="0"/>
    <n v="0"/>
    <n v="0"/>
    <x v="1"/>
    <n v="0"/>
    <m/>
  </r>
  <r>
    <x v="54"/>
    <x v="54"/>
    <n v="162"/>
    <n v="1977.32"/>
    <n v="0"/>
    <n v="0"/>
    <n v="0"/>
    <n v="162"/>
    <n v="1977.32"/>
    <n v="97"/>
    <n v="866.21"/>
    <x v="207"/>
    <n v="1111.1099999999999"/>
    <n v="1.282725897876958"/>
  </r>
  <r>
    <x v="55"/>
    <x v="55"/>
    <n v="40"/>
    <n v="573.30999999999995"/>
    <n v="0"/>
    <n v="0"/>
    <n v="0"/>
    <n v="40"/>
    <n v="573.30999999999995"/>
    <n v="178"/>
    <n v="2411.94"/>
    <x v="118"/>
    <n v="-1838.63"/>
    <n v="-0.7623033740474473"/>
  </r>
  <r>
    <x v="56"/>
    <x v="56"/>
    <n v="2"/>
    <n v="91.63"/>
    <n v="0"/>
    <n v="0"/>
    <n v="0"/>
    <n v="2"/>
    <n v="91.63"/>
    <n v="265"/>
    <n v="8761.44"/>
    <x v="208"/>
    <n v="-8669.8100000000013"/>
    <n v="-0.98954167351485611"/>
  </r>
  <r>
    <x v="57"/>
    <x v="57"/>
    <n v="0"/>
    <n v="0"/>
    <n v="0"/>
    <n v="0"/>
    <m/>
    <n v="0"/>
    <n v="0"/>
    <n v="0"/>
    <n v="0"/>
    <x v="1"/>
    <n v="0"/>
    <m/>
  </r>
  <r>
    <x v="58"/>
    <x v="58"/>
    <n v="6"/>
    <n v="294.60000000000002"/>
    <n v="0"/>
    <n v="0"/>
    <n v="0"/>
    <n v="6"/>
    <n v="294.60000000000002"/>
    <n v="32"/>
    <n v="1571.2"/>
    <x v="97"/>
    <n v="-1276.5999999999999"/>
    <n v="-0.81249999999999989"/>
  </r>
  <r>
    <x v="60"/>
    <x v="60"/>
    <n v="22"/>
    <n v="266.22000000000003"/>
    <n v="1"/>
    <n v="19.899999999999999"/>
    <n v="6.9551237243114766E-2"/>
    <n v="23"/>
    <n v="286.12"/>
    <n v="36"/>
    <n v="385.44"/>
    <x v="209"/>
    <n v="-99.32"/>
    <n v="-0.25767953507679531"/>
  </r>
  <r>
    <x v="61"/>
    <x v="61"/>
    <n v="0"/>
    <n v="0"/>
    <n v="0"/>
    <n v="0"/>
    <m/>
    <n v="0"/>
    <n v="0"/>
    <n v="0"/>
    <n v="0"/>
    <x v="1"/>
    <n v="0"/>
    <m/>
  </r>
  <r>
    <x v="62"/>
    <x v="62"/>
    <n v="0"/>
    <n v="0"/>
    <n v="0"/>
    <n v="0"/>
    <m/>
    <n v="0"/>
    <n v="0"/>
    <n v="0"/>
    <n v="0"/>
    <x v="1"/>
    <n v="0"/>
    <m/>
  </r>
  <r>
    <x v="63"/>
    <x v="63"/>
    <n v="1"/>
    <n v="3.77"/>
    <n v="0"/>
    <n v="0"/>
    <n v="0"/>
    <n v="1"/>
    <n v="3.77"/>
    <n v="1"/>
    <n v="4.3"/>
    <x v="1"/>
    <n v="-0.5299999999999998"/>
    <n v="-0.12325581395348834"/>
  </r>
  <r>
    <x v="64"/>
    <x v="64"/>
    <n v="0"/>
    <n v="0"/>
    <n v="0"/>
    <n v="0"/>
    <m/>
    <n v="0"/>
    <n v="0"/>
    <n v="0"/>
    <n v="0"/>
    <x v="1"/>
    <n v="0"/>
    <m/>
  </r>
  <r>
    <x v="65"/>
    <x v="65"/>
    <n v="0"/>
    <n v="0"/>
    <n v="0"/>
    <n v="0"/>
    <m/>
    <n v="0"/>
    <n v="0"/>
    <n v="0"/>
    <n v="0"/>
    <x v="1"/>
    <n v="0"/>
    <m/>
  </r>
  <r>
    <x v="66"/>
    <x v="66"/>
    <n v="0"/>
    <n v="0"/>
    <n v="0"/>
    <n v="0"/>
    <m/>
    <n v="0"/>
    <n v="0"/>
    <n v="0"/>
    <n v="0"/>
    <x v="1"/>
    <n v="0"/>
    <m/>
  </r>
  <r>
    <x v="67"/>
    <x v="67"/>
    <n v="0"/>
    <n v="0"/>
    <n v="0"/>
    <n v="0"/>
    <m/>
    <n v="0"/>
    <n v="0"/>
    <n v="19"/>
    <n v="104.26"/>
    <x v="91"/>
    <n v="-104.26"/>
    <n v="-1"/>
  </r>
  <r>
    <x v="68"/>
    <x v="68"/>
    <n v="10"/>
    <n v="253.92"/>
    <n v="2"/>
    <n v="59.8"/>
    <n v="0.1906158357771261"/>
    <n v="12"/>
    <n v="313.71999999999997"/>
    <n v="112"/>
    <n v="2439.1799999999998"/>
    <x v="210"/>
    <n v="-2125.46"/>
    <n v="-0.87138300576423233"/>
  </r>
  <r>
    <x v="71"/>
    <x v="71"/>
    <n v="0"/>
    <n v="0"/>
    <n v="0"/>
    <n v="0"/>
    <m/>
    <n v="0"/>
    <n v="0"/>
    <n v="0"/>
    <n v="0"/>
    <x v="1"/>
    <n v="0"/>
    <m/>
  </r>
  <r>
    <x v="73"/>
    <x v="72"/>
    <n v="1"/>
    <n v="19.72"/>
    <n v="0"/>
    <n v="0"/>
    <n v="0"/>
    <n v="1"/>
    <n v="19.72"/>
    <n v="0"/>
    <n v="0"/>
    <x v="10"/>
    <n v="19.72"/>
    <m/>
  </r>
  <r>
    <x v="74"/>
    <x v="73"/>
    <n v="0"/>
    <n v="0"/>
    <n v="0"/>
    <n v="0"/>
    <m/>
    <n v="0"/>
    <n v="0"/>
    <n v="0"/>
    <n v="0"/>
    <x v="1"/>
    <n v="0"/>
    <m/>
  </r>
  <r>
    <x v="75"/>
    <x v="74"/>
    <n v="13"/>
    <n v="182.92"/>
    <n v="0"/>
    <n v="0"/>
    <n v="0"/>
    <n v="13"/>
    <n v="182.92"/>
    <n v="208"/>
    <n v="2539.6799999999998"/>
    <x v="211"/>
    <n v="-2356.7599999999998"/>
    <n v="-0.92797517797517792"/>
  </r>
  <r>
    <x v="79"/>
    <x v="78"/>
    <n v="1"/>
    <n v="13.81"/>
    <n v="0"/>
    <n v="0"/>
    <n v="0"/>
    <n v="1"/>
    <n v="13.81"/>
    <n v="1"/>
    <n v="15.85"/>
    <x v="1"/>
    <n v="-2.0399999999999991"/>
    <n v="-0.12870662460567819"/>
  </r>
  <r>
    <x v="80"/>
    <x v="79"/>
    <n v="0"/>
    <n v="0"/>
    <n v="0"/>
    <n v="0"/>
    <m/>
    <n v="0"/>
    <n v="0"/>
    <n v="0"/>
    <n v="0"/>
    <x v="1"/>
    <n v="0"/>
    <m/>
  </r>
  <r>
    <x v="81"/>
    <x v="80"/>
    <n v="0"/>
    <n v="0"/>
    <n v="0"/>
    <n v="0"/>
    <m/>
    <n v="0"/>
    <n v="0"/>
    <n v="0"/>
    <n v="0"/>
    <x v="1"/>
    <n v="0"/>
    <m/>
  </r>
  <r>
    <x v="83"/>
    <x v="82"/>
    <n v="2"/>
    <n v="48.17"/>
    <n v="0"/>
    <n v="0"/>
    <n v="0"/>
    <n v="2"/>
    <n v="48.17"/>
    <n v="3"/>
    <n v="52.38"/>
    <x v="3"/>
    <n v="-4.2100000000000009"/>
    <n v="-8.0374188621611317E-2"/>
  </r>
  <r>
    <x v="84"/>
    <x v="83"/>
    <n v="0"/>
    <n v="0"/>
    <n v="0"/>
    <n v="0"/>
    <m/>
    <n v="0"/>
    <n v="0"/>
    <n v="0"/>
    <n v="0"/>
    <x v="1"/>
    <n v="0"/>
    <m/>
  </r>
  <r>
    <x v="91"/>
    <x v="90"/>
    <n v="6"/>
    <n v="147.06"/>
    <n v="16"/>
    <n v="602.39999999999986"/>
    <n v="0.80377872067888878"/>
    <n v="22"/>
    <n v="749.45999999999981"/>
    <n v="90"/>
    <n v="2205.9"/>
    <x v="74"/>
    <n v="-1456.4400000000003"/>
    <n v="-0.66024751801985593"/>
  </r>
  <r>
    <x v="92"/>
    <x v="91"/>
    <n v="0"/>
    <n v="0"/>
    <n v="0"/>
    <n v="0"/>
    <m/>
    <n v="0"/>
    <n v="0"/>
    <n v="608"/>
    <n v="7423.68"/>
    <x v="212"/>
    <n v="-7423.68"/>
    <n v="-1"/>
  </r>
  <r>
    <x v="97"/>
    <x v="96"/>
    <n v="105"/>
    <n v="2591.61"/>
    <n v="167"/>
    <n v="4754.2999999999984"/>
    <n v="0.64720368204892242"/>
    <n v="272"/>
    <n v="7345.909999999998"/>
    <n v="292"/>
    <n v="6779.04"/>
    <x v="213"/>
    <n v="566.86999999999807"/>
    <n v="8.36209846821966E-2"/>
  </r>
  <r>
    <x v="99"/>
    <x v="98"/>
    <n v="0"/>
    <n v="0"/>
    <n v="0"/>
    <n v="0"/>
    <m/>
    <n v="0"/>
    <n v="0"/>
    <n v="0"/>
    <n v="0"/>
    <x v="1"/>
    <n v="0"/>
    <m/>
  </r>
  <r>
    <x v="101"/>
    <x v="100"/>
    <n v="0"/>
    <n v="0"/>
    <n v="0"/>
    <n v="0"/>
    <m/>
    <n v="0"/>
    <n v="0"/>
    <n v="0"/>
    <n v="0"/>
    <x v="1"/>
    <n v="0"/>
    <m/>
  </r>
  <r>
    <x v="104"/>
    <x v="103"/>
    <n v="0"/>
    <n v="0"/>
    <n v="0"/>
    <n v="0"/>
    <m/>
    <n v="0"/>
    <n v="0"/>
    <n v="0"/>
    <n v="0"/>
    <x v="1"/>
    <n v="0"/>
    <m/>
  </r>
  <r>
    <x v="105"/>
    <x v="104"/>
    <n v="3"/>
    <n v="92.19"/>
    <n v="0"/>
    <n v="0"/>
    <n v="0"/>
    <n v="3"/>
    <n v="92.19"/>
    <n v="43"/>
    <n v="961.97"/>
    <x v="83"/>
    <n v="-869.78"/>
    <n v="-0.90416541056373889"/>
  </r>
  <r>
    <x v="108"/>
    <x v="107"/>
    <n v="12"/>
    <n v="709.12"/>
    <n v="0"/>
    <n v="0"/>
    <n v="0"/>
    <n v="12"/>
    <n v="709.12"/>
    <n v="30"/>
    <n v="1694.4"/>
    <x v="75"/>
    <n v="-985.28000000000009"/>
    <n v="-0.58149197355996229"/>
  </r>
  <r>
    <x v="109"/>
    <x v="108"/>
    <n v="107"/>
    <n v="1345.75"/>
    <n v="155"/>
    <n v="2309.5000000000064"/>
    <n v="0.63183092811709252"/>
    <n v="262"/>
    <n v="3655.2500000000064"/>
    <n v="1851"/>
    <n v="22600.71"/>
    <x v="214"/>
    <n v="-18945.459999999992"/>
    <n v="-0.83826835528618315"/>
  </r>
  <r>
    <x v="111"/>
    <x v="110"/>
    <n v="0"/>
    <n v="0"/>
    <n v="60"/>
    <n v="4194.0000000000036"/>
    <n v="1"/>
    <n v="60"/>
    <n v="4194.0000000000036"/>
    <n v="0"/>
    <n v="0"/>
    <x v="215"/>
    <n v="4194.0000000000036"/>
    <m/>
  </r>
  <r>
    <x v="112"/>
    <x v="111"/>
    <n v="1"/>
    <n v="24.88"/>
    <n v="70"/>
    <n v="2082.2200000000025"/>
    <n v="0.98819230221631627"/>
    <n v="71"/>
    <n v="2107.1000000000026"/>
    <n v="435"/>
    <n v="8878.35"/>
    <x v="102"/>
    <n v="-6771.2499999999982"/>
    <n v="-0.76266986545923487"/>
  </r>
  <r>
    <x v="113"/>
    <x v="112"/>
    <n v="28"/>
    <n v="676.38"/>
    <n v="0"/>
    <n v="0"/>
    <n v="0"/>
    <n v="28"/>
    <n v="676.38"/>
    <n v="112"/>
    <n v="2745.12"/>
    <x v="92"/>
    <n v="-2068.7399999999998"/>
    <n v="-0.7536063997202308"/>
  </r>
  <r>
    <x v="114"/>
    <x v="113"/>
    <n v="5"/>
    <n v="24.55"/>
    <n v="0"/>
    <n v="0"/>
    <n v="0"/>
    <n v="5"/>
    <n v="24.55"/>
    <n v="2"/>
    <n v="13.18"/>
    <x v="28"/>
    <n v="11.370000000000001"/>
    <n v="0.86267071320182098"/>
  </r>
  <r>
    <x v="115"/>
    <x v="114"/>
    <n v="1"/>
    <n v="7.62"/>
    <n v="0"/>
    <n v="0"/>
    <n v="0"/>
    <n v="1"/>
    <n v="7.62"/>
    <n v="75"/>
    <n v="547.5"/>
    <x v="216"/>
    <n v="-539.88"/>
    <n v="-0.9860821917808219"/>
  </r>
  <r>
    <x v="117"/>
    <x v="116"/>
    <n v="29"/>
    <n v="189.95"/>
    <n v="0"/>
    <n v="0"/>
    <n v="0"/>
    <n v="29"/>
    <n v="189.95"/>
    <n v="195"/>
    <n v="783.9"/>
    <x v="217"/>
    <n v="-593.95000000000005"/>
    <n v="-0.7576859293277205"/>
  </r>
  <r>
    <x v="118"/>
    <x v="117"/>
    <n v="57"/>
    <n v="357.47"/>
    <n v="0"/>
    <n v="0"/>
    <n v="0"/>
    <n v="57"/>
    <n v="357.47"/>
    <n v="87"/>
    <n v="425.18"/>
    <x v="179"/>
    <n v="-67.70999999999998"/>
    <n v="-0.15925019991532993"/>
  </r>
  <r>
    <x v="121"/>
    <x v="120"/>
    <n v="1"/>
    <n v="5.98"/>
    <n v="0"/>
    <n v="0"/>
    <n v="0"/>
    <n v="1"/>
    <n v="5.98"/>
    <n v="1"/>
    <n v="8.11"/>
    <x v="1"/>
    <n v="-2.129999999999999"/>
    <n v="-0.26263871763255231"/>
  </r>
  <r>
    <x v="123"/>
    <x v="122"/>
    <n v="5"/>
    <n v="81.55"/>
    <n v="0"/>
    <n v="0"/>
    <n v="0"/>
    <n v="5"/>
    <n v="81.55"/>
    <n v="0"/>
    <n v="0"/>
    <x v="2"/>
    <n v="81.55"/>
    <m/>
  </r>
  <r>
    <x v="124"/>
    <x v="123"/>
    <n v="0"/>
    <n v="0"/>
    <n v="0"/>
    <n v="0"/>
    <m/>
    <n v="0"/>
    <n v="0"/>
    <n v="0"/>
    <n v="0"/>
    <x v="1"/>
    <n v="0"/>
    <m/>
  </r>
  <r>
    <x v="125"/>
    <x v="124"/>
    <n v="43"/>
    <n v="278.64"/>
    <n v="0"/>
    <n v="0"/>
    <n v="0"/>
    <n v="43"/>
    <n v="278.64"/>
    <n v="99"/>
    <n v="641.49"/>
    <x v="123"/>
    <n v="-362.85"/>
    <n v="-0.5656362530982556"/>
  </r>
  <r>
    <x v="126"/>
    <x v="125"/>
    <n v="16"/>
    <n v="206.03"/>
    <n v="0"/>
    <n v="0"/>
    <n v="0"/>
    <n v="16"/>
    <n v="206.03"/>
    <n v="668"/>
    <n v="8150.61"/>
    <x v="218"/>
    <n v="-7944.58"/>
    <n v="-0.97472213736149815"/>
  </r>
  <r>
    <x v="127"/>
    <x v="126"/>
    <n v="10"/>
    <n v="204.1"/>
    <n v="0"/>
    <n v="0"/>
    <n v="0"/>
    <n v="10"/>
    <n v="204.1"/>
    <n v="0"/>
    <n v="0"/>
    <x v="58"/>
    <n v="204.1"/>
    <m/>
  </r>
  <r>
    <x v="128"/>
    <x v="127"/>
    <n v="54"/>
    <n v="261.66000000000003"/>
    <n v="0"/>
    <n v="0"/>
    <n v="0"/>
    <n v="54"/>
    <n v="261.66000000000003"/>
    <n v="148"/>
    <n v="717.97"/>
    <x v="219"/>
    <n v="-456.31"/>
    <n v="-0.63555580316726323"/>
  </r>
  <r>
    <x v="129"/>
    <x v="128"/>
    <n v="2"/>
    <n v="28.91"/>
    <n v="0"/>
    <n v="0"/>
    <n v="0"/>
    <n v="2"/>
    <n v="28.91"/>
    <n v="15"/>
    <n v="121.65"/>
    <x v="209"/>
    <n v="-92.740000000000009"/>
    <n v="-0.76235100698725855"/>
  </r>
  <r>
    <x v="130"/>
    <x v="129"/>
    <n v="43"/>
    <n v="712.92"/>
    <n v="4"/>
    <n v="91.6"/>
    <n v="0.11385670959081191"/>
    <n v="47"/>
    <n v="804.52"/>
    <n v="261"/>
    <n v="3828.87"/>
    <x v="220"/>
    <n v="-3024.35"/>
    <n v="-0.78988056528427442"/>
  </r>
  <r>
    <x v="131"/>
    <x v="130"/>
    <n v="0"/>
    <n v="0"/>
    <n v="0"/>
    <n v="0"/>
    <m/>
    <n v="0"/>
    <n v="0"/>
    <n v="0"/>
    <n v="0"/>
    <x v="1"/>
    <n v="0"/>
    <m/>
  </r>
  <r>
    <x v="132"/>
    <x v="131"/>
    <n v="0"/>
    <n v="0"/>
    <n v="0"/>
    <n v="0"/>
    <m/>
    <n v="0"/>
    <n v="0"/>
    <n v="0"/>
    <n v="0"/>
    <x v="1"/>
    <n v="0"/>
    <m/>
  </r>
  <r>
    <x v="133"/>
    <x v="132"/>
    <n v="12"/>
    <n v="631.29999999999995"/>
    <n v="0"/>
    <n v="0"/>
    <n v="0"/>
    <n v="12"/>
    <n v="631.29999999999995"/>
    <n v="1"/>
    <n v="51.7"/>
    <x v="107"/>
    <n v="579.59999999999991"/>
    <n v="11.210831721470017"/>
  </r>
  <r>
    <x v="134"/>
    <x v="133"/>
    <n v="0"/>
    <n v="0"/>
    <n v="0"/>
    <n v="0"/>
    <m/>
    <n v="0"/>
    <n v="0"/>
    <n v="0"/>
    <n v="0"/>
    <x v="1"/>
    <n v="0"/>
    <m/>
  </r>
  <r>
    <x v="135"/>
    <x v="134"/>
    <n v="33"/>
    <n v="402.93"/>
    <n v="0"/>
    <n v="0"/>
    <n v="0"/>
    <n v="33"/>
    <n v="402.93"/>
    <n v="303"/>
    <n v="3202.71"/>
    <x v="221"/>
    <n v="-2799.78"/>
    <n v="-0.8741909195649934"/>
  </r>
  <r>
    <x v="136"/>
    <x v="135"/>
    <n v="0"/>
    <n v="0"/>
    <n v="0"/>
    <n v="0"/>
    <m/>
    <n v="0"/>
    <n v="0"/>
    <n v="0"/>
    <n v="0"/>
    <x v="1"/>
    <n v="0"/>
    <m/>
  </r>
  <r>
    <x v="137"/>
    <x v="136"/>
    <n v="0"/>
    <n v="0"/>
    <n v="0"/>
    <n v="0"/>
    <m/>
    <n v="0"/>
    <n v="0"/>
    <n v="545"/>
    <n v="6738.53"/>
    <x v="222"/>
    <n v="-6738.53"/>
    <n v="-1"/>
  </r>
  <r>
    <x v="138"/>
    <x v="137"/>
    <n v="8"/>
    <n v="261.60000000000002"/>
    <n v="0"/>
    <n v="0"/>
    <n v="0"/>
    <n v="8"/>
    <n v="261.60000000000002"/>
    <n v="7"/>
    <n v="211.75"/>
    <x v="10"/>
    <n v="49.850000000000023"/>
    <n v="0.23541912632821735"/>
  </r>
  <r>
    <x v="139"/>
    <x v="138"/>
    <n v="33"/>
    <n v="432.96"/>
    <n v="0"/>
    <n v="0"/>
    <n v="0"/>
    <n v="33"/>
    <n v="432.96"/>
    <n v="128"/>
    <n v="1143.04"/>
    <x v="223"/>
    <n v="-710.07999999999993"/>
    <n v="-0.62122060470324747"/>
  </r>
  <r>
    <x v="140"/>
    <x v="139"/>
    <n v="4"/>
    <n v="88.2"/>
    <n v="0"/>
    <n v="0"/>
    <n v="0"/>
    <n v="4"/>
    <n v="88.2"/>
    <n v="16"/>
    <n v="288.51"/>
    <x v="37"/>
    <n v="-200.31"/>
    <n v="-0.69429135905167938"/>
  </r>
  <r>
    <x v="141"/>
    <x v="140"/>
    <n v="1"/>
    <n v="9.75"/>
    <n v="0"/>
    <n v="0"/>
    <n v="0"/>
    <n v="1"/>
    <n v="9.75"/>
    <n v="1"/>
    <n v="12.21"/>
    <x v="1"/>
    <n v="-2.4600000000000009"/>
    <n v="-0.20147420147420153"/>
  </r>
  <r>
    <x v="142"/>
    <x v="141"/>
    <n v="0"/>
    <n v="0"/>
    <n v="0"/>
    <n v="0"/>
    <m/>
    <n v="0"/>
    <n v="0"/>
    <n v="0"/>
    <n v="0"/>
    <x v="1"/>
    <n v="0"/>
    <m/>
  </r>
  <r>
    <x v="143"/>
    <x v="142"/>
    <n v="0"/>
    <n v="0"/>
    <n v="0"/>
    <n v="0"/>
    <m/>
    <n v="0"/>
    <n v="0"/>
    <n v="1"/>
    <n v="12.21"/>
    <x v="3"/>
    <n v="-12.21"/>
    <n v="-1"/>
  </r>
  <r>
    <x v="144"/>
    <x v="143"/>
    <n v="0"/>
    <n v="0"/>
    <n v="0"/>
    <n v="0"/>
    <m/>
    <n v="0"/>
    <n v="0"/>
    <n v="0"/>
    <n v="0"/>
    <x v="1"/>
    <n v="0"/>
    <m/>
  </r>
  <r>
    <x v="145"/>
    <x v="144"/>
    <n v="6"/>
    <n v="147.06"/>
    <n v="2"/>
    <n v="69.8"/>
    <n v="0.32186664207322696"/>
    <n v="8"/>
    <n v="216.86"/>
    <n v="13"/>
    <n v="318.63"/>
    <x v="9"/>
    <n v="-101.76999999999998"/>
    <n v="-0.3193986755798261"/>
  </r>
  <r>
    <x v="146"/>
    <x v="145"/>
    <n v="2"/>
    <n v="54.55"/>
    <n v="0"/>
    <n v="0"/>
    <n v="0"/>
    <n v="2"/>
    <n v="54.55"/>
    <n v="7"/>
    <n v="177.75"/>
    <x v="9"/>
    <n v="-123.2"/>
    <n v="-0.69310829817158937"/>
  </r>
  <r>
    <x v="147"/>
    <x v="146"/>
    <n v="0"/>
    <n v="0"/>
    <n v="0"/>
    <n v="0"/>
    <m/>
    <n v="0"/>
    <n v="0"/>
    <n v="4"/>
    <n v="64.099999999999994"/>
    <x v="70"/>
    <n v="-64.099999999999994"/>
    <n v="-1"/>
  </r>
  <r>
    <x v="148"/>
    <x v="147"/>
    <n v="9"/>
    <n v="182.97"/>
    <n v="0"/>
    <n v="0"/>
    <n v="0"/>
    <n v="9"/>
    <n v="182.97"/>
    <n v="88"/>
    <n v="1595.46"/>
    <x v="126"/>
    <n v="-1412.49"/>
    <n v="-0.88531834079199723"/>
  </r>
  <r>
    <x v="149"/>
    <x v="148"/>
    <n v="0"/>
    <n v="0"/>
    <n v="0"/>
    <n v="0"/>
    <m/>
    <n v="0"/>
    <n v="0"/>
    <n v="0"/>
    <n v="0"/>
    <x v="1"/>
    <n v="0"/>
    <m/>
  </r>
  <r>
    <x v="150"/>
    <x v="149"/>
    <n v="30"/>
    <n v="488.1"/>
    <n v="27"/>
    <n v="556.34999999999968"/>
    <n v="0.53267269854947563"/>
    <n v="57"/>
    <n v="1044.4499999999998"/>
    <n v="100"/>
    <n v="1626"/>
    <x v="224"/>
    <n v="-581.55000000000018"/>
    <n v="-0.35765682656826581"/>
  </r>
  <r>
    <x v="151"/>
    <x v="150"/>
    <n v="0"/>
    <n v="0"/>
    <n v="0"/>
    <n v="0"/>
    <m/>
    <n v="0"/>
    <n v="0"/>
    <n v="0"/>
    <n v="0"/>
    <x v="1"/>
    <n v="0"/>
    <m/>
  </r>
  <r>
    <x v="152"/>
    <x v="151"/>
    <n v="7"/>
    <n v="121.73"/>
    <n v="0"/>
    <n v="0"/>
    <n v="0"/>
    <n v="7"/>
    <n v="121.73"/>
    <n v="29"/>
    <n v="482.67"/>
    <x v="38"/>
    <n v="-360.94"/>
    <n v="-0.74779870304763085"/>
  </r>
  <r>
    <x v="153"/>
    <x v="152"/>
    <n v="191"/>
    <n v="2651.93"/>
    <n v="9"/>
    <n v="197.10000000000002"/>
    <n v="6.9181440700870137E-2"/>
    <n v="200"/>
    <n v="2849.0299999999997"/>
    <n v="199"/>
    <n v="3586.73"/>
    <x v="10"/>
    <n v="-737.70000000000027"/>
    <n v="-0.20567480685749981"/>
  </r>
  <r>
    <x v="154"/>
    <x v="153"/>
    <n v="17"/>
    <n v="179.69"/>
    <n v="0"/>
    <n v="0"/>
    <n v="0"/>
    <n v="17"/>
    <n v="179.69"/>
    <n v="54"/>
    <n v="875"/>
    <x v="157"/>
    <n v="-695.31"/>
    <n v="-0.7946399999999999"/>
  </r>
  <r>
    <x v="155"/>
    <x v="154"/>
    <n v="1"/>
    <n v="12.48"/>
    <n v="0"/>
    <n v="0"/>
    <n v="0"/>
    <n v="1"/>
    <n v="12.48"/>
    <n v="2"/>
    <n v="21.75"/>
    <x v="3"/>
    <n v="-9.27"/>
    <n v="-0.42620689655172411"/>
  </r>
  <r>
    <x v="156"/>
    <x v="155"/>
    <n v="2"/>
    <n v="21.14"/>
    <n v="158"/>
    <n v="2588.2000000000035"/>
    <n v="0.99189833444472553"/>
    <n v="160"/>
    <n v="2609.3400000000033"/>
    <n v="506"/>
    <n v="4080.61"/>
    <x v="225"/>
    <n v="-1471.2699999999968"/>
    <n v="-0.36055148617486033"/>
  </r>
  <r>
    <x v="157"/>
    <x v="156"/>
    <n v="63"/>
    <n v="567.63"/>
    <n v="0"/>
    <n v="0"/>
    <n v="0"/>
    <n v="63"/>
    <n v="567.63"/>
    <n v="742"/>
    <n v="5416.6"/>
    <x v="226"/>
    <n v="-4848.97"/>
    <n v="-0.89520547945205475"/>
  </r>
  <r>
    <x v="158"/>
    <x v="157"/>
    <n v="0"/>
    <n v="0"/>
    <n v="0"/>
    <n v="0"/>
    <m/>
    <n v="0"/>
    <n v="0"/>
    <n v="9"/>
    <n v="120.69"/>
    <x v="5"/>
    <n v="-120.69"/>
    <n v="-1"/>
  </r>
  <r>
    <x v="159"/>
    <x v="158"/>
    <n v="0"/>
    <n v="0"/>
    <n v="15"/>
    <n v="598.49999999999989"/>
    <n v="1"/>
    <n v="15"/>
    <n v="598.49999999999989"/>
    <n v="0"/>
    <n v="0"/>
    <x v="186"/>
    <n v="598.49999999999989"/>
    <m/>
  </r>
  <r>
    <x v="160"/>
    <x v="159"/>
    <n v="4"/>
    <n v="158.49"/>
    <n v="0"/>
    <n v="0"/>
    <n v="0"/>
    <n v="4"/>
    <n v="158.49"/>
    <n v="38"/>
    <n v="1650.82"/>
    <x v="197"/>
    <n v="-1492.33"/>
    <n v="-0.90399316703214161"/>
  </r>
  <r>
    <x v="161"/>
    <x v="160"/>
    <n v="19"/>
    <n v="1088.7"/>
    <n v="0"/>
    <n v="0"/>
    <n v="0"/>
    <n v="19"/>
    <n v="1088.7"/>
    <n v="71"/>
    <n v="3502.16"/>
    <x v="154"/>
    <n v="-2413.46"/>
    <n v="-0.68913470543892918"/>
  </r>
  <r>
    <x v="162"/>
    <x v="161"/>
    <n v="2"/>
    <n v="9.82"/>
    <n v="0"/>
    <n v="0"/>
    <n v="0"/>
    <n v="2"/>
    <n v="9.82"/>
    <n v="4"/>
    <n v="16.079999999999998"/>
    <x v="15"/>
    <n v="-6.259999999999998"/>
    <n v="-0.3893034825870646"/>
  </r>
  <r>
    <x v="163"/>
    <x v="162"/>
    <n v="4"/>
    <n v="65.239999999999995"/>
    <n v="0"/>
    <n v="0"/>
    <n v="0"/>
    <n v="4"/>
    <n v="65.239999999999995"/>
    <n v="2"/>
    <n v="32.619999999999997"/>
    <x v="11"/>
    <n v="32.619999999999997"/>
    <n v="1"/>
  </r>
  <r>
    <x v="164"/>
    <x v="163"/>
    <n v="0"/>
    <n v="0"/>
    <n v="19"/>
    <n v="1430.1"/>
    <n v="1"/>
    <n v="19"/>
    <n v="1430.1"/>
    <n v="0"/>
    <n v="0"/>
    <x v="42"/>
    <n v="1430.1"/>
    <m/>
  </r>
  <r>
    <x v="165"/>
    <x v="164"/>
    <n v="0"/>
    <n v="0"/>
    <n v="0"/>
    <n v="0"/>
    <m/>
    <n v="0"/>
    <n v="0"/>
    <n v="9"/>
    <n v="249.35"/>
    <x v="5"/>
    <n v="-249.35"/>
    <n v="-1"/>
  </r>
  <r>
    <x v="166"/>
    <x v="165"/>
    <n v="4"/>
    <n v="52.22"/>
    <n v="0"/>
    <n v="0"/>
    <n v="0"/>
    <n v="4"/>
    <n v="52.22"/>
    <n v="50"/>
    <n v="610.5"/>
    <x v="142"/>
    <n v="-558.28"/>
    <n v="-0.91446355446355443"/>
  </r>
  <r>
    <x v="167"/>
    <x v="166"/>
    <n v="0"/>
    <n v="0"/>
    <n v="0"/>
    <n v="0"/>
    <m/>
    <n v="0"/>
    <n v="0"/>
    <n v="0"/>
    <n v="0"/>
    <x v="1"/>
    <n v="0"/>
    <m/>
  </r>
  <r>
    <x v="168"/>
    <x v="167"/>
    <n v="9"/>
    <n v="203.19"/>
    <n v="0"/>
    <n v="0"/>
    <n v="0"/>
    <n v="9"/>
    <n v="203.19"/>
    <n v="9"/>
    <n v="220.59"/>
    <x v="1"/>
    <n v="-17.400000000000006"/>
    <n v="-7.887936896504831E-2"/>
  </r>
  <r>
    <x v="169"/>
    <x v="168"/>
    <n v="0"/>
    <n v="0"/>
    <n v="0"/>
    <n v="0"/>
    <m/>
    <n v="0"/>
    <n v="0"/>
    <n v="4"/>
    <n v="48.84"/>
    <x v="70"/>
    <n v="-48.84"/>
    <n v="-1"/>
  </r>
  <r>
    <x v="170"/>
    <x v="169"/>
    <n v="9"/>
    <n v="45.88"/>
    <n v="0"/>
    <n v="0"/>
    <n v="0"/>
    <n v="9"/>
    <n v="45.88"/>
    <n v="11"/>
    <n v="68.97"/>
    <x v="15"/>
    <n v="-23.089999999999996"/>
    <n v="-0.33478323908945912"/>
  </r>
  <r>
    <x v="171"/>
    <x v="170"/>
    <n v="0"/>
    <n v="0"/>
    <n v="0"/>
    <n v="0"/>
    <m/>
    <n v="0"/>
    <n v="0"/>
    <n v="21"/>
    <n v="189.17"/>
    <x v="52"/>
    <n v="-189.17"/>
    <n v="-1"/>
  </r>
  <r>
    <x v="172"/>
    <x v="171"/>
    <n v="0"/>
    <n v="0"/>
    <n v="0"/>
    <n v="0"/>
    <m/>
    <n v="0"/>
    <n v="0"/>
    <n v="0"/>
    <n v="0"/>
    <x v="1"/>
    <n v="0"/>
    <m/>
  </r>
  <r>
    <x v="173"/>
    <x v="172"/>
    <n v="2"/>
    <n v="30.66"/>
    <n v="0"/>
    <n v="0"/>
    <n v="0"/>
    <n v="2"/>
    <n v="30.66"/>
    <n v="8"/>
    <n v="88.9"/>
    <x v="22"/>
    <n v="-58.240000000000009"/>
    <n v="-0.65511811023622057"/>
  </r>
  <r>
    <x v="174"/>
    <x v="173"/>
    <n v="0"/>
    <n v="0"/>
    <n v="0"/>
    <n v="0"/>
    <m/>
    <n v="0"/>
    <n v="0"/>
    <n v="0"/>
    <n v="0"/>
    <x v="1"/>
    <n v="0"/>
    <m/>
  </r>
  <r>
    <x v="175"/>
    <x v="174"/>
    <n v="0"/>
    <n v="0"/>
    <n v="0"/>
    <n v="0"/>
    <m/>
    <n v="0"/>
    <n v="0"/>
    <n v="0"/>
    <n v="0"/>
    <x v="1"/>
    <n v="0"/>
    <m/>
  </r>
  <r>
    <x v="176"/>
    <x v="175"/>
    <n v="0"/>
    <n v="0"/>
    <n v="0"/>
    <n v="0"/>
    <m/>
    <n v="0"/>
    <n v="0"/>
    <n v="3"/>
    <n v="33.159999999999997"/>
    <x v="44"/>
    <n v="-33.159999999999997"/>
    <n v="-1"/>
  </r>
  <r>
    <x v="177"/>
    <x v="176"/>
    <n v="0"/>
    <n v="0"/>
    <n v="0"/>
    <n v="0"/>
    <m/>
    <n v="0"/>
    <n v="0"/>
    <n v="0"/>
    <n v="0"/>
    <x v="1"/>
    <n v="0"/>
    <m/>
  </r>
  <r>
    <x v="178"/>
    <x v="177"/>
    <n v="544"/>
    <n v="5723.45"/>
    <n v="0"/>
    <n v="0"/>
    <n v="0"/>
    <n v="544"/>
    <n v="5723.45"/>
    <n v="1179"/>
    <n v="9561.69"/>
    <x v="227"/>
    <n v="-3838.2400000000007"/>
    <n v="-0.40141857767821382"/>
  </r>
  <r>
    <x v="179"/>
    <x v="178"/>
    <n v="0"/>
    <n v="0"/>
    <n v="0"/>
    <n v="0"/>
    <m/>
    <n v="0"/>
    <n v="0"/>
    <n v="1"/>
    <n v="65.89"/>
    <x v="3"/>
    <n v="-65.89"/>
    <n v="-1"/>
  </r>
  <r>
    <x v="180"/>
    <x v="179"/>
    <n v="7"/>
    <n v="415.55"/>
    <n v="0"/>
    <n v="0"/>
    <n v="0"/>
    <n v="7"/>
    <n v="415.55"/>
    <n v="89"/>
    <n v="5825.41"/>
    <x v="228"/>
    <n v="-5409.86"/>
    <n v="-0.92866596514236766"/>
  </r>
  <r>
    <x v="181"/>
    <x v="180"/>
    <n v="1"/>
    <n v="18.18"/>
    <n v="0"/>
    <n v="0"/>
    <n v="0"/>
    <n v="1"/>
    <n v="18.18"/>
    <n v="3"/>
    <n v="48.93"/>
    <x v="15"/>
    <n v="-30.75"/>
    <n v="-0.62844880441446971"/>
  </r>
  <r>
    <x v="182"/>
    <x v="181"/>
    <n v="2"/>
    <n v="32.01"/>
    <n v="0"/>
    <n v="0"/>
    <n v="0"/>
    <n v="2"/>
    <n v="32.01"/>
    <n v="3"/>
    <n v="48.93"/>
    <x v="3"/>
    <n v="-16.920000000000002"/>
    <n v="-0.34580012262415699"/>
  </r>
  <r>
    <x v="183"/>
    <x v="182"/>
    <n v="6"/>
    <n v="58.74"/>
    <n v="0"/>
    <n v="0"/>
    <n v="0"/>
    <n v="6"/>
    <n v="58.74"/>
    <n v="0"/>
    <n v="0"/>
    <x v="14"/>
    <n v="58.74"/>
    <m/>
  </r>
  <r>
    <x v="184"/>
    <x v="183"/>
    <n v="4"/>
    <n v="81.040000000000006"/>
    <n v="0"/>
    <n v="0"/>
    <n v="0"/>
    <n v="4"/>
    <n v="81.040000000000006"/>
    <n v="0"/>
    <n v="0"/>
    <x v="50"/>
    <n v="81.040000000000006"/>
    <m/>
  </r>
  <r>
    <x v="185"/>
    <x v="184"/>
    <n v="0"/>
    <n v="0"/>
    <n v="0"/>
    <n v="0"/>
    <m/>
    <n v="0"/>
    <n v="0"/>
    <n v="0"/>
    <n v="0"/>
    <x v="1"/>
    <n v="0"/>
    <m/>
  </r>
  <r>
    <x v="186"/>
    <x v="185"/>
    <n v="0"/>
    <n v="0"/>
    <n v="0"/>
    <n v="0"/>
    <m/>
    <n v="0"/>
    <n v="0"/>
    <n v="45"/>
    <n v="328.5"/>
    <x v="229"/>
    <n v="-328.5"/>
    <n v="-1"/>
  </r>
  <r>
    <x v="187"/>
    <x v="186"/>
    <n v="6"/>
    <n v="109.67"/>
    <n v="0"/>
    <n v="0"/>
    <n v="0"/>
    <n v="6"/>
    <n v="109.67"/>
    <n v="16"/>
    <n v="245.75"/>
    <x v="46"/>
    <n v="-136.07999999999998"/>
    <n v="-0.55373346897253295"/>
  </r>
  <r>
    <x v="188"/>
    <x v="187"/>
    <n v="2"/>
    <n v="32.619999999999997"/>
    <n v="0"/>
    <n v="0"/>
    <n v="0"/>
    <n v="2"/>
    <n v="32.619999999999997"/>
    <n v="457"/>
    <n v="7176.4"/>
    <x v="230"/>
    <n v="-7143.78"/>
    <n v="-0.99545454545454548"/>
  </r>
  <r>
    <x v="189"/>
    <x v="188"/>
    <n v="5"/>
    <n v="93.23"/>
    <n v="0"/>
    <n v="0"/>
    <n v="0"/>
    <n v="5"/>
    <n v="93.23"/>
    <n v="57"/>
    <n v="695.97"/>
    <x v="154"/>
    <n v="-602.74"/>
    <n v="-0.86604307656939239"/>
  </r>
  <r>
    <x v="190"/>
    <x v="189"/>
    <n v="0"/>
    <n v="0"/>
    <n v="0"/>
    <n v="0"/>
    <m/>
    <n v="0"/>
    <n v="0"/>
    <n v="0"/>
    <n v="0"/>
    <x v="1"/>
    <n v="0"/>
    <m/>
  </r>
  <r>
    <x v="191"/>
    <x v="190"/>
    <n v="81"/>
    <n v="906.26"/>
    <n v="0"/>
    <n v="0"/>
    <n v="0"/>
    <n v="81"/>
    <n v="906.26"/>
    <n v="501"/>
    <n v="4063.11"/>
    <x v="231"/>
    <n v="-3156.8500000000004"/>
    <n v="-0.77695410658338082"/>
  </r>
  <r>
    <x v="192"/>
    <x v="191"/>
    <n v="11"/>
    <n v="84.03"/>
    <n v="0"/>
    <n v="0"/>
    <n v="0"/>
    <n v="11"/>
    <n v="84.03"/>
    <n v="16"/>
    <n v="109.8"/>
    <x v="9"/>
    <n v="-25.769999999999996"/>
    <n v="-0.23469945355191255"/>
  </r>
  <r>
    <x v="193"/>
    <x v="192"/>
    <n v="1"/>
    <n v="9.51"/>
    <n v="0"/>
    <n v="0"/>
    <n v="0"/>
    <n v="1"/>
    <n v="9.51"/>
    <n v="59"/>
    <n v="962.29"/>
    <x v="232"/>
    <n v="-952.78"/>
    <n v="-0.99011732429932764"/>
  </r>
  <r>
    <x v="194"/>
    <x v="193"/>
    <n v="0"/>
    <n v="0"/>
    <n v="0"/>
    <n v="0"/>
    <m/>
    <n v="0"/>
    <n v="0"/>
    <n v="20"/>
    <n v="197.56"/>
    <x v="213"/>
    <n v="-197.56"/>
    <n v="-1"/>
  </r>
  <r>
    <x v="195"/>
    <x v="194"/>
    <n v="84"/>
    <n v="1179.03"/>
    <n v="6"/>
    <n v="91.4"/>
    <n v="7.1944144895822681E-2"/>
    <n v="90"/>
    <n v="1270.43"/>
    <n v="484"/>
    <n v="5909.64"/>
    <x v="233"/>
    <n v="-4639.21"/>
    <n v="-0.78502413006545235"/>
  </r>
  <r>
    <x v="196"/>
    <x v="195"/>
    <n v="12"/>
    <n v="132.43"/>
    <n v="0"/>
    <n v="0"/>
    <n v="0"/>
    <n v="12"/>
    <n v="132.43"/>
    <n v="14"/>
    <n v="134.22999999999999"/>
    <x v="15"/>
    <n v="-1.7999999999999829"/>
    <n v="-1.3409818967443813E-2"/>
  </r>
  <r>
    <x v="197"/>
    <x v="196"/>
    <n v="0"/>
    <n v="0"/>
    <n v="0"/>
    <n v="0"/>
    <m/>
    <n v="0"/>
    <n v="0"/>
    <n v="0"/>
    <n v="0"/>
    <x v="1"/>
    <n v="0"/>
    <m/>
  </r>
  <r>
    <x v="198"/>
    <x v="197"/>
    <n v="13"/>
    <n v="158.72999999999999"/>
    <n v="0"/>
    <n v="0"/>
    <n v="0"/>
    <n v="13"/>
    <n v="158.72999999999999"/>
    <n v="34"/>
    <n v="385.34"/>
    <x v="52"/>
    <n v="-226.60999999999999"/>
    <n v="-0.58807806093320181"/>
  </r>
  <r>
    <x v="199"/>
    <x v="198"/>
    <n v="2"/>
    <n v="65.400000000000006"/>
    <n v="0"/>
    <n v="0"/>
    <n v="0"/>
    <n v="2"/>
    <n v="65.400000000000006"/>
    <n v="1"/>
    <n v="21.82"/>
    <x v="10"/>
    <n v="43.580000000000005"/>
    <n v="1.9972502291475713"/>
  </r>
  <r>
    <x v="200"/>
    <x v="199"/>
    <n v="1"/>
    <n v="28.61"/>
    <n v="5"/>
    <n v="189.5"/>
    <n v="0.8688276557700243"/>
    <n v="6"/>
    <n v="218.11"/>
    <n v="36"/>
    <n v="1029.96"/>
    <x v="179"/>
    <n v="-811.85"/>
    <n v="-0.78823449454347738"/>
  </r>
  <r>
    <x v="201"/>
    <x v="200"/>
    <n v="7"/>
    <n v="433.99"/>
    <n v="0"/>
    <n v="0"/>
    <n v="0"/>
    <n v="7"/>
    <n v="433.99"/>
    <n v="2"/>
    <n v="107.2"/>
    <x v="2"/>
    <n v="326.79000000000002"/>
    <n v="3.0484141791044777"/>
  </r>
  <r>
    <x v="202"/>
    <x v="201"/>
    <n v="1"/>
    <n v="2.93"/>
    <n v="0"/>
    <n v="0"/>
    <n v="0"/>
    <n v="1"/>
    <n v="2.93"/>
    <n v="1"/>
    <n v="4.0199999999999996"/>
    <x v="1"/>
    <n v="-1.0899999999999994"/>
    <n v="-0.27114427860696505"/>
  </r>
  <r>
    <x v="203"/>
    <x v="202"/>
    <n v="0"/>
    <n v="0"/>
    <n v="0"/>
    <n v="0"/>
    <m/>
    <n v="0"/>
    <n v="0"/>
    <n v="0"/>
    <n v="0"/>
    <x v="1"/>
    <n v="0"/>
    <m/>
  </r>
  <r>
    <x v="204"/>
    <x v="203"/>
    <n v="13"/>
    <n v="187.88"/>
    <n v="0"/>
    <n v="0"/>
    <n v="0"/>
    <n v="13"/>
    <n v="187.88"/>
    <n v="0"/>
    <n v="0"/>
    <x v="234"/>
    <n v="187.88"/>
    <m/>
  </r>
  <r>
    <x v="205"/>
    <x v="204"/>
    <n v="0"/>
    <n v="0"/>
    <n v="0"/>
    <n v="0"/>
    <m/>
    <n v="0"/>
    <n v="0"/>
    <n v="0"/>
    <n v="0"/>
    <x v="1"/>
    <n v="0"/>
    <m/>
  </r>
  <r>
    <x v="206"/>
    <x v="205"/>
    <n v="0"/>
    <n v="0"/>
    <n v="0"/>
    <n v="0"/>
    <m/>
    <n v="0"/>
    <n v="0"/>
    <n v="2"/>
    <n v="65.400000000000006"/>
    <x v="15"/>
    <n v="-65.400000000000006"/>
    <n v="-1"/>
  </r>
  <r>
    <x v="207"/>
    <x v="206"/>
    <n v="4"/>
    <n v="112.32"/>
    <n v="0"/>
    <n v="0"/>
    <n v="0"/>
    <n v="4"/>
    <n v="112.32"/>
    <n v="4"/>
    <n v="114.44"/>
    <x v="1"/>
    <n v="-2.1200000000000045"/>
    <n v="-1.8524991261796613E-2"/>
  </r>
  <r>
    <x v="208"/>
    <x v="207"/>
    <n v="0"/>
    <n v="0"/>
    <n v="0"/>
    <n v="0"/>
    <m/>
    <n v="0"/>
    <n v="0"/>
    <n v="1"/>
    <n v="60.04"/>
    <x v="3"/>
    <n v="-60.04"/>
    <n v="-1"/>
  </r>
  <r>
    <x v="209"/>
    <x v="208"/>
    <n v="5"/>
    <n v="79.12"/>
    <n v="0"/>
    <n v="0"/>
    <n v="0"/>
    <n v="5"/>
    <n v="79.12"/>
    <n v="115"/>
    <n v="1322.11"/>
    <x v="235"/>
    <n v="-1242.9899999999998"/>
    <n v="-0.9401562653636989"/>
  </r>
  <r>
    <x v="210"/>
    <x v="209"/>
    <n v="0"/>
    <n v="0"/>
    <n v="0"/>
    <n v="0"/>
    <m/>
    <n v="0"/>
    <n v="0"/>
    <n v="10"/>
    <n v="258.82"/>
    <x v="46"/>
    <n v="-258.82"/>
    <n v="-1"/>
  </r>
  <r>
    <x v="211"/>
    <x v="210"/>
    <n v="8"/>
    <n v="842.72"/>
    <n v="0"/>
    <n v="0"/>
    <n v="0"/>
    <n v="8"/>
    <n v="842.72"/>
    <n v="18"/>
    <n v="1705.28"/>
    <x v="46"/>
    <n v="-862.56"/>
    <n v="-0.50581722649652838"/>
  </r>
  <r>
    <x v="212"/>
    <x v="211"/>
    <n v="4"/>
    <n v="314.75"/>
    <n v="0"/>
    <n v="0"/>
    <n v="0"/>
    <n v="4"/>
    <n v="314.75"/>
    <n v="0"/>
    <n v="0"/>
    <x v="50"/>
    <n v="314.75"/>
    <m/>
  </r>
  <r>
    <x v="213"/>
    <x v="212"/>
    <n v="1"/>
    <n v="58.2"/>
    <n v="0"/>
    <n v="0"/>
    <n v="0"/>
    <n v="1"/>
    <n v="58.2"/>
    <n v="1"/>
    <n v="57.3"/>
    <x v="1"/>
    <n v="0.90000000000000568"/>
    <n v="1.5706806282722613E-2"/>
  </r>
  <r>
    <x v="214"/>
    <x v="213"/>
    <n v="21"/>
    <n v="549.39"/>
    <n v="0"/>
    <n v="0"/>
    <n v="0"/>
    <n v="21"/>
    <n v="549.39"/>
    <n v="206"/>
    <n v="4121.03"/>
    <x v="236"/>
    <n v="-3571.64"/>
    <n v="-0.86668624106109393"/>
  </r>
  <r>
    <x v="215"/>
    <x v="214"/>
    <n v="20"/>
    <n v="490.2"/>
    <n v="0"/>
    <n v="0"/>
    <n v="0"/>
    <n v="20"/>
    <n v="490.2"/>
    <n v="14"/>
    <n v="343.14"/>
    <x v="14"/>
    <n v="147.06"/>
    <n v="0.4285714285714286"/>
  </r>
  <r>
    <x v="216"/>
    <x v="215"/>
    <n v="28"/>
    <n v="516.37"/>
    <n v="0"/>
    <n v="0"/>
    <n v="0"/>
    <n v="28"/>
    <n v="516.37"/>
    <n v="42"/>
    <n v="813.76"/>
    <x v="6"/>
    <n v="-297.39"/>
    <n v="-0.36545173023987415"/>
  </r>
  <r>
    <x v="217"/>
    <x v="216"/>
    <n v="1"/>
    <n v="49.1"/>
    <n v="0"/>
    <n v="0"/>
    <n v="0"/>
    <n v="1"/>
    <n v="49.1"/>
    <n v="4"/>
    <n v="193.97"/>
    <x v="44"/>
    <n v="-144.87"/>
    <n v="-0.74686807238232722"/>
  </r>
  <r>
    <x v="218"/>
    <x v="217"/>
    <n v="0"/>
    <n v="0"/>
    <n v="0"/>
    <n v="0"/>
    <m/>
    <n v="0"/>
    <n v="0"/>
    <n v="71"/>
    <n v="1361.47"/>
    <x v="237"/>
    <n v="-1361.47"/>
    <n v="-1"/>
  </r>
  <r>
    <x v="219"/>
    <x v="218"/>
    <n v="2"/>
    <n v="12.32"/>
    <n v="0"/>
    <n v="0"/>
    <n v="0"/>
    <n v="2"/>
    <n v="12.32"/>
    <n v="0"/>
    <n v="0"/>
    <x v="11"/>
    <n v="12.32"/>
    <m/>
  </r>
  <r>
    <x v="220"/>
    <x v="219"/>
    <n v="8"/>
    <n v="115.44"/>
    <n v="0"/>
    <n v="0"/>
    <n v="0"/>
    <n v="8"/>
    <n v="115.44"/>
    <n v="5"/>
    <n v="79.16"/>
    <x v="28"/>
    <n v="36.28"/>
    <n v="0.45831227892875193"/>
  </r>
  <r>
    <x v="221"/>
    <x v="220"/>
    <n v="0"/>
    <n v="0"/>
    <n v="0"/>
    <n v="0"/>
    <m/>
    <n v="0"/>
    <n v="0"/>
    <n v="0"/>
    <n v="0"/>
    <x v="1"/>
    <n v="0"/>
    <m/>
  </r>
  <r>
    <x v="222"/>
    <x v="221"/>
    <n v="0"/>
    <n v="0"/>
    <n v="0"/>
    <n v="0"/>
    <m/>
    <n v="0"/>
    <n v="0"/>
    <n v="1"/>
    <n v="32.08"/>
    <x v="3"/>
    <n v="-32.08"/>
    <n v="-1"/>
  </r>
  <r>
    <x v="223"/>
    <x v="222"/>
    <n v="1"/>
    <n v="98.22"/>
    <n v="0"/>
    <n v="0"/>
    <n v="0"/>
    <n v="1"/>
    <n v="98.22"/>
    <n v="8"/>
    <n v="583.6"/>
    <x v="18"/>
    <n v="-485.38"/>
    <n v="-0.83169979437971209"/>
  </r>
  <r>
    <x v="224"/>
    <x v="223"/>
    <n v="0"/>
    <n v="0"/>
    <n v="0"/>
    <n v="0"/>
    <m/>
    <n v="0"/>
    <n v="0"/>
    <n v="0"/>
    <n v="0"/>
    <x v="1"/>
    <n v="0"/>
    <m/>
  </r>
  <r>
    <x v="225"/>
    <x v="224"/>
    <n v="92"/>
    <n v="1274.2"/>
    <n v="4"/>
    <n v="99.6"/>
    <n v="7.249963604600379E-2"/>
    <n v="96"/>
    <n v="1373.8"/>
    <n v="454"/>
    <n v="5808.2"/>
    <x v="238"/>
    <n v="-4434.3999999999996"/>
    <n v="-0.7634723322199648"/>
  </r>
  <r>
    <x v="226"/>
    <x v="225"/>
    <n v="0"/>
    <n v="0"/>
    <n v="0"/>
    <n v="0"/>
    <m/>
    <n v="0"/>
    <n v="0"/>
    <n v="1"/>
    <n v="12.21"/>
    <x v="3"/>
    <n v="-12.21"/>
    <n v="-1"/>
  </r>
  <r>
    <x v="227"/>
    <x v="226"/>
    <n v="12"/>
    <n v="451.55"/>
    <n v="0"/>
    <n v="0"/>
    <n v="0"/>
    <n v="12"/>
    <n v="451.55"/>
    <n v="32"/>
    <n v="1121.43"/>
    <x v="213"/>
    <n v="-669.88000000000011"/>
    <n v="-0.5973444619815772"/>
  </r>
  <r>
    <x v="228"/>
    <x v="227"/>
    <n v="6"/>
    <n v="154.62"/>
    <n v="0"/>
    <n v="0"/>
    <n v="0"/>
    <n v="6"/>
    <n v="154.62"/>
    <n v="10"/>
    <n v="220.5"/>
    <x v="70"/>
    <n v="-65.88"/>
    <n v="-0.29877551020408161"/>
  </r>
  <r>
    <x v="229"/>
    <x v="228"/>
    <n v="222"/>
    <n v="2397.59"/>
    <n v="7"/>
    <n v="76.300000000000011"/>
    <n v="3.084211504957779E-2"/>
    <n v="229"/>
    <n v="2473.8900000000003"/>
    <n v="1110"/>
    <n v="9002.1"/>
    <x v="239"/>
    <n v="-6528.21"/>
    <n v="-0.72518745626020598"/>
  </r>
  <r>
    <x v="230"/>
    <x v="229"/>
    <n v="6"/>
    <n v="196.2"/>
    <n v="0"/>
    <n v="0"/>
    <n v="0"/>
    <n v="6"/>
    <n v="196.2"/>
    <n v="23"/>
    <n v="752.1"/>
    <x v="34"/>
    <n v="-555.90000000000009"/>
    <n v="-0.73913043478260876"/>
  </r>
  <r>
    <x v="231"/>
    <x v="230"/>
    <n v="0"/>
    <n v="0"/>
    <n v="0"/>
    <n v="0"/>
    <m/>
    <n v="0"/>
    <n v="0"/>
    <n v="0"/>
    <n v="0"/>
    <x v="1"/>
    <n v="0"/>
    <m/>
  </r>
  <r>
    <x v="232"/>
    <x v="231"/>
    <n v="7"/>
    <n v="131.65"/>
    <n v="0"/>
    <n v="0"/>
    <n v="0"/>
    <n v="7"/>
    <n v="131.65"/>
    <n v="56"/>
    <n v="913.36"/>
    <x v="89"/>
    <n v="-781.71"/>
    <n v="-0.85586187264605418"/>
  </r>
  <r>
    <x v="233"/>
    <x v="232"/>
    <n v="5"/>
    <n v="93.85"/>
    <n v="0"/>
    <n v="0"/>
    <n v="0"/>
    <n v="5"/>
    <n v="93.85"/>
    <n v="13"/>
    <n v="212.03"/>
    <x v="68"/>
    <n v="-118.18"/>
    <n v="-0.55737395651558741"/>
  </r>
  <r>
    <x v="234"/>
    <x v="233"/>
    <n v="11"/>
    <n v="206.47"/>
    <n v="2"/>
    <n v="44.8"/>
    <n v="0.17829426513312374"/>
    <n v="13"/>
    <n v="251.26999999999998"/>
    <n v="2"/>
    <n v="32.619999999999997"/>
    <x v="107"/>
    <n v="218.64999999999998"/>
    <n v="6.7029429797670144"/>
  </r>
  <r>
    <x v="235"/>
    <x v="234"/>
    <n v="2"/>
    <n v="87.72"/>
    <n v="0"/>
    <n v="0"/>
    <n v="0"/>
    <n v="2"/>
    <n v="87.72"/>
    <n v="4"/>
    <n v="163"/>
    <x v="15"/>
    <n v="-75.28"/>
    <n v="-0.46184049079754602"/>
  </r>
  <r>
    <x v="236"/>
    <x v="235"/>
    <n v="4"/>
    <n v="52.72"/>
    <n v="0"/>
    <n v="0"/>
    <n v="0"/>
    <n v="4"/>
    <n v="52.72"/>
    <n v="3"/>
    <n v="48.93"/>
    <x v="10"/>
    <n v="3.7899999999999991"/>
    <n v="7.7457592479051693E-2"/>
  </r>
  <r>
    <x v="237"/>
    <x v="236"/>
    <n v="100"/>
    <n v="1631"/>
    <n v="8"/>
    <n v="199.20000000000002"/>
    <n v="0.10884056387280079"/>
    <n v="108"/>
    <n v="1830.2"/>
    <n v="820"/>
    <n v="13374.2"/>
    <x v="240"/>
    <n v="-11544"/>
    <n v="-0.86315443166694072"/>
  </r>
  <r>
    <x v="238"/>
    <x v="237"/>
    <n v="0"/>
    <n v="0"/>
    <n v="0"/>
    <n v="0"/>
    <m/>
    <n v="0"/>
    <n v="0"/>
    <n v="1"/>
    <n v="40.21"/>
    <x v="3"/>
    <n v="-40.21"/>
    <n v="-1"/>
  </r>
  <r>
    <x v="239"/>
    <x v="238"/>
    <n v="9"/>
    <n v="72.989999999999995"/>
    <n v="0"/>
    <n v="0"/>
    <n v="0"/>
    <n v="9"/>
    <n v="72.989999999999995"/>
    <n v="21"/>
    <n v="170.31"/>
    <x v="37"/>
    <n v="-97.320000000000007"/>
    <n v="-0.57142857142857151"/>
  </r>
  <r>
    <x v="240"/>
    <x v="239"/>
    <n v="57"/>
    <n v="5001.34"/>
    <n v="0"/>
    <n v="0"/>
    <n v="0"/>
    <n v="57"/>
    <n v="5001.34"/>
    <n v="38"/>
    <n v="3092.63"/>
    <x v="42"/>
    <n v="1908.71"/>
    <n v="0.61718019937722912"/>
  </r>
  <r>
    <x v="241"/>
    <x v="240"/>
    <n v="4"/>
    <n v="380.8"/>
    <n v="0"/>
    <n v="0"/>
    <n v="0"/>
    <n v="4"/>
    <n v="380.8"/>
    <n v="6"/>
    <n v="491.34"/>
    <x v="15"/>
    <n v="-110.53999999999996"/>
    <n v="-0.22497659461879752"/>
  </r>
  <r>
    <x v="242"/>
    <x v="241"/>
    <n v="62"/>
    <n v="690.53"/>
    <n v="0"/>
    <n v="0"/>
    <n v="0"/>
    <n v="62"/>
    <n v="690.53"/>
    <n v="229"/>
    <n v="2420.5300000000002"/>
    <x v="241"/>
    <n v="-1730.0000000000002"/>
    <n v="-0.71471950357979452"/>
  </r>
  <r>
    <x v="243"/>
    <x v="242"/>
    <n v="0"/>
    <n v="0"/>
    <n v="0"/>
    <n v="0"/>
    <m/>
    <n v="0"/>
    <n v="0"/>
    <n v="2"/>
    <n v="114.6"/>
    <x v="15"/>
    <n v="-114.6"/>
    <n v="-1"/>
  </r>
  <r>
    <x v="244"/>
    <x v="243"/>
    <n v="2"/>
    <n v="88.34"/>
    <n v="0"/>
    <n v="0"/>
    <n v="0"/>
    <n v="2"/>
    <n v="88.34"/>
    <n v="10"/>
    <n v="368"/>
    <x v="68"/>
    <n v="-279.65999999999997"/>
    <n v="-0.75994565217391297"/>
  </r>
  <r>
    <x v="245"/>
    <x v="244"/>
    <n v="558"/>
    <n v="9074.8700000000008"/>
    <n v="0"/>
    <n v="0"/>
    <n v="0"/>
    <n v="558"/>
    <n v="9074.8700000000008"/>
    <n v="0"/>
    <n v="0"/>
    <x v="242"/>
    <n v="9074.8700000000008"/>
    <m/>
  </r>
  <r>
    <x v="246"/>
    <x v="245"/>
    <n v="0"/>
    <n v="0"/>
    <n v="0"/>
    <n v="0"/>
    <m/>
    <n v="0"/>
    <n v="0"/>
    <n v="3"/>
    <n v="101.23"/>
    <x v="44"/>
    <n v="-101.23"/>
    <n v="-1"/>
  </r>
  <r>
    <x v="247"/>
    <x v="246"/>
    <n v="1"/>
    <n v="160.65"/>
    <n v="0"/>
    <n v="0"/>
    <n v="0"/>
    <n v="1"/>
    <n v="160.65"/>
    <n v="2"/>
    <n v="226.06"/>
    <x v="3"/>
    <n v="-65.41"/>
    <n v="-0.2893479607183933"/>
  </r>
  <r>
    <x v="248"/>
    <x v="247"/>
    <n v="453"/>
    <n v="2224.23"/>
    <n v="0"/>
    <n v="0"/>
    <n v="0"/>
    <n v="453"/>
    <n v="2224.23"/>
    <n v="879"/>
    <n v="3594.46"/>
    <x v="243"/>
    <n v="-1370.23"/>
    <n v="-0.38120607824262892"/>
  </r>
  <r>
    <x v="249"/>
    <x v="248"/>
    <n v="31"/>
    <n v="172.86"/>
    <n v="0"/>
    <n v="0"/>
    <n v="0"/>
    <n v="31"/>
    <n v="172.86"/>
    <n v="0"/>
    <n v="0"/>
    <x v="131"/>
    <n v="172.86"/>
    <m/>
  </r>
  <r>
    <x v="250"/>
    <x v="249"/>
    <n v="9"/>
    <n v="33.79"/>
    <n v="0"/>
    <n v="0"/>
    <n v="0"/>
    <n v="9"/>
    <n v="33.79"/>
    <n v="0"/>
    <n v="0"/>
    <x v="244"/>
    <n v="33.79"/>
    <m/>
  </r>
  <r>
    <x v="251"/>
    <x v="250"/>
    <n v="0"/>
    <n v="0"/>
    <n v="0"/>
    <n v="0"/>
    <m/>
    <n v="0"/>
    <n v="0"/>
    <n v="0"/>
    <n v="0"/>
    <x v="1"/>
    <n v="0"/>
    <m/>
  </r>
  <r>
    <x v="252"/>
    <x v="251"/>
    <n v="99"/>
    <n v="1096.6500000000001"/>
    <n v="0"/>
    <n v="0"/>
    <n v="0"/>
    <n v="99"/>
    <n v="1096.6500000000001"/>
    <n v="0"/>
    <n v="0"/>
    <x v="105"/>
    <n v="1096.6500000000001"/>
    <m/>
  </r>
  <r>
    <x v="253"/>
    <x v="252"/>
    <n v="0"/>
    <n v="0"/>
    <n v="0"/>
    <n v="0"/>
    <m/>
    <n v="0"/>
    <n v="0"/>
    <n v="0"/>
    <n v="0"/>
    <x v="1"/>
    <n v="0"/>
    <m/>
  </r>
  <r>
    <x v="254"/>
    <x v="253"/>
    <n v="168"/>
    <n v="1493.58"/>
    <n v="0"/>
    <n v="0"/>
    <n v="0"/>
    <n v="168"/>
    <n v="1493.58"/>
    <n v="36"/>
    <n v="304.26"/>
    <x v="245"/>
    <n v="1189.32"/>
    <n v="3.9088937093275486"/>
  </r>
  <r>
    <x v="255"/>
    <x v="254"/>
    <n v="3"/>
    <n v="122.7"/>
    <n v="0"/>
    <n v="0"/>
    <n v="0"/>
    <n v="3"/>
    <n v="122.7"/>
    <n v="0"/>
    <n v="0"/>
    <x v="28"/>
    <n v="122.7"/>
    <m/>
  </r>
  <r>
    <x v="256"/>
    <x v="255"/>
    <n v="12"/>
    <n v="464.74"/>
    <n v="0"/>
    <n v="0"/>
    <n v="0"/>
    <n v="12"/>
    <n v="464.74"/>
    <n v="0"/>
    <n v="0"/>
    <x v="65"/>
    <n v="464.74"/>
    <m/>
  </r>
  <r>
    <x v="257"/>
    <x v="256"/>
    <n v="2"/>
    <n v="50.2"/>
    <n v="0"/>
    <n v="0"/>
    <n v="0"/>
    <n v="2"/>
    <n v="50.2"/>
    <n v="0"/>
    <n v="0"/>
    <x v="11"/>
    <n v="50.2"/>
    <m/>
  </r>
  <r>
    <x v="258"/>
    <x v="257"/>
    <n v="1"/>
    <n v="39.58"/>
    <n v="0"/>
    <n v="0"/>
    <n v="0"/>
    <n v="1"/>
    <n v="39.58"/>
    <n v="0"/>
    <n v="0"/>
    <x v="10"/>
    <n v="39.58"/>
    <m/>
  </r>
  <r>
    <x v="259"/>
    <x v="258"/>
    <n v="0"/>
    <n v="0"/>
    <n v="0"/>
    <n v="0"/>
    <m/>
    <n v="0"/>
    <n v="0"/>
    <n v="0"/>
    <n v="0"/>
    <x v="1"/>
    <n v="0"/>
    <m/>
  </r>
  <r>
    <x v="260"/>
    <x v="259"/>
    <n v="5"/>
    <n v="143.05000000000001"/>
    <n v="0"/>
    <n v="0"/>
    <n v="0"/>
    <n v="5"/>
    <n v="143.05000000000001"/>
    <n v="0"/>
    <n v="0"/>
    <x v="2"/>
    <n v="143.05000000000001"/>
    <m/>
  </r>
  <r>
    <x v="261"/>
    <x v="260"/>
    <n v="0"/>
    <n v="0"/>
    <n v="0"/>
    <n v="0"/>
    <m/>
    <n v="0"/>
    <n v="0"/>
    <n v="0"/>
    <n v="0"/>
    <x v="1"/>
    <n v="0"/>
    <m/>
  </r>
  <r>
    <x v="262"/>
    <x v="261"/>
    <n v="0"/>
    <n v="0"/>
    <n v="0"/>
    <n v="0"/>
    <m/>
    <n v="0"/>
    <n v="0"/>
    <n v="0"/>
    <n v="0"/>
    <x v="1"/>
    <n v="0"/>
    <m/>
  </r>
  <r>
    <x v="263"/>
    <x v="262"/>
    <n v="11"/>
    <n v="188.32"/>
    <n v="0"/>
    <n v="0"/>
    <n v="0"/>
    <n v="11"/>
    <n v="188.32"/>
    <n v="0"/>
    <n v="0"/>
    <x v="107"/>
    <n v="188.32"/>
    <m/>
  </r>
  <r>
    <x v="264"/>
    <x v="263"/>
    <n v="1"/>
    <n v="18.47"/>
    <n v="0"/>
    <n v="0"/>
    <n v="0"/>
    <n v="1"/>
    <n v="18.47"/>
    <n v="0"/>
    <n v="0"/>
    <x v="10"/>
    <n v="18.47"/>
    <m/>
  </r>
  <r>
    <x v="265"/>
    <x v="264"/>
    <n v="0"/>
    <n v="0"/>
    <n v="0"/>
    <n v="0"/>
    <m/>
    <n v="0"/>
    <n v="0"/>
    <n v="0"/>
    <n v="0"/>
    <x v="1"/>
    <n v="0"/>
    <m/>
  </r>
  <r>
    <x v="266"/>
    <x v="265"/>
    <n v="0"/>
    <n v="0"/>
    <n v="0"/>
    <n v="0"/>
    <m/>
    <n v="0"/>
    <n v="0"/>
    <n v="0"/>
    <n v="0"/>
    <x v="1"/>
    <n v="0"/>
    <m/>
  </r>
  <r>
    <x v="267"/>
    <x v="266"/>
    <n v="21"/>
    <n v="489.7"/>
    <n v="0"/>
    <n v="0"/>
    <n v="0"/>
    <n v="21"/>
    <n v="489.7"/>
    <n v="0"/>
    <n v="0"/>
    <x v="66"/>
    <n v="489.7"/>
    <m/>
  </r>
  <r>
    <x v="268"/>
    <x v="267"/>
    <n v="24"/>
    <n v="122.81"/>
    <n v="0"/>
    <n v="0"/>
    <n v="0"/>
    <n v="24"/>
    <n v="122.81"/>
    <n v="0"/>
    <n v="0"/>
    <x v="108"/>
    <n v="122.81"/>
    <m/>
  </r>
  <r>
    <x v="269"/>
    <x v="268"/>
    <n v="1"/>
    <n v="6.55"/>
    <n v="0"/>
    <n v="0"/>
    <n v="0"/>
    <n v="1"/>
    <n v="6.55"/>
    <n v="0"/>
    <n v="0"/>
    <x v="10"/>
    <n v="6.55"/>
    <m/>
  </r>
  <r>
    <x v="270"/>
    <x v="269"/>
    <n v="199"/>
    <n v="1134.1099999999999"/>
    <n v="0"/>
    <n v="0"/>
    <n v="0"/>
    <n v="199"/>
    <n v="1134.1099999999999"/>
    <n v="0"/>
    <n v="0"/>
    <x v="109"/>
    <n v="1134.1099999999999"/>
    <m/>
  </r>
  <r>
    <x v="271"/>
    <x v="270"/>
    <n v="51"/>
    <n v="1652.69"/>
    <n v="0"/>
    <n v="0"/>
    <n v="0"/>
    <n v="51"/>
    <n v="1652.69"/>
    <n v="0"/>
    <n v="0"/>
    <x v="110"/>
    <n v="1652.69"/>
    <m/>
  </r>
  <r>
    <x v="272"/>
    <x v="271"/>
    <n v="85"/>
    <n v="1342.61"/>
    <n v="0"/>
    <n v="0"/>
    <n v="0"/>
    <n v="85"/>
    <n v="1342.61"/>
    <n v="0"/>
    <n v="0"/>
    <x v="111"/>
    <n v="1342.61"/>
    <m/>
  </r>
  <r>
    <x v="273"/>
    <x v="272"/>
    <n v="0"/>
    <n v="0"/>
    <n v="0"/>
    <n v="0"/>
    <m/>
    <n v="0"/>
    <n v="0"/>
    <n v="0"/>
    <n v="0"/>
    <x v="1"/>
    <n v="0"/>
    <m/>
  </r>
  <r>
    <x v="274"/>
    <x v="273"/>
    <n v="5"/>
    <n v="204.5"/>
    <n v="0"/>
    <n v="0"/>
    <n v="0"/>
    <n v="5"/>
    <n v="204.5"/>
    <n v="0"/>
    <n v="0"/>
    <x v="2"/>
    <n v="204.5"/>
    <m/>
  </r>
  <r>
    <x v="275"/>
    <x v="274"/>
    <n v="95"/>
    <n v="1549.45"/>
    <n v="5"/>
    <n v="124.5"/>
    <n v="7.4374981331580992E-2"/>
    <n v="100"/>
    <n v="1673.95"/>
    <n v="0"/>
    <n v="0"/>
    <x v="246"/>
    <n v="1673.95"/>
    <m/>
  </r>
  <r>
    <x v="276"/>
    <x v="275"/>
    <n v="324"/>
    <n v="5284.44"/>
    <n v="56"/>
    <n v="1063.5799999999995"/>
    <n v="0.16754515581236348"/>
    <n v="380"/>
    <n v="6348.0199999999986"/>
    <n v="0"/>
    <n v="0"/>
    <x v="247"/>
    <n v="6348.0199999999986"/>
    <m/>
  </r>
  <r>
    <x v="277"/>
    <x v="276"/>
    <n v="137"/>
    <n v="2234.4699999999998"/>
    <n v="107"/>
    <n v="2664.3000000000025"/>
    <n v="0.54387121665234361"/>
    <n v="244"/>
    <n v="4898.7700000000023"/>
    <n v="0"/>
    <n v="0"/>
    <x v="248"/>
    <n v="4898.7700000000023"/>
    <m/>
  </r>
  <r>
    <x v="278"/>
    <x v="277"/>
    <n v="0"/>
    <n v="0"/>
    <n v="0"/>
    <n v="0"/>
    <m/>
    <n v="0"/>
    <n v="0"/>
    <n v="0"/>
    <n v="0"/>
    <x v="1"/>
    <n v="0"/>
    <m/>
  </r>
  <r>
    <x v="279"/>
    <x v="278"/>
    <n v="40"/>
    <n v="1210"/>
    <n v="0"/>
    <n v="0"/>
    <n v="0"/>
    <n v="40"/>
    <n v="1210"/>
    <n v="0"/>
    <n v="0"/>
    <x v="115"/>
    <n v="1210"/>
    <m/>
  </r>
  <r>
    <x v="280"/>
    <x v="279"/>
    <n v="8"/>
    <n v="117.36"/>
    <n v="0"/>
    <n v="0"/>
    <n v="0"/>
    <n v="8"/>
    <n v="117.36"/>
    <n v="0"/>
    <n v="0"/>
    <x v="116"/>
    <n v="117.36"/>
    <m/>
  </r>
  <r>
    <x v="281"/>
    <x v="280"/>
    <n v="0"/>
    <n v="0"/>
    <n v="0"/>
    <n v="0"/>
    <m/>
    <n v="0"/>
    <n v="0"/>
    <n v="0"/>
    <n v="0"/>
    <x v="1"/>
    <n v="0"/>
    <m/>
  </r>
  <r>
    <x v="90"/>
    <x v="89"/>
    <n v="0"/>
    <n v="0"/>
    <n v="0"/>
    <n v="0"/>
    <m/>
    <n v="0"/>
    <n v="0"/>
    <n v="11"/>
    <n v="184.4"/>
    <x v="16"/>
    <n v="-184.4"/>
    <n v="-1"/>
  </r>
  <r>
    <x v="76"/>
    <x v="75"/>
    <n v="0"/>
    <n v="0"/>
    <n v="499"/>
    <n v="14519.279999999884"/>
    <n v="1"/>
    <n v="499"/>
    <n v="14519.279999999884"/>
    <n v="0"/>
    <n v="0"/>
    <x v="249"/>
    <n v="14519.279999999884"/>
    <m/>
  </r>
  <r>
    <x v="70"/>
    <x v="70"/>
    <n v="25"/>
    <n v="540.71"/>
    <n v="0"/>
    <n v="0"/>
    <n v="0"/>
    <n v="25"/>
    <n v="540.71"/>
    <n v="129"/>
    <n v="2535.71"/>
    <x v="205"/>
    <n v="-1995"/>
    <n v="-0.7867618931186926"/>
  </r>
  <r>
    <x v="98"/>
    <x v="97"/>
    <n v="25"/>
    <n v="993.72"/>
    <n v="1"/>
    <n v="59.9"/>
    <n v="5.6851616332263995E-2"/>
    <n v="26"/>
    <n v="1053.6200000000001"/>
    <n v="16"/>
    <n v="672.75"/>
    <x v="58"/>
    <n v="380.87000000000012"/>
    <n v="0.56613898179115585"/>
  </r>
  <r>
    <x v="110"/>
    <x v="109"/>
    <n v="3"/>
    <n v="66.150000000000006"/>
    <n v="0"/>
    <n v="0"/>
    <n v="0"/>
    <n v="3"/>
    <n v="66.150000000000006"/>
    <n v="9"/>
    <n v="183.69"/>
    <x v="22"/>
    <n v="-117.53999999999999"/>
    <n v="-0.63988241058304751"/>
  </r>
  <r>
    <x v="119"/>
    <x v="118"/>
    <n v="0"/>
    <n v="0"/>
    <n v="0"/>
    <n v="0"/>
    <m/>
    <n v="0"/>
    <n v="0"/>
    <n v="0"/>
    <n v="0"/>
    <x v="1"/>
    <n v="0"/>
    <m/>
  </r>
  <r>
    <x v="86"/>
    <x v="85"/>
    <n v="0"/>
    <n v="0"/>
    <n v="0"/>
    <n v="0"/>
    <m/>
    <n v="0"/>
    <n v="0"/>
    <n v="0"/>
    <n v="0"/>
    <x v="1"/>
    <n v="0"/>
    <m/>
  </r>
  <r>
    <x v="77"/>
    <x v="76"/>
    <n v="1"/>
    <n v="36.799999999999997"/>
    <n v="12"/>
    <n v="506.69999999999993"/>
    <n v="0.93229070837166517"/>
    <n v="13"/>
    <n v="543.49999999999989"/>
    <n v="11"/>
    <n v="530.98"/>
    <x v="11"/>
    <n v="12.519999999999868"/>
    <n v="2.3579042525141942E-2"/>
  </r>
  <r>
    <x v="27"/>
    <x v="27"/>
    <n v="0"/>
    <n v="0"/>
    <n v="19"/>
    <n v="853.09999999999968"/>
    <n v="1"/>
    <n v="19"/>
    <n v="853.09999999999968"/>
    <n v="159"/>
    <n v="4548.99"/>
    <x v="250"/>
    <n v="-3695.8900000000003"/>
    <n v="-0.81246386560533224"/>
  </r>
  <r>
    <x v="59"/>
    <x v="59"/>
    <n v="1"/>
    <n v="33.14"/>
    <n v="1"/>
    <n v="39.9"/>
    <n v="0.54627601314348306"/>
    <n v="2"/>
    <n v="73.039999999999992"/>
    <n v="14"/>
    <n v="343.14"/>
    <x v="37"/>
    <n v="-270.10000000000002"/>
    <n v="-0.7871422742903772"/>
  </r>
  <r>
    <x v="94"/>
    <x v="93"/>
    <n v="0"/>
    <n v="0"/>
    <n v="0"/>
    <n v="0"/>
    <m/>
    <n v="0"/>
    <n v="0"/>
    <n v="0"/>
    <n v="0"/>
    <x v="1"/>
    <n v="0"/>
    <m/>
  </r>
  <r>
    <x v="32"/>
    <x v="32"/>
    <n v="0"/>
    <n v="0"/>
    <n v="0"/>
    <n v="0"/>
    <m/>
    <n v="0"/>
    <n v="0"/>
    <n v="0"/>
    <n v="0"/>
    <x v="1"/>
    <n v="0"/>
    <m/>
  </r>
  <r>
    <x v="40"/>
    <x v="40"/>
    <n v="1"/>
    <n v="26.97"/>
    <n v="497"/>
    <n v="16362.459999999875"/>
    <n v="0.99835442721314893"/>
    <n v="498"/>
    <n v="16389.429999999877"/>
    <n v="545"/>
    <n v="15132.43"/>
    <x v="160"/>
    <n v="1256.9999999998763"/>
    <n v="8.306663239148479E-2"/>
  </r>
  <r>
    <x v="87"/>
    <x v="86"/>
    <n v="0"/>
    <n v="0"/>
    <n v="0"/>
    <n v="0"/>
    <m/>
    <n v="0"/>
    <n v="0"/>
    <n v="7"/>
    <n v="568.04999999999995"/>
    <x v="18"/>
    <n v="-568.04999999999995"/>
    <n v="-1"/>
  </r>
  <r>
    <x v="23"/>
    <x v="23"/>
    <n v="14"/>
    <n v="58.41"/>
    <n v="0"/>
    <n v="0"/>
    <n v="0"/>
    <n v="14"/>
    <n v="58.41"/>
    <n v="6"/>
    <n v="32.700000000000003"/>
    <x v="116"/>
    <n v="25.709999999999994"/>
    <n v="0.78623853211009154"/>
  </r>
  <r>
    <x v="38"/>
    <x v="38"/>
    <n v="0"/>
    <n v="0"/>
    <n v="0"/>
    <n v="0"/>
    <m/>
    <n v="0"/>
    <n v="0"/>
    <n v="1"/>
    <n v="61.31"/>
    <x v="3"/>
    <n v="-61.31"/>
    <n v="-1"/>
  </r>
  <r>
    <x v="21"/>
    <x v="21"/>
    <n v="2"/>
    <n v="7.25"/>
    <n v="0"/>
    <n v="0"/>
    <n v="0"/>
    <n v="2"/>
    <n v="7.25"/>
    <n v="10"/>
    <n v="34.15"/>
    <x v="68"/>
    <n v="-26.9"/>
    <n v="-0.78770131771595897"/>
  </r>
  <r>
    <x v="69"/>
    <x v="69"/>
    <n v="2"/>
    <n v="34.380000000000003"/>
    <n v="0"/>
    <n v="0"/>
    <n v="0"/>
    <n v="2"/>
    <n v="34.380000000000003"/>
    <n v="123"/>
    <n v="1504.64"/>
    <x v="88"/>
    <n v="-1470.26"/>
    <n v="-0.97715068056146315"/>
  </r>
  <r>
    <x v="26"/>
    <x v="26"/>
    <n v="37"/>
    <n v="755.17"/>
    <n v="0"/>
    <n v="0"/>
    <n v="0"/>
    <n v="37"/>
    <n v="755.17"/>
    <n v="53"/>
    <n v="1090.75"/>
    <x v="119"/>
    <n v="-335.58000000000004"/>
    <n v="-0.30765986706394688"/>
  </r>
  <r>
    <x v="72"/>
    <x v="70"/>
    <n v="2"/>
    <n v="22.14"/>
    <n v="244"/>
    <n v="3635.6000000000145"/>
    <n v="0.99394708207800453"/>
    <n v="246"/>
    <n v="3657.7400000000143"/>
    <n v="225"/>
    <n v="2181.9"/>
    <x v="66"/>
    <n v="1475.8400000000142"/>
    <n v="0.67640130161786249"/>
  </r>
  <r>
    <x v="95"/>
    <x v="94"/>
    <n v="0"/>
    <n v="0"/>
    <n v="0"/>
    <n v="0"/>
    <m/>
    <n v="0"/>
    <n v="0"/>
    <n v="0"/>
    <n v="0"/>
    <x v="1"/>
    <n v="0"/>
    <m/>
  </r>
  <r>
    <x v="89"/>
    <x v="88"/>
    <n v="99"/>
    <n v="1371.15"/>
    <n v="0"/>
    <n v="0"/>
    <n v="0"/>
    <n v="99"/>
    <n v="1371.15"/>
    <n v="12"/>
    <n v="195.18"/>
    <x v="251"/>
    <n v="1175.97"/>
    <n v="6.0250537964955422"/>
  </r>
  <r>
    <x v="48"/>
    <x v="48"/>
    <n v="3"/>
    <n v="62.39"/>
    <n v="106"/>
    <n v="2713.4000000000051"/>
    <n v="0.97752351582792651"/>
    <n v="109"/>
    <n v="2775.790000000005"/>
    <n v="360"/>
    <n v="7347.6"/>
    <x v="252"/>
    <n v="-4571.8099999999959"/>
    <n v="-0.62221813925635527"/>
  </r>
  <r>
    <x v="106"/>
    <x v="105"/>
    <n v="-4"/>
    <n v="-230.16"/>
    <n v="0"/>
    <n v="0"/>
    <n v="0"/>
    <n v="-4"/>
    <n v="-230.16"/>
    <n v="29"/>
    <n v="1780.31"/>
    <x v="93"/>
    <n v="-2010.47"/>
    <n v="-1.1292808555813314"/>
  </r>
  <r>
    <x v="78"/>
    <x v="77"/>
    <n v="0"/>
    <n v="0"/>
    <n v="16"/>
    <n v="958.39999999999975"/>
    <n v="1"/>
    <n v="16"/>
    <n v="958.39999999999975"/>
    <n v="0"/>
    <n v="0"/>
    <x v="206"/>
    <n v="958.39999999999975"/>
    <m/>
  </r>
  <r>
    <x v="31"/>
    <x v="31"/>
    <n v="0"/>
    <n v="0"/>
    <n v="0"/>
    <n v="0"/>
    <m/>
    <n v="0"/>
    <n v="0"/>
    <n v="2"/>
    <n v="14.3"/>
    <x v="15"/>
    <n v="-14.3"/>
    <n v="-1"/>
  </r>
  <r>
    <x v="18"/>
    <x v="18"/>
    <n v="0"/>
    <n v="0"/>
    <n v="3"/>
    <n v="104.69999999999999"/>
    <n v="1"/>
    <n v="3"/>
    <n v="104.69999999999999"/>
    <n v="0"/>
    <n v="0"/>
    <x v="28"/>
    <n v="104.69999999999999"/>
    <m/>
  </r>
  <r>
    <x v="53"/>
    <x v="53"/>
    <n v="34"/>
    <n v="1525.2"/>
    <n v="22"/>
    <n v="1040.7999999999997"/>
    <n v="0.40561184723304744"/>
    <n v="56"/>
    <n v="2566"/>
    <n v="105"/>
    <n v="4368.3"/>
    <x v="89"/>
    <n v="-1802.3000000000002"/>
    <n v="-0.41258613190486004"/>
  </r>
  <r>
    <x v="88"/>
    <x v="87"/>
    <n v="0"/>
    <n v="0"/>
    <n v="0"/>
    <n v="0"/>
    <m/>
    <n v="0"/>
    <n v="0"/>
    <n v="0"/>
    <n v="0"/>
    <x v="1"/>
    <n v="0"/>
    <m/>
  </r>
  <r>
    <x v="4"/>
    <x v="4"/>
    <n v="36"/>
    <n v="211.74"/>
    <n v="0"/>
    <n v="0"/>
    <n v="0"/>
    <n v="36"/>
    <n v="211.74"/>
    <n v="48"/>
    <n v="319.64999999999998"/>
    <x v="37"/>
    <n v="-107.90999999999997"/>
    <n v="-0.33758798686062874"/>
  </r>
  <r>
    <x v="10"/>
    <x v="10"/>
    <n v="2"/>
    <n v="98.08"/>
    <n v="0"/>
    <n v="0"/>
    <n v="0"/>
    <n v="2"/>
    <n v="98.08"/>
    <n v="6"/>
    <n v="294.60000000000002"/>
    <x v="70"/>
    <n v="-196.52000000000004"/>
    <n v="-0.66707399864222683"/>
  </r>
  <r>
    <x v="16"/>
    <x v="16"/>
    <n v="0"/>
    <n v="0"/>
    <n v="0"/>
    <n v="0"/>
    <m/>
    <n v="0"/>
    <n v="0"/>
    <n v="0"/>
    <n v="0"/>
    <x v="1"/>
    <n v="0"/>
    <m/>
  </r>
  <r>
    <x v="37"/>
    <x v="37"/>
    <n v="11"/>
    <n v="685.1"/>
    <n v="2"/>
    <n v="159.80000000000001"/>
    <n v="0.1891348088531187"/>
    <n v="13"/>
    <n v="844.90000000000009"/>
    <n v="53"/>
    <n v="3036.9"/>
    <x v="83"/>
    <n v="-2192"/>
    <n v="-0.72178866607395697"/>
  </r>
  <r>
    <x v="41"/>
    <x v="41"/>
    <n v="0"/>
    <n v="0"/>
    <n v="0"/>
    <n v="0"/>
    <m/>
    <n v="0"/>
    <n v="0"/>
    <n v="0"/>
    <n v="0"/>
    <x v="1"/>
    <n v="0"/>
    <m/>
  </r>
  <r>
    <x v="51"/>
    <x v="51"/>
    <n v="-1"/>
    <n v="-5.12"/>
    <n v="0"/>
    <n v="0"/>
    <n v="0"/>
    <n v="-1"/>
    <n v="-5.12"/>
    <n v="1"/>
    <n v="6.68"/>
    <x v="15"/>
    <n v="-11.8"/>
    <n v="-1.7664670658682637"/>
  </r>
  <r>
    <x v="82"/>
    <x v="81"/>
    <n v="168"/>
    <n v="3399.3"/>
    <n v="0"/>
    <n v="0"/>
    <n v="0"/>
    <n v="168"/>
    <n v="3399.3"/>
    <n v="379"/>
    <n v="7714.15"/>
    <x v="253"/>
    <n v="-4314.8499999999995"/>
    <n v="-0.55934224768769081"/>
  </r>
  <r>
    <x v="85"/>
    <x v="84"/>
    <n v="0"/>
    <n v="0"/>
    <n v="0"/>
    <n v="0"/>
    <m/>
    <n v="0"/>
    <n v="0"/>
    <n v="0"/>
    <n v="0"/>
    <x v="1"/>
    <n v="0"/>
    <m/>
  </r>
  <r>
    <x v="100"/>
    <x v="99"/>
    <n v="4"/>
    <n v="80.010000000000005"/>
    <n v="0"/>
    <n v="0"/>
    <n v="0"/>
    <n v="4"/>
    <n v="80.010000000000005"/>
    <n v="6"/>
    <n v="118.33"/>
    <x v="15"/>
    <n v="-38.319999999999993"/>
    <n v="-0.32384010817206116"/>
  </r>
  <r>
    <x v="116"/>
    <x v="115"/>
    <n v="45"/>
    <n v="281"/>
    <n v="0"/>
    <n v="0"/>
    <n v="0"/>
    <n v="45"/>
    <n v="281"/>
    <n v="19"/>
    <n v="116.56"/>
    <x v="51"/>
    <n v="164.44"/>
    <n v="1.4107755662319834"/>
  </r>
  <r>
    <x v="122"/>
    <x v="121"/>
    <n v="25"/>
    <n v="612.75"/>
    <n v="0"/>
    <n v="0"/>
    <n v="0"/>
    <n v="25"/>
    <n v="612.75"/>
    <n v="129"/>
    <n v="2653.39"/>
    <x v="205"/>
    <n v="-2040.6399999999999"/>
    <n v="-0.76906900229517705"/>
  </r>
  <r>
    <x v="6"/>
    <x v="6"/>
    <n v="0"/>
    <n v="0"/>
    <n v="0"/>
    <n v="0"/>
    <m/>
    <n v="0"/>
    <n v="0"/>
    <n v="0"/>
    <n v="0"/>
    <x v="1"/>
    <n v="0"/>
    <m/>
  </r>
  <r>
    <x v="28"/>
    <x v="28"/>
    <n v="0"/>
    <n v="0"/>
    <n v="0"/>
    <n v="0"/>
    <m/>
    <n v="0"/>
    <n v="0"/>
    <n v="0"/>
    <n v="0"/>
    <x v="1"/>
    <n v="0"/>
    <m/>
  </r>
  <r>
    <x v="33"/>
    <x v="33"/>
    <n v="0"/>
    <n v="0"/>
    <n v="0"/>
    <n v="0"/>
    <m/>
    <n v="0"/>
    <n v="0"/>
    <n v="0"/>
    <n v="0"/>
    <x v="1"/>
    <n v="0"/>
    <m/>
  </r>
  <r>
    <x v="93"/>
    <x v="92"/>
    <n v="16"/>
    <n v="167.52"/>
    <n v="0"/>
    <n v="0"/>
    <n v="0"/>
    <n v="16"/>
    <n v="167.52"/>
    <n v="66"/>
    <n v="712.38"/>
    <x v="254"/>
    <n v="-544.86"/>
    <n v="-0.76484460540722654"/>
  </r>
  <r>
    <x v="96"/>
    <x v="95"/>
    <n v="0"/>
    <n v="0"/>
    <n v="0"/>
    <n v="0"/>
    <m/>
    <n v="0"/>
    <n v="0"/>
    <n v="12"/>
    <n v="97.32"/>
    <x v="37"/>
    <n v="-97.32"/>
    <n v="-1"/>
  </r>
  <r>
    <x v="102"/>
    <x v="101"/>
    <n v="0"/>
    <n v="0"/>
    <n v="0"/>
    <n v="0"/>
    <m/>
    <n v="0"/>
    <n v="0"/>
    <n v="0"/>
    <n v="0"/>
    <x v="1"/>
    <n v="0"/>
    <m/>
  </r>
  <r>
    <x v="103"/>
    <x v="102"/>
    <n v="0"/>
    <n v="0"/>
    <n v="24"/>
    <n v="1908.0100000000009"/>
    <n v="1"/>
    <n v="24"/>
    <n v="1908.0100000000009"/>
    <n v="0"/>
    <n v="0"/>
    <x v="108"/>
    <n v="1908.0100000000009"/>
    <m/>
  </r>
  <r>
    <x v="120"/>
    <x v="119"/>
    <n v="51"/>
    <n v="665.8"/>
    <n v="0"/>
    <n v="0"/>
    <n v="0"/>
    <n v="51"/>
    <n v="665.8"/>
    <n v="14"/>
    <n v="220.36"/>
    <x v="255"/>
    <n v="445.43999999999994"/>
    <n v="2.0214194953712106"/>
  </r>
  <r>
    <x v="52"/>
    <x v="52"/>
    <n v="0"/>
    <n v="0"/>
    <n v="0"/>
    <n v="0"/>
    <m/>
    <n v="0"/>
    <n v="0"/>
    <n v="0"/>
    <n v="0"/>
    <x v="1"/>
    <n v="0"/>
    <m/>
  </r>
  <r>
    <x v="107"/>
    <x v="106"/>
    <n v="0"/>
    <n v="0"/>
    <n v="0"/>
    <n v="0"/>
    <m/>
    <n v="0"/>
    <n v="0"/>
    <n v="0"/>
    <n v="0"/>
    <x v="1"/>
    <n v="0"/>
    <m/>
  </r>
  <r>
    <x v="284"/>
    <x v="283"/>
    <n v="0"/>
    <n v="0"/>
    <n v="72"/>
    <n v="2152.8000000000029"/>
    <n v="1"/>
    <n v="72"/>
    <n v="2152.8000000000029"/>
    <n v="74"/>
    <n v="1574.07"/>
    <x v="15"/>
    <n v="578.73000000000297"/>
    <n v="0.36766471630867942"/>
  </r>
  <r>
    <x v="285"/>
    <x v="284"/>
    <n v="0"/>
    <n v="0"/>
    <n v="0"/>
    <n v="0"/>
    <m/>
    <n v="0"/>
    <n v="0"/>
    <n v="0"/>
    <n v="0"/>
    <x v="1"/>
    <n v="0"/>
    <m/>
  </r>
  <r>
    <x v="286"/>
    <x v="285"/>
    <n v="0"/>
    <n v="0"/>
    <n v="0"/>
    <n v="0"/>
    <m/>
    <n v="0"/>
    <n v="0"/>
    <n v="6"/>
    <n v="112.46"/>
    <x v="22"/>
    <n v="-112.46"/>
    <n v="-1"/>
  </r>
  <r>
    <x v="287"/>
    <x v="286"/>
    <n v="0"/>
    <n v="0"/>
    <n v="0"/>
    <n v="0"/>
    <m/>
    <n v="0"/>
    <n v="0"/>
    <n v="1"/>
    <n v="10.57"/>
    <x v="3"/>
    <n v="-10.57"/>
    <n v="-1"/>
  </r>
  <r>
    <x v="375"/>
    <x v="374"/>
    <n v="0"/>
    <n v="0"/>
    <n v="0"/>
    <n v="0"/>
    <m/>
    <n v="0"/>
    <n v="0"/>
    <n v="0"/>
    <n v="0"/>
    <x v="1"/>
    <n v="0"/>
    <m/>
  </r>
  <r>
    <x v="290"/>
    <x v="289"/>
    <n v="0"/>
    <n v="0"/>
    <n v="0"/>
    <n v="0"/>
    <m/>
    <n v="0"/>
    <n v="0"/>
    <n v="34"/>
    <n v="192.44"/>
    <x v="197"/>
    <n v="-192.44"/>
    <n v="-1"/>
  </r>
  <r>
    <x v="386"/>
    <x v="385"/>
    <n v="0"/>
    <n v="0"/>
    <n v="0"/>
    <n v="0"/>
    <m/>
    <n v="0"/>
    <n v="0"/>
    <n v="0"/>
    <n v="0"/>
    <x v="1"/>
    <n v="0"/>
    <m/>
  </r>
  <r>
    <x v="291"/>
    <x v="290"/>
    <n v="0"/>
    <n v="0"/>
    <n v="0"/>
    <n v="0"/>
    <m/>
    <n v="0"/>
    <n v="0"/>
    <n v="1"/>
    <n v="14.2"/>
    <x v="3"/>
    <n v="-14.2"/>
    <n v="-1"/>
  </r>
  <r>
    <x v="387"/>
    <x v="386"/>
    <n v="0"/>
    <n v="0"/>
    <n v="0"/>
    <n v="0"/>
    <m/>
    <n v="0"/>
    <n v="0"/>
    <n v="0"/>
    <n v="0"/>
    <x v="1"/>
    <n v="0"/>
    <m/>
  </r>
  <r>
    <x v="292"/>
    <x v="291"/>
    <n v="0"/>
    <n v="0"/>
    <n v="0"/>
    <n v="0"/>
    <m/>
    <n v="0"/>
    <n v="0"/>
    <n v="0"/>
    <n v="0"/>
    <x v="1"/>
    <n v="0"/>
    <m/>
  </r>
  <r>
    <x v="293"/>
    <x v="292"/>
    <n v="0"/>
    <n v="0"/>
    <n v="0"/>
    <n v="0"/>
    <m/>
    <n v="0"/>
    <n v="0"/>
    <n v="1"/>
    <n v="11.65"/>
    <x v="3"/>
    <n v="-11.65"/>
    <n v="-1"/>
  </r>
  <r>
    <x v="294"/>
    <x v="293"/>
    <n v="0"/>
    <n v="0"/>
    <n v="0"/>
    <n v="0"/>
    <m/>
    <n v="0"/>
    <n v="0"/>
    <n v="0"/>
    <n v="0"/>
    <x v="1"/>
    <n v="0"/>
    <m/>
  </r>
  <r>
    <x v="377"/>
    <x v="376"/>
    <n v="0"/>
    <n v="0"/>
    <n v="0"/>
    <n v="0"/>
    <m/>
    <n v="0"/>
    <n v="0"/>
    <n v="0"/>
    <n v="0"/>
    <x v="1"/>
    <n v="0"/>
    <m/>
  </r>
  <r>
    <x v="297"/>
    <x v="296"/>
    <n v="0"/>
    <n v="0"/>
    <n v="0"/>
    <n v="0"/>
    <m/>
    <n v="0"/>
    <n v="0"/>
    <n v="4"/>
    <n v="35.72"/>
    <x v="70"/>
    <n v="-35.72"/>
    <n v="-1"/>
  </r>
  <r>
    <x v="298"/>
    <x v="297"/>
    <n v="0"/>
    <n v="0"/>
    <n v="0"/>
    <n v="0"/>
    <m/>
    <n v="0"/>
    <n v="0"/>
    <n v="2"/>
    <n v="50.78"/>
    <x v="15"/>
    <n v="-50.78"/>
    <n v="-1"/>
  </r>
  <r>
    <x v="299"/>
    <x v="298"/>
    <n v="0"/>
    <n v="0"/>
    <n v="0"/>
    <n v="0"/>
    <m/>
    <n v="0"/>
    <n v="0"/>
    <n v="0"/>
    <n v="0"/>
    <x v="1"/>
    <n v="0"/>
    <m/>
  </r>
  <r>
    <x v="301"/>
    <x v="300"/>
    <n v="0"/>
    <n v="0"/>
    <n v="0"/>
    <n v="0"/>
    <m/>
    <n v="0"/>
    <n v="0"/>
    <n v="0"/>
    <n v="0"/>
    <x v="1"/>
    <n v="0"/>
    <m/>
  </r>
  <r>
    <x v="302"/>
    <x v="301"/>
    <n v="0"/>
    <n v="0"/>
    <n v="0"/>
    <n v="0"/>
    <m/>
    <n v="0"/>
    <n v="0"/>
    <n v="4"/>
    <n v="62.28"/>
    <x v="70"/>
    <n v="-62.28"/>
    <n v="-1"/>
  </r>
  <r>
    <x v="303"/>
    <x v="302"/>
    <n v="0"/>
    <n v="0"/>
    <n v="0"/>
    <n v="0"/>
    <m/>
    <n v="0"/>
    <n v="0"/>
    <n v="4"/>
    <n v="39.020000000000003"/>
    <x v="70"/>
    <n v="-39.020000000000003"/>
    <n v="-1"/>
  </r>
  <r>
    <x v="304"/>
    <x v="303"/>
    <n v="0"/>
    <n v="0"/>
    <n v="0"/>
    <n v="0"/>
    <m/>
    <n v="0"/>
    <n v="0"/>
    <n v="0"/>
    <n v="0"/>
    <x v="1"/>
    <n v="0"/>
    <m/>
  </r>
  <r>
    <x v="310"/>
    <x v="309"/>
    <n v="0"/>
    <n v="0"/>
    <n v="0"/>
    <n v="0"/>
    <m/>
    <n v="0"/>
    <n v="0"/>
    <n v="12"/>
    <n v="1182.82"/>
    <x v="37"/>
    <n v="-1182.82"/>
    <n v="-1"/>
  </r>
  <r>
    <x v="311"/>
    <x v="310"/>
    <n v="0"/>
    <n v="0"/>
    <n v="0"/>
    <n v="0"/>
    <m/>
    <n v="0"/>
    <n v="0"/>
    <n v="1"/>
    <n v="19.34"/>
    <x v="3"/>
    <n v="-19.34"/>
    <n v="-1"/>
  </r>
  <r>
    <x v="313"/>
    <x v="312"/>
    <n v="0"/>
    <n v="0"/>
    <n v="0"/>
    <n v="0"/>
    <m/>
    <n v="0"/>
    <n v="0"/>
    <n v="4"/>
    <n v="20.48"/>
    <x v="70"/>
    <n v="-20.48"/>
    <n v="-1"/>
  </r>
  <r>
    <x v="314"/>
    <x v="313"/>
    <n v="0"/>
    <n v="0"/>
    <n v="0"/>
    <n v="0"/>
    <m/>
    <n v="0"/>
    <n v="0"/>
    <n v="-2"/>
    <n v="-129.22"/>
    <x v="11"/>
    <n v="129.22"/>
    <n v="-1"/>
  </r>
  <r>
    <x v="315"/>
    <x v="314"/>
    <n v="0"/>
    <n v="0"/>
    <n v="0"/>
    <n v="0"/>
    <m/>
    <n v="0"/>
    <n v="0"/>
    <n v="-1"/>
    <n v="-8.11"/>
    <x v="10"/>
    <n v="8.11"/>
    <n v="-1"/>
  </r>
  <r>
    <x v="317"/>
    <x v="316"/>
    <n v="0"/>
    <n v="0"/>
    <n v="0"/>
    <n v="0"/>
    <m/>
    <n v="0"/>
    <n v="0"/>
    <n v="0"/>
    <n v="0"/>
    <x v="1"/>
    <n v="0"/>
    <m/>
  </r>
  <r>
    <x v="318"/>
    <x v="317"/>
    <n v="0"/>
    <n v="0"/>
    <n v="0"/>
    <n v="0"/>
    <m/>
    <n v="0"/>
    <n v="0"/>
    <n v="0"/>
    <n v="0"/>
    <x v="1"/>
    <n v="0"/>
    <m/>
  </r>
  <r>
    <x v="320"/>
    <x v="319"/>
    <n v="0"/>
    <n v="0"/>
    <n v="0"/>
    <n v="0"/>
    <m/>
    <n v="0"/>
    <n v="0"/>
    <n v="0"/>
    <n v="0"/>
    <x v="1"/>
    <n v="0"/>
    <m/>
  </r>
  <r>
    <x v="382"/>
    <x v="381"/>
    <n v="0"/>
    <n v="0"/>
    <n v="0"/>
    <n v="0"/>
    <m/>
    <n v="0"/>
    <n v="0"/>
    <n v="0"/>
    <n v="0"/>
    <x v="1"/>
    <n v="0"/>
    <m/>
  </r>
  <r>
    <x v="321"/>
    <x v="320"/>
    <n v="0"/>
    <n v="0"/>
    <n v="0"/>
    <n v="0"/>
    <m/>
    <n v="0"/>
    <n v="0"/>
    <n v="-1"/>
    <n v="-65.489999999999995"/>
    <x v="10"/>
    <n v="65.489999999999995"/>
    <n v="-1"/>
  </r>
  <r>
    <x v="323"/>
    <x v="322"/>
    <n v="0"/>
    <n v="0"/>
    <n v="0"/>
    <n v="0"/>
    <m/>
    <n v="0"/>
    <n v="0"/>
    <n v="0"/>
    <n v="0"/>
    <x v="1"/>
    <n v="0"/>
    <m/>
  </r>
  <r>
    <x v="324"/>
    <x v="323"/>
    <n v="0"/>
    <n v="0"/>
    <n v="0"/>
    <n v="0"/>
    <m/>
    <n v="0"/>
    <n v="0"/>
    <n v="0"/>
    <n v="0"/>
    <x v="1"/>
    <n v="0"/>
    <m/>
  </r>
  <r>
    <x v="326"/>
    <x v="325"/>
    <n v="0"/>
    <n v="0"/>
    <n v="0"/>
    <n v="0"/>
    <m/>
    <n v="0"/>
    <n v="0"/>
    <n v="3"/>
    <n v="58.77"/>
    <x v="44"/>
    <n v="-58.77"/>
    <n v="-1"/>
  </r>
  <r>
    <x v="327"/>
    <x v="326"/>
    <n v="0"/>
    <n v="0"/>
    <n v="0"/>
    <n v="0"/>
    <m/>
    <n v="0"/>
    <n v="0"/>
    <n v="0"/>
    <n v="0"/>
    <x v="1"/>
    <n v="0"/>
    <m/>
  </r>
  <r>
    <x v="328"/>
    <x v="327"/>
    <n v="0"/>
    <n v="0"/>
    <n v="0"/>
    <n v="0"/>
    <m/>
    <n v="0"/>
    <n v="0"/>
    <n v="4"/>
    <n v="64.92"/>
    <x v="70"/>
    <n v="-64.92"/>
    <n v="-1"/>
  </r>
  <r>
    <x v="388"/>
    <x v="387"/>
    <n v="0"/>
    <n v="0"/>
    <n v="0"/>
    <n v="0"/>
    <m/>
    <n v="0"/>
    <n v="0"/>
    <n v="0"/>
    <n v="0"/>
    <x v="1"/>
    <n v="0"/>
    <m/>
  </r>
  <r>
    <x v="332"/>
    <x v="331"/>
    <n v="0"/>
    <n v="0"/>
    <n v="0"/>
    <n v="0"/>
    <m/>
    <n v="0"/>
    <n v="0"/>
    <n v="4"/>
    <n v="37.200000000000003"/>
    <x v="70"/>
    <n v="-37.200000000000003"/>
    <n v="-1"/>
  </r>
  <r>
    <x v="333"/>
    <x v="332"/>
    <n v="0"/>
    <n v="0"/>
    <n v="0"/>
    <n v="0"/>
    <m/>
    <n v="0"/>
    <n v="0"/>
    <n v="0"/>
    <n v="0"/>
    <x v="1"/>
    <n v="0"/>
    <m/>
  </r>
  <r>
    <x v="336"/>
    <x v="335"/>
    <n v="0"/>
    <n v="0"/>
    <n v="0"/>
    <n v="0"/>
    <m/>
    <n v="0"/>
    <n v="0"/>
    <n v="0"/>
    <n v="0"/>
    <x v="1"/>
    <n v="0"/>
    <m/>
  </r>
  <r>
    <x v="383"/>
    <x v="382"/>
    <n v="0"/>
    <n v="0"/>
    <n v="0"/>
    <n v="0"/>
    <m/>
    <n v="0"/>
    <n v="0"/>
    <n v="0"/>
    <n v="0"/>
    <x v="1"/>
    <n v="0"/>
    <m/>
  </r>
  <r>
    <x v="389"/>
    <x v="388"/>
    <n v="0"/>
    <n v="0"/>
    <n v="0"/>
    <n v="0"/>
    <m/>
    <n v="0"/>
    <n v="0"/>
    <n v="0"/>
    <n v="0"/>
    <x v="1"/>
    <n v="0"/>
    <m/>
  </r>
  <r>
    <x v="337"/>
    <x v="336"/>
    <n v="0"/>
    <n v="0"/>
    <n v="0"/>
    <n v="0"/>
    <m/>
    <n v="0"/>
    <n v="0"/>
    <n v="0"/>
    <n v="0"/>
    <x v="1"/>
    <n v="0"/>
    <m/>
  </r>
  <r>
    <x v="338"/>
    <x v="337"/>
    <n v="0"/>
    <n v="0"/>
    <n v="0"/>
    <n v="0"/>
    <m/>
    <n v="0"/>
    <n v="0"/>
    <n v="0"/>
    <n v="0"/>
    <x v="1"/>
    <n v="0"/>
    <m/>
  </r>
  <r>
    <x v="339"/>
    <x v="338"/>
    <n v="0"/>
    <n v="0"/>
    <n v="0"/>
    <n v="0"/>
    <m/>
    <n v="0"/>
    <n v="0"/>
    <n v="-2"/>
    <n v="-32.619999999999997"/>
    <x v="11"/>
    <n v="32.619999999999997"/>
    <n v="-1"/>
  </r>
  <r>
    <x v="340"/>
    <x v="339"/>
    <n v="0"/>
    <n v="0"/>
    <n v="0"/>
    <n v="0"/>
    <m/>
    <n v="0"/>
    <n v="0"/>
    <n v="42"/>
    <n v="683.32"/>
    <x v="127"/>
    <n v="-683.32"/>
    <n v="-1"/>
  </r>
  <r>
    <x v="341"/>
    <x v="340"/>
    <n v="0"/>
    <n v="0"/>
    <n v="0"/>
    <n v="0"/>
    <m/>
    <n v="0"/>
    <n v="0"/>
    <n v="0"/>
    <n v="0"/>
    <x v="1"/>
    <n v="0"/>
    <m/>
  </r>
  <r>
    <x v="368"/>
    <x v="367"/>
    <n v="0"/>
    <n v="0"/>
    <n v="0"/>
    <n v="0"/>
    <m/>
    <n v="0"/>
    <n v="0"/>
    <n v="1"/>
    <n v="31.89"/>
    <x v="3"/>
    <n v="-31.89"/>
    <n v="-1"/>
  </r>
  <r>
    <x v="342"/>
    <x v="341"/>
    <n v="0"/>
    <n v="0"/>
    <n v="0"/>
    <n v="0"/>
    <m/>
    <n v="0"/>
    <n v="0"/>
    <n v="0"/>
    <n v="0"/>
    <x v="1"/>
    <n v="0"/>
    <m/>
  </r>
  <r>
    <x v="345"/>
    <x v="344"/>
    <n v="0"/>
    <n v="0"/>
    <n v="0"/>
    <n v="0"/>
    <m/>
    <n v="0"/>
    <n v="0"/>
    <n v="0"/>
    <n v="0"/>
    <x v="1"/>
    <n v="0"/>
    <m/>
  </r>
  <r>
    <x v="346"/>
    <x v="345"/>
    <n v="0"/>
    <n v="0"/>
    <n v="0"/>
    <n v="0"/>
    <m/>
    <n v="0"/>
    <n v="0"/>
    <n v="0"/>
    <n v="0"/>
    <x v="1"/>
    <n v="0"/>
    <m/>
  </r>
  <r>
    <x v="347"/>
    <x v="346"/>
    <n v="0"/>
    <n v="0"/>
    <n v="0"/>
    <n v="0"/>
    <m/>
    <n v="0"/>
    <n v="0"/>
    <n v="2"/>
    <n v="27.72"/>
    <x v="15"/>
    <n v="-27.72"/>
    <n v="-1"/>
  </r>
  <r>
    <x v="348"/>
    <x v="347"/>
    <n v="0"/>
    <n v="0"/>
    <n v="86"/>
    <n v="3431.4000000000051"/>
    <n v="1"/>
    <n v="86"/>
    <n v="3431.4000000000051"/>
    <n v="0"/>
    <n v="0"/>
    <x v="256"/>
    <n v="3431.4000000000051"/>
    <m/>
  </r>
  <r>
    <x v="349"/>
    <x v="348"/>
    <n v="0"/>
    <n v="0"/>
    <n v="0"/>
    <n v="0"/>
    <m/>
    <n v="0"/>
    <n v="0"/>
    <n v="1"/>
    <n v="8.11"/>
    <x v="3"/>
    <n v="-8.11"/>
    <n v="-1"/>
  </r>
  <r>
    <x v="354"/>
    <x v="353"/>
    <n v="0"/>
    <n v="0"/>
    <n v="0"/>
    <n v="0"/>
    <m/>
    <n v="0"/>
    <n v="0"/>
    <n v="3"/>
    <n v="366.39"/>
    <x v="44"/>
    <n v="-366.39"/>
    <n v="-1"/>
  </r>
  <r>
    <x v="355"/>
    <x v="354"/>
    <n v="0"/>
    <n v="0"/>
    <n v="0"/>
    <n v="0"/>
    <m/>
    <n v="0"/>
    <n v="0"/>
    <n v="0"/>
    <n v="0"/>
    <x v="1"/>
    <n v="0"/>
    <m/>
  </r>
  <r>
    <x v="357"/>
    <x v="356"/>
    <n v="0"/>
    <n v="0"/>
    <n v="0"/>
    <n v="0"/>
    <m/>
    <n v="0"/>
    <n v="0"/>
    <n v="105"/>
    <n v="422.1"/>
    <x v="257"/>
    <n v="-422.1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60A29-B8F2-4891-B786-327EB00AAC83}" name="Tabella pivot10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J390" firstHeaderRow="0" firstDataRow="1" firstDataCol="2"/>
  <pivotFields count="10">
    <pivotField axis="axisRow" compact="0" outline="0" showAll="0" defaultSubtotal="0">
      <items count="38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359"/>
        <item x="19"/>
        <item x="20"/>
        <item x="21"/>
        <item x="22"/>
        <item x="23"/>
        <item x="24"/>
        <item x="25"/>
        <item x="360"/>
        <item x="26"/>
        <item x="361"/>
        <item x="362"/>
        <item x="27"/>
        <item x="28"/>
        <item x="29"/>
        <item x="30"/>
        <item x="363"/>
        <item x="364"/>
        <item x="365"/>
        <item x="31"/>
        <item x="32"/>
        <item x="33"/>
        <item x="34"/>
        <item x="35"/>
        <item x="366"/>
        <item x="36"/>
        <item x="37"/>
        <item x="38"/>
        <item x="39"/>
        <item x="40"/>
        <item x="41"/>
        <item x="42"/>
        <item x="43"/>
        <item x="367"/>
        <item x="44"/>
        <item x="45"/>
        <item x="368"/>
        <item x="46"/>
        <item x="47"/>
        <item x="48"/>
        <item x="369"/>
        <item x="49"/>
        <item x="50"/>
        <item x="51"/>
        <item x="52"/>
        <item x="53"/>
        <item x="54"/>
        <item x="370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371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372"/>
        <item x="80"/>
        <item x="81"/>
        <item x="82"/>
        <item x="83"/>
        <item x="84"/>
        <item x="373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374"/>
        <item x="108"/>
        <item x="109"/>
        <item x="110"/>
        <item x="111"/>
        <item x="112"/>
        <item x="113"/>
        <item x="375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376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377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378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37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80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81"/>
        <item x="334"/>
        <item x="382"/>
        <item x="335"/>
        <item x="336"/>
        <item x="337"/>
        <item x="338"/>
        <item x="339"/>
        <item x="340"/>
        <item x="341"/>
        <item x="383"/>
        <item x="342"/>
        <item x="384"/>
        <item x="343"/>
        <item x="344"/>
        <item x="345"/>
        <item x="346"/>
        <item x="347"/>
        <item x="348"/>
        <item x="349"/>
        <item x="350"/>
        <item x="351"/>
        <item x="352"/>
        <item x="385"/>
        <item x="353"/>
        <item x="354"/>
        <item x="355"/>
        <item x="356"/>
        <item x="357"/>
        <item x="358"/>
        <item m="1" x="386"/>
        <item x="0"/>
      </items>
    </pivotField>
    <pivotField axis="axisRow" compact="0" outline="0" showAll="0" defaultSubtotal="0">
      <items count="385">
        <item x="153"/>
        <item x="192"/>
        <item x="11"/>
        <item x="123"/>
        <item x="10"/>
        <item x="14"/>
        <item x="15"/>
        <item x="58"/>
        <item x="99"/>
        <item x="191"/>
        <item x="149"/>
        <item x="366"/>
        <item x="130"/>
        <item x="111"/>
        <item x="171"/>
        <item x="56"/>
        <item x="112"/>
        <item x="129"/>
        <item x="167"/>
        <item x="150"/>
        <item x="71"/>
        <item x="79"/>
        <item x="36"/>
        <item x="128"/>
        <item x="360"/>
        <item x="27"/>
        <item x="3"/>
        <item x="87"/>
        <item x="88"/>
        <item x="147"/>
        <item x="148"/>
        <item x="368"/>
        <item x="50"/>
        <item x="89"/>
        <item x="57"/>
        <item x="18"/>
        <item x="24"/>
        <item x="68"/>
        <item x="359"/>
        <item x="9"/>
        <item x="21"/>
        <item x="19"/>
        <item x="1"/>
        <item x="365"/>
        <item x="358"/>
        <item x="4"/>
        <item x="13"/>
        <item x="23"/>
        <item x="22"/>
        <item x="2"/>
        <item x="59"/>
        <item x="101"/>
        <item x="165"/>
        <item x="133"/>
        <item x="48"/>
        <item x="100"/>
        <item x="60"/>
        <item x="105"/>
        <item x="375"/>
        <item x="160"/>
        <item x="90"/>
        <item x="110"/>
        <item x="145"/>
        <item x="213"/>
        <item x="45"/>
        <item x="53"/>
        <item x="55"/>
        <item x="369"/>
        <item x="6"/>
        <item x="66"/>
        <item x="17"/>
        <item x="54"/>
        <item x="61"/>
        <item x="7"/>
        <item x="29"/>
        <item x="26"/>
        <item x="62"/>
        <item x="44"/>
        <item x="16"/>
        <item x="20"/>
        <item x="25"/>
        <item x="33"/>
        <item x="34"/>
        <item x="46"/>
        <item x="35"/>
        <item x="63"/>
        <item x="64"/>
        <item x="70"/>
        <item x="69"/>
        <item x="361"/>
        <item x="28"/>
        <item x="39"/>
        <item x="294"/>
        <item x="95"/>
        <item x="85"/>
        <item x="134"/>
        <item x="186"/>
        <item x="371"/>
        <item x="82"/>
        <item x="372"/>
        <item x="127"/>
        <item x="152"/>
        <item x="157"/>
        <item x="84"/>
        <item x="72"/>
        <item x="86"/>
        <item x="126"/>
        <item x="181"/>
        <item x="98"/>
        <item x="74"/>
        <item x="75"/>
        <item x="151"/>
        <item x="189"/>
        <item x="103"/>
        <item x="170"/>
        <item x="139"/>
        <item x="102"/>
        <item x="164"/>
        <item x="91"/>
        <item x="125"/>
        <item x="159"/>
        <item x="163"/>
        <item x="93"/>
        <item x="104"/>
        <item x="131"/>
        <item x="166"/>
        <item x="115"/>
        <item x="143"/>
        <item x="114"/>
        <item x="140"/>
        <item x="169"/>
        <item x="118"/>
        <item x="161"/>
        <item x="108"/>
        <item x="77"/>
        <item x="374"/>
        <item x="156"/>
        <item x="136"/>
        <item x="137"/>
        <item x="141"/>
        <item x="142"/>
        <item x="81"/>
        <item x="182"/>
        <item x="144"/>
        <item x="179"/>
        <item x="226"/>
        <item x="121"/>
        <item x="370"/>
        <item x="67"/>
        <item x="113"/>
        <item x="94"/>
        <item x="117"/>
        <item x="124"/>
        <item x="122"/>
        <item x="76"/>
        <item x="80"/>
        <item x="119"/>
        <item x="120"/>
        <item x="78"/>
        <item x="116"/>
        <item x="168"/>
        <item x="174"/>
        <item x="176"/>
        <item x="175"/>
        <item x="177"/>
        <item x="225"/>
        <item x="325"/>
        <item x="331"/>
        <item x="304"/>
        <item x="318"/>
        <item x="238"/>
        <item x="260"/>
        <item x="347"/>
        <item x="223"/>
        <item x="224"/>
        <item x="324"/>
        <item x="327"/>
        <item x="346"/>
        <item x="198"/>
        <item x="345"/>
        <item x="262"/>
        <item x="326"/>
        <item x="297"/>
        <item x="83"/>
        <item x="138"/>
        <item x="291"/>
        <item x="12"/>
        <item x="5"/>
        <item x="38"/>
        <item x="37"/>
        <item x="40"/>
        <item x="132"/>
        <item x="41"/>
        <item x="42"/>
        <item x="162"/>
        <item x="146"/>
        <item x="263"/>
        <item x="356"/>
        <item x="316"/>
        <item x="199"/>
        <item x="273"/>
        <item x="305"/>
        <item x="320"/>
        <item x="211"/>
        <item x="314"/>
        <item x="322"/>
        <item x="298"/>
        <item x="212"/>
        <item x="278"/>
        <item x="329"/>
        <item x="210"/>
        <item x="228"/>
        <item x="290"/>
        <item x="248"/>
        <item x="355"/>
        <item x="323"/>
        <item x="343"/>
        <item x="270"/>
        <item x="202"/>
        <item x="242"/>
        <item x="357"/>
        <item x="232"/>
        <item x="200"/>
        <item x="293"/>
        <item x="344"/>
        <item x="261"/>
        <item x="279"/>
        <item x="292"/>
        <item x="258"/>
        <item x="259"/>
        <item x="308"/>
        <item x="235"/>
        <item x="383"/>
        <item x="203"/>
        <item x="377"/>
        <item x="303"/>
        <item x="209"/>
        <item x="275"/>
        <item x="236"/>
        <item x="277"/>
        <item x="276"/>
        <item x="306"/>
        <item x="269"/>
        <item x="240"/>
        <item x="302"/>
        <item x="227"/>
        <item x="265"/>
        <item x="207"/>
        <item x="271"/>
        <item x="237"/>
        <item x="289"/>
        <item x="312"/>
        <item x="206"/>
        <item x="283"/>
        <item x="205"/>
        <item x="215"/>
        <item x="221"/>
        <item x="214"/>
        <item x="274"/>
        <item x="266"/>
        <item x="301"/>
        <item x="300"/>
        <item x="337"/>
        <item x="338"/>
        <item x="339"/>
        <item x="353"/>
        <item x="352"/>
        <item x="354"/>
        <item x="310"/>
        <item x="309"/>
        <item x="247"/>
        <item x="319"/>
        <item x="351"/>
        <item x="384"/>
        <item x="220"/>
        <item x="229"/>
        <item x="230"/>
        <item x="231"/>
        <item x="267"/>
        <item x="379"/>
        <item x="349"/>
        <item x="317"/>
        <item x="348"/>
        <item x="284"/>
        <item x="350"/>
        <item x="285"/>
        <item x="286"/>
        <item x="321"/>
        <item x="219"/>
        <item x="288"/>
        <item x="378"/>
        <item x="243"/>
        <item x="255"/>
        <item x="204"/>
        <item x="257"/>
        <item x="281"/>
        <item x="295"/>
        <item x="217"/>
        <item x="218"/>
        <item x="216"/>
        <item x="256"/>
        <item x="311"/>
        <item x="268"/>
        <item x="187"/>
        <item x="193"/>
        <item x="196"/>
        <item x="381"/>
        <item x="245"/>
        <item x="335"/>
        <item x="336"/>
        <item x="380"/>
        <item x="197"/>
        <item x="184"/>
        <item x="376"/>
        <item x="296"/>
        <item x="190"/>
        <item x="178"/>
        <item x="183"/>
        <item x="341"/>
        <item x="253"/>
        <item x="340"/>
        <item x="332"/>
        <item x="333"/>
        <item x="382"/>
        <item x="244"/>
        <item x="194"/>
        <item x="195"/>
        <item x="252"/>
        <item x="254"/>
        <item x="334"/>
        <item x="251"/>
        <item x="342"/>
        <item x="208"/>
        <item x="280"/>
        <item x="287"/>
        <item x="233"/>
        <item x="282"/>
        <item x="299"/>
        <item x="234"/>
        <item x="246"/>
        <item x="307"/>
        <item x="313"/>
        <item x="328"/>
        <item x="239"/>
        <item x="249"/>
        <item x="241"/>
        <item x="264"/>
        <item x="250"/>
        <item x="30"/>
        <item x="362"/>
        <item x="363"/>
        <item x="31"/>
        <item x="32"/>
        <item x="49"/>
        <item x="47"/>
        <item x="51"/>
        <item x="52"/>
        <item x="315"/>
        <item x="364"/>
        <item x="330"/>
        <item x="43"/>
        <item x="272"/>
        <item x="188"/>
        <item x="185"/>
        <item x="180"/>
        <item x="222"/>
        <item x="155"/>
        <item x="106"/>
        <item x="107"/>
        <item x="158"/>
        <item x="73"/>
        <item x="373"/>
        <item x="172"/>
        <item x="8"/>
        <item x="154"/>
        <item x="109"/>
        <item x="367"/>
        <item x="65"/>
        <item x="96"/>
        <item x="97"/>
        <item x="135"/>
        <item x="92"/>
        <item x="173"/>
        <item x="201"/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387">
    <i>
      <x/>
      <x v="42"/>
    </i>
    <i>
      <x v="1"/>
      <x v="49"/>
    </i>
    <i>
      <x v="2"/>
      <x v="26"/>
    </i>
    <i>
      <x v="3"/>
      <x v="45"/>
    </i>
    <i>
      <x v="4"/>
      <x v="187"/>
    </i>
    <i>
      <x v="5"/>
      <x v="68"/>
    </i>
    <i>
      <x v="6"/>
      <x v="73"/>
    </i>
    <i>
      <x v="7"/>
      <x v="373"/>
    </i>
    <i>
      <x v="8"/>
      <x v="39"/>
    </i>
    <i>
      <x v="9"/>
      <x v="4"/>
    </i>
    <i>
      <x v="10"/>
      <x v="2"/>
    </i>
    <i>
      <x v="11"/>
      <x v="186"/>
    </i>
    <i>
      <x v="12"/>
      <x v="46"/>
    </i>
    <i>
      <x v="13"/>
      <x v="5"/>
    </i>
    <i>
      <x v="14"/>
      <x v="6"/>
    </i>
    <i>
      <x v="15"/>
      <x v="78"/>
    </i>
    <i>
      <x v="16"/>
      <x v="70"/>
    </i>
    <i>
      <x v="17"/>
      <x v="35"/>
    </i>
    <i>
      <x v="18"/>
      <x v="44"/>
    </i>
    <i>
      <x v="19"/>
      <x v="41"/>
    </i>
    <i>
      <x v="20"/>
      <x v="79"/>
    </i>
    <i>
      <x v="21"/>
      <x v="40"/>
    </i>
    <i>
      <x v="22"/>
      <x v="48"/>
    </i>
    <i>
      <x v="23"/>
      <x v="47"/>
    </i>
    <i>
      <x v="24"/>
      <x v="36"/>
    </i>
    <i>
      <x v="25"/>
      <x v="80"/>
    </i>
    <i>
      <x v="26"/>
      <x v="38"/>
    </i>
    <i>
      <x v="27"/>
      <x v="75"/>
    </i>
    <i>
      <x v="28"/>
      <x v="24"/>
    </i>
    <i>
      <x v="29"/>
      <x v="89"/>
    </i>
    <i>
      <x v="30"/>
      <x v="25"/>
    </i>
    <i>
      <x v="31"/>
      <x v="90"/>
    </i>
    <i>
      <x v="32"/>
      <x v="74"/>
    </i>
    <i>
      <x v="33"/>
      <x v="348"/>
    </i>
    <i>
      <x v="34"/>
      <x v="349"/>
    </i>
    <i>
      <x v="35"/>
      <x v="350"/>
    </i>
    <i>
      <x v="36"/>
      <x v="358"/>
    </i>
    <i>
      <x v="37"/>
      <x v="351"/>
    </i>
    <i>
      <x v="38"/>
      <x v="352"/>
    </i>
    <i>
      <x v="39"/>
      <x v="81"/>
    </i>
    <i>
      <x v="40"/>
      <x v="82"/>
    </i>
    <i>
      <x v="41"/>
      <x v="84"/>
    </i>
    <i>
      <x v="42"/>
      <x v="43"/>
    </i>
    <i>
      <x v="43"/>
      <x v="22"/>
    </i>
    <i>
      <x v="44"/>
      <x v="189"/>
    </i>
    <i>
      <x v="45"/>
      <x v="188"/>
    </i>
    <i>
      <x v="46"/>
      <x v="91"/>
    </i>
    <i>
      <x v="47"/>
      <x v="190"/>
    </i>
    <i>
      <x v="48"/>
      <x v="192"/>
    </i>
    <i>
      <x v="49"/>
      <x v="193"/>
    </i>
    <i>
      <x v="50"/>
      <x v="360"/>
    </i>
    <i>
      <x v="51"/>
      <x v="11"/>
    </i>
    <i>
      <x v="52"/>
      <x v="77"/>
    </i>
    <i>
      <x v="53"/>
      <x v="64"/>
    </i>
    <i>
      <x v="54"/>
      <x v="376"/>
    </i>
    <i>
      <x v="55"/>
      <x v="83"/>
    </i>
    <i>
      <x v="56"/>
      <x v="354"/>
    </i>
    <i>
      <x v="57"/>
      <x v="54"/>
    </i>
    <i>
      <x v="58"/>
      <x v="31"/>
    </i>
    <i>
      <x v="59"/>
      <x v="353"/>
    </i>
    <i>
      <x v="60"/>
      <x v="32"/>
    </i>
    <i>
      <x v="61"/>
      <x v="355"/>
    </i>
    <i>
      <x v="62"/>
      <x v="356"/>
    </i>
    <i>
      <x v="63"/>
      <x v="65"/>
    </i>
    <i>
      <x v="64"/>
      <x v="71"/>
    </i>
    <i>
      <x v="65"/>
      <x v="67"/>
    </i>
    <i>
      <x v="66"/>
      <x v="66"/>
    </i>
    <i>
      <x v="67"/>
      <x v="15"/>
    </i>
    <i>
      <x v="68"/>
      <x v="34"/>
    </i>
    <i>
      <x v="69"/>
      <x v="7"/>
    </i>
    <i>
      <x v="70"/>
      <x v="50"/>
    </i>
    <i>
      <x v="71"/>
      <x v="56"/>
    </i>
    <i>
      <x v="72"/>
      <x v="72"/>
    </i>
    <i>
      <x v="73"/>
      <x v="76"/>
    </i>
    <i>
      <x v="74"/>
      <x v="85"/>
    </i>
    <i>
      <x v="75"/>
      <x v="86"/>
    </i>
    <i>
      <x v="76"/>
      <x v="377"/>
    </i>
    <i>
      <x v="77"/>
      <x v="69"/>
    </i>
    <i>
      <x v="78"/>
      <x v="147"/>
    </i>
    <i>
      <x v="79"/>
      <x v="148"/>
    </i>
    <i>
      <x v="80"/>
      <x v="37"/>
    </i>
    <i>
      <x v="81"/>
      <x v="88"/>
    </i>
    <i>
      <x v="82"/>
      <x v="87"/>
    </i>
    <i>
      <x v="83"/>
      <x v="20"/>
    </i>
    <i>
      <x v="84"/>
      <x v="104"/>
    </i>
    <i>
      <x v="85"/>
      <x v="370"/>
    </i>
    <i>
      <x v="86"/>
      <x v="109"/>
    </i>
    <i>
      <x v="87"/>
      <x v="110"/>
    </i>
    <i>
      <x v="88"/>
      <x v="154"/>
    </i>
    <i>
      <x v="89"/>
      <x v="134"/>
    </i>
    <i>
      <x v="90"/>
      <x v="158"/>
    </i>
    <i>
      <x v="91"/>
      <x v="21"/>
    </i>
    <i>
      <x v="92"/>
      <x v="97"/>
    </i>
    <i>
      <x v="93"/>
      <x v="155"/>
    </i>
    <i>
      <x v="94"/>
      <x v="141"/>
    </i>
    <i>
      <x v="95"/>
      <x v="98"/>
    </i>
    <i>
      <x v="96"/>
      <x v="183"/>
    </i>
    <i>
      <x v="97"/>
      <x v="103"/>
    </i>
    <i>
      <x v="98"/>
      <x v="99"/>
    </i>
    <i>
      <x v="99"/>
      <x v="94"/>
    </i>
    <i>
      <x v="100"/>
      <x v="105"/>
    </i>
    <i>
      <x v="101"/>
      <x v="27"/>
    </i>
    <i>
      <x v="102"/>
      <x v="28"/>
    </i>
    <i>
      <x v="103"/>
      <x v="33"/>
    </i>
    <i>
      <x v="104"/>
      <x v="60"/>
    </i>
    <i>
      <x v="105"/>
      <x v="118"/>
    </i>
    <i>
      <x v="106"/>
      <x v="381"/>
    </i>
    <i>
      <x v="107"/>
      <x v="122"/>
    </i>
    <i>
      <x v="108"/>
      <x v="150"/>
    </i>
    <i>
      <x v="109"/>
      <x v="93"/>
    </i>
    <i>
      <x v="110"/>
      <x v="378"/>
    </i>
    <i>
      <x v="111"/>
      <x v="379"/>
    </i>
    <i>
      <x v="112"/>
      <x v="108"/>
    </i>
    <i>
      <x v="113"/>
      <x v="8"/>
    </i>
    <i>
      <x v="114"/>
      <x v="55"/>
    </i>
    <i>
      <x v="115"/>
      <x v="51"/>
    </i>
    <i>
      <x v="116"/>
      <x v="116"/>
    </i>
    <i>
      <x v="117"/>
      <x v="113"/>
    </i>
    <i>
      <x v="118"/>
      <x v="123"/>
    </i>
    <i>
      <x v="119"/>
      <x v="57"/>
    </i>
    <i>
      <x v="120"/>
      <x v="367"/>
    </i>
    <i>
      <x v="121"/>
      <x v="368"/>
    </i>
    <i>
      <x v="122"/>
      <x v="371"/>
    </i>
    <i>
      <x v="123"/>
      <x v="133"/>
    </i>
    <i>
      <x v="124"/>
      <x v="375"/>
    </i>
    <i>
      <x v="125"/>
      <x v="61"/>
    </i>
    <i>
      <x v="126"/>
      <x v="13"/>
    </i>
    <i>
      <x v="127"/>
      <x v="16"/>
    </i>
    <i>
      <x v="128"/>
      <x v="13"/>
    </i>
    <i>
      <x v="129"/>
      <x v="135"/>
    </i>
    <i>
      <x v="130"/>
      <x v="149"/>
    </i>
    <i>
      <x v="131"/>
      <x v="128"/>
    </i>
    <i>
      <x v="132"/>
      <x v="126"/>
    </i>
    <i>
      <x v="133"/>
      <x v="159"/>
    </i>
    <i>
      <x v="134"/>
      <x v="151"/>
    </i>
    <i>
      <x v="135"/>
      <x v="131"/>
    </i>
    <i>
      <x v="136"/>
      <x v="156"/>
    </i>
    <i>
      <x v="137"/>
      <x v="157"/>
    </i>
    <i>
      <x v="138"/>
      <x v="146"/>
    </i>
    <i>
      <x v="139"/>
      <x v="153"/>
    </i>
    <i>
      <x v="140"/>
      <x v="3"/>
    </i>
    <i>
      <x v="141"/>
      <x v="152"/>
    </i>
    <i>
      <x v="142"/>
      <x v="119"/>
    </i>
    <i>
      <x v="143"/>
      <x v="106"/>
    </i>
    <i>
      <x v="144"/>
      <x v="100"/>
    </i>
    <i>
      <x v="145"/>
      <x v="23"/>
    </i>
    <i>
      <x v="146"/>
      <x v="17"/>
    </i>
    <i>
      <x v="147"/>
      <x v="12"/>
    </i>
    <i>
      <x v="148"/>
      <x v="124"/>
    </i>
    <i>
      <x v="149"/>
      <x v="191"/>
    </i>
    <i>
      <x v="150"/>
      <x v="53"/>
    </i>
    <i>
      <x v="151"/>
      <x v="95"/>
    </i>
    <i>
      <x v="152"/>
      <x v="380"/>
    </i>
    <i>
      <x v="153"/>
      <x v="137"/>
    </i>
    <i>
      <x v="154"/>
      <x v="138"/>
    </i>
    <i>
      <x v="155"/>
      <x v="184"/>
    </i>
    <i>
      <x v="156"/>
      <x v="115"/>
    </i>
    <i>
      <x v="157"/>
      <x v="129"/>
    </i>
    <i>
      <x v="158"/>
      <x v="139"/>
    </i>
    <i>
      <x v="159"/>
      <x v="140"/>
    </i>
    <i>
      <x v="160"/>
      <x v="127"/>
    </i>
    <i>
      <x v="161"/>
      <x v="143"/>
    </i>
    <i>
      <x v="162"/>
      <x v="62"/>
    </i>
    <i>
      <x v="163"/>
      <x v="195"/>
    </i>
    <i>
      <x v="164"/>
      <x v="29"/>
    </i>
    <i>
      <x v="165"/>
      <x v="30"/>
    </i>
    <i>
      <x v="166"/>
      <x v="10"/>
    </i>
    <i>
      <x v="167"/>
      <x v="19"/>
    </i>
    <i>
      <x v="168"/>
      <x v="111"/>
    </i>
    <i>
      <x v="169"/>
      <x v="101"/>
    </i>
    <i>
      <x v="170"/>
      <x/>
    </i>
    <i>
      <x v="171"/>
      <x v="374"/>
    </i>
    <i>
      <x v="172"/>
      <x v="366"/>
    </i>
    <i>
      <x v="173"/>
      <x v="136"/>
    </i>
    <i>
      <x v="174"/>
      <x v="102"/>
    </i>
    <i>
      <x v="175"/>
      <x v="369"/>
    </i>
    <i>
      <x v="176"/>
      <x v="58"/>
    </i>
    <i>
      <x v="177"/>
      <x v="120"/>
    </i>
    <i>
      <x v="178"/>
      <x v="59"/>
    </i>
    <i>
      <x v="179"/>
      <x v="132"/>
    </i>
    <i>
      <x v="180"/>
      <x v="194"/>
    </i>
    <i>
      <x v="181"/>
      <x v="121"/>
    </i>
    <i>
      <x v="182"/>
      <x v="117"/>
    </i>
    <i>
      <x v="183"/>
      <x v="52"/>
    </i>
    <i>
      <x v="184"/>
      <x v="125"/>
    </i>
    <i>
      <x v="185"/>
      <x v="18"/>
    </i>
    <i>
      <x v="186"/>
      <x v="160"/>
    </i>
    <i>
      <x v="187"/>
      <x v="130"/>
    </i>
    <i>
      <x v="188"/>
      <x v="114"/>
    </i>
    <i>
      <x v="189"/>
      <x v="14"/>
    </i>
    <i>
      <x v="190"/>
      <x v="372"/>
    </i>
    <i>
      <x v="191"/>
      <x v="382"/>
    </i>
    <i>
      <x v="192"/>
      <x v="161"/>
    </i>
    <i>
      <x v="193"/>
      <x v="163"/>
    </i>
    <i>
      <x v="194"/>
      <x v="162"/>
    </i>
    <i>
      <x v="195"/>
      <x v="164"/>
    </i>
    <i>
      <x v="196"/>
      <x v="316"/>
    </i>
    <i>
      <x v="197"/>
      <x v="144"/>
    </i>
    <i>
      <x v="198"/>
      <x v="364"/>
    </i>
    <i>
      <x v="199"/>
      <x v="107"/>
    </i>
    <i>
      <x v="200"/>
      <x v="142"/>
    </i>
    <i>
      <x v="201"/>
      <x v="317"/>
    </i>
    <i>
      <x v="202"/>
      <x v="312"/>
    </i>
    <i>
      <x v="203"/>
      <x v="363"/>
    </i>
    <i>
      <x v="204"/>
      <x v="96"/>
    </i>
    <i>
      <x v="205"/>
      <x v="303"/>
    </i>
    <i>
      <x v="206"/>
      <x v="362"/>
    </i>
    <i>
      <x v="207"/>
      <x v="112"/>
    </i>
    <i>
      <x v="208"/>
      <x v="315"/>
    </i>
    <i>
      <x v="209"/>
      <x v="9"/>
    </i>
    <i>
      <x v="210"/>
      <x v="1"/>
    </i>
    <i>
      <x v="211"/>
      <x v="313"/>
    </i>
    <i>
      <x v="212"/>
      <x v="304"/>
    </i>
    <i>
      <x v="213"/>
      <x v="325"/>
    </i>
    <i>
      <x v="214"/>
      <x v="326"/>
    </i>
    <i>
      <x v="215"/>
      <x v="305"/>
    </i>
    <i>
      <x v="216"/>
      <x v="311"/>
    </i>
    <i>
      <x v="217"/>
      <x v="178"/>
    </i>
    <i>
      <x v="218"/>
      <x v="199"/>
    </i>
    <i>
      <x v="219"/>
      <x v="222"/>
    </i>
    <i>
      <x v="220"/>
      <x v="383"/>
    </i>
    <i>
      <x v="221"/>
      <x v="218"/>
    </i>
    <i>
      <x v="222"/>
      <x v="233"/>
    </i>
    <i>
      <x v="223"/>
      <x v="293"/>
    </i>
    <i>
      <x v="224"/>
      <x v="254"/>
    </i>
    <i>
      <x v="225"/>
      <x v="252"/>
    </i>
    <i>
      <x v="226"/>
      <x v="247"/>
    </i>
    <i>
      <x v="227"/>
      <x v="332"/>
    </i>
    <i>
      <x v="228"/>
      <x v="236"/>
    </i>
    <i>
      <x v="229"/>
      <x v="210"/>
    </i>
    <i>
      <x v="230"/>
      <x v="203"/>
    </i>
    <i>
      <x v="231"/>
      <x v="207"/>
    </i>
    <i>
      <x v="232"/>
      <x v="63"/>
    </i>
    <i>
      <x v="233"/>
      <x v="257"/>
    </i>
    <i>
      <x v="234"/>
      <x v="255"/>
    </i>
    <i>
      <x v="235"/>
      <x v="299"/>
    </i>
    <i>
      <x v="236"/>
      <x v="297"/>
    </i>
    <i>
      <x v="237"/>
      <x v="298"/>
    </i>
    <i>
      <x v="238"/>
      <x v="288"/>
    </i>
    <i>
      <x v="239"/>
      <x v="274"/>
    </i>
    <i>
      <x v="240"/>
      <x v="256"/>
    </i>
    <i>
      <x v="241"/>
      <x v="365"/>
    </i>
    <i>
      <x v="242"/>
      <x v="173"/>
    </i>
    <i>
      <x v="243"/>
      <x v="174"/>
    </i>
    <i>
      <x v="244"/>
      <x v="165"/>
    </i>
    <i>
      <x v="245"/>
      <x v="145"/>
    </i>
    <i>
      <x v="246"/>
      <x v="245"/>
    </i>
    <i>
      <x v="247"/>
      <x v="211"/>
    </i>
    <i>
      <x v="248"/>
      <x v="275"/>
    </i>
    <i>
      <x v="249"/>
      <x v="276"/>
    </i>
    <i>
      <x v="250"/>
      <x v="277"/>
    </i>
    <i>
      <x v="251"/>
      <x v="221"/>
    </i>
    <i>
      <x v="252"/>
      <x v="335"/>
    </i>
    <i>
      <x v="253"/>
      <x v="338"/>
    </i>
    <i>
      <x v="254"/>
      <x v="231"/>
    </i>
    <i>
      <x v="255"/>
      <x v="238"/>
    </i>
    <i>
      <x v="256"/>
      <x v="249"/>
    </i>
    <i>
      <x v="257"/>
      <x v="170"/>
    </i>
    <i>
      <x v="258"/>
      <x v="343"/>
    </i>
    <i>
      <x v="259"/>
      <x v="243"/>
    </i>
    <i>
      <x v="260"/>
      <x v="345"/>
    </i>
    <i>
      <x v="261"/>
      <x v="219"/>
    </i>
    <i>
      <x v="262"/>
      <x v="291"/>
    </i>
    <i>
      <x v="263"/>
      <x v="324"/>
    </i>
    <i>
      <x v="264"/>
      <x v="307"/>
    </i>
    <i>
      <x v="265"/>
      <x v="339"/>
    </i>
    <i>
      <x v="266"/>
      <x v="270"/>
    </i>
    <i>
      <x v="267"/>
      <x v="213"/>
    </i>
    <i>
      <x v="268"/>
      <x v="344"/>
    </i>
    <i>
      <x v="269"/>
      <x v="347"/>
    </i>
    <i>
      <x v="270"/>
      <x v="330"/>
    </i>
    <i>
      <x v="271"/>
      <x v="327"/>
    </i>
    <i>
      <x v="272"/>
      <x v="319"/>
    </i>
    <i>
      <x v="273"/>
      <x v="328"/>
    </i>
    <i>
      <x v="274"/>
      <x v="292"/>
    </i>
    <i>
      <x v="275"/>
      <x v="300"/>
    </i>
    <i>
      <x v="276"/>
      <x v="234"/>
    </i>
    <i>
      <x v="277"/>
      <x v="294"/>
    </i>
    <i>
      <x v="278"/>
      <x v="228"/>
    </i>
    <i>
      <x v="279"/>
      <x v="229"/>
    </i>
    <i>
      <x v="280"/>
      <x v="171"/>
    </i>
    <i>
      <x v="281"/>
      <x v="225"/>
    </i>
    <i>
      <x v="282"/>
      <x v="180"/>
    </i>
    <i>
      <x v="283"/>
      <x v="196"/>
    </i>
    <i>
      <x v="284"/>
      <x v="346"/>
    </i>
    <i>
      <x v="285"/>
      <x v="246"/>
    </i>
    <i>
      <x v="286"/>
      <x v="259"/>
    </i>
    <i>
      <x v="287"/>
      <x v="278"/>
    </i>
    <i>
      <x v="288"/>
      <x v="302"/>
    </i>
    <i>
      <x v="289"/>
      <x v="242"/>
    </i>
    <i>
      <x v="290"/>
      <x v="217"/>
    </i>
    <i>
      <x v="291"/>
      <x v="248"/>
    </i>
    <i>
      <x v="292"/>
      <x v="361"/>
    </i>
    <i>
      <x v="293"/>
      <x v="200"/>
    </i>
    <i>
      <x v="294"/>
      <x v="258"/>
    </i>
    <i>
      <x v="295"/>
      <x v="237"/>
    </i>
    <i>
      <x v="296"/>
      <x v="240"/>
    </i>
    <i>
      <x v="297"/>
      <x v="239"/>
    </i>
    <i>
      <x v="298"/>
      <x v="208"/>
    </i>
    <i>
      <x v="299"/>
      <x v="226"/>
    </i>
    <i>
      <x v="300"/>
      <x v="333"/>
    </i>
    <i>
      <x v="301"/>
      <x v="295"/>
    </i>
    <i>
      <x v="302"/>
      <x v="336"/>
    </i>
    <i>
      <x v="303"/>
      <x v="253"/>
    </i>
    <i>
      <x v="304"/>
      <x v="283"/>
    </i>
    <i>
      <x v="305"/>
      <x v="285"/>
    </i>
    <i>
      <x v="306"/>
      <x v="286"/>
    </i>
    <i>
      <x v="307"/>
      <x v="334"/>
    </i>
    <i>
      <x v="308"/>
      <x v="289"/>
    </i>
    <i>
      <x v="309"/>
      <x v="290"/>
    </i>
    <i>
      <x v="310"/>
      <x v="250"/>
    </i>
    <i>
      <x v="311"/>
      <x v="212"/>
    </i>
    <i>
      <x v="312"/>
      <x v="185"/>
    </i>
    <i>
      <x v="313"/>
      <x v="227"/>
    </i>
    <i>
      <x v="314"/>
      <x v="223"/>
    </i>
    <i>
      <x v="315"/>
      <x v="92"/>
    </i>
    <i>
      <x v="316"/>
      <x v="296"/>
    </i>
    <i>
      <x v="317"/>
      <x v="314"/>
    </i>
    <i>
      <x v="318"/>
      <x v="182"/>
    </i>
    <i>
      <x v="319"/>
      <x v="206"/>
    </i>
    <i>
      <x v="320"/>
      <x v="337"/>
    </i>
    <i>
      <x v="321"/>
      <x v="261"/>
    </i>
    <i>
      <x v="322"/>
      <x v="260"/>
    </i>
    <i>
      <x v="323"/>
      <x v="244"/>
    </i>
    <i>
      <x v="324"/>
      <x v="235"/>
    </i>
    <i>
      <x v="325"/>
      <x v="168"/>
    </i>
    <i>
      <x v="326"/>
      <x v="201"/>
    </i>
    <i>
      <x v="327"/>
      <x v="241"/>
    </i>
    <i>
      <x v="328"/>
      <x v="340"/>
    </i>
    <i>
      <x v="329"/>
      <x v="230"/>
    </i>
    <i>
      <x v="330"/>
      <x v="269"/>
    </i>
    <i>
      <x v="331"/>
      <x v="268"/>
    </i>
    <i>
      <x v="332"/>
      <x v="301"/>
    </i>
    <i>
      <x v="333"/>
      <x v="251"/>
    </i>
    <i>
      <x v="334"/>
      <x v="341"/>
    </i>
    <i>
      <x v="335"/>
      <x v="204"/>
    </i>
    <i>
      <x v="336"/>
      <x v="357"/>
    </i>
    <i>
      <x v="337"/>
      <x v="198"/>
    </i>
    <i>
      <x v="338"/>
      <x v="281"/>
    </i>
    <i>
      <x v="339"/>
      <x v="169"/>
    </i>
    <i>
      <x v="340"/>
      <x v="271"/>
    </i>
    <i>
      <x v="341"/>
      <x v="202"/>
    </i>
    <i>
      <x v="342"/>
      <x v="279"/>
    </i>
    <i>
      <x v="343"/>
      <x v="287"/>
    </i>
    <i>
      <x v="344"/>
      <x v="205"/>
    </i>
    <i>
      <x v="345"/>
      <x v="215"/>
    </i>
    <i>
      <x v="346"/>
      <x v="175"/>
    </i>
    <i>
      <x v="347"/>
      <x v="166"/>
    </i>
    <i>
      <x v="348"/>
      <x v="181"/>
    </i>
    <i>
      <x v="349"/>
      <x v="176"/>
    </i>
    <i>
      <x v="350"/>
      <x v="342"/>
    </i>
    <i>
      <x v="351"/>
      <x v="209"/>
    </i>
    <i>
      <x v="352"/>
      <x v="359"/>
    </i>
    <i>
      <x v="353"/>
      <x v="167"/>
    </i>
    <i>
      <x v="354"/>
      <x v="321"/>
    </i>
    <i>
      <x v="355"/>
      <x v="310"/>
    </i>
    <i>
      <x v="356"/>
      <x v="322"/>
    </i>
    <i>
      <x v="357"/>
      <x v="306"/>
    </i>
    <i>
      <x v="358"/>
      <x v="329"/>
    </i>
    <i>
      <x v="359"/>
      <x v="308"/>
    </i>
    <i>
      <x v="360"/>
      <x v="309"/>
    </i>
    <i>
      <x v="361"/>
      <x v="262"/>
    </i>
    <i>
      <x v="362"/>
      <x v="263"/>
    </i>
    <i>
      <x v="363"/>
      <x v="264"/>
    </i>
    <i>
      <x v="364"/>
      <x v="320"/>
    </i>
    <i>
      <x v="365"/>
      <x v="323"/>
    </i>
    <i>
      <x v="366"/>
      <x v="318"/>
    </i>
    <i>
      <x v="367"/>
      <x v="232"/>
    </i>
    <i>
      <x v="368"/>
      <x v="331"/>
    </i>
    <i>
      <x v="369"/>
      <x v="216"/>
    </i>
    <i>
      <x v="370"/>
      <x v="224"/>
    </i>
    <i>
      <x v="371"/>
      <x v="179"/>
    </i>
    <i>
      <x v="372"/>
      <x v="177"/>
    </i>
    <i>
      <x v="373"/>
      <x v="172"/>
    </i>
    <i>
      <x v="374"/>
      <x v="282"/>
    </i>
    <i>
      <x v="375"/>
      <x v="280"/>
    </i>
    <i>
      <x v="376"/>
      <x v="284"/>
    </i>
    <i>
      <x v="377"/>
      <x v="272"/>
    </i>
    <i>
      <x v="378"/>
      <x v="273"/>
    </i>
    <i>
      <x v="379"/>
      <x v="266"/>
    </i>
    <i>
      <x v="380"/>
      <x v="265"/>
    </i>
    <i>
      <x v="381"/>
      <x v="267"/>
    </i>
    <i>
      <x v="382"/>
      <x v="214"/>
    </i>
    <i>
      <x v="383"/>
      <x v="197"/>
    </i>
    <i>
      <x v="384"/>
      <x v="220"/>
    </i>
    <i>
      <x v="386"/>
      <x v="38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omma di Somma di Ordini Vendor 24" fld="2" baseField="0" baseItem="0"/>
    <dataField name="Somma di Somma di Valori ordini Vendor 24" fld="3" baseField="0" baseItem="0"/>
    <dataField name="Somma di Somma di Ordini Seller" fld="4" baseField="0" baseItem="0"/>
    <dataField name="Somma di Somma di Valori ordini Seller" fld="5" baseField="0" baseItem="0"/>
    <dataField name="Somma di Somma di Ordini Complessivi" fld="6" baseField="0" baseItem="0"/>
    <dataField name="Somma di Somma di Valori ordini Complessivi" fld="7" baseField="0" baseItem="0"/>
    <dataField name="Somma di Somma di Ordini Vendor 23" fld="8" baseField="0" baseItem="0"/>
    <dataField name="Somma di Somma di Valori ordini Vendor 23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7AF61-12A8-4135-AEF0-22B1343D3114}" name="Tabella pivot12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>
  <location ref="A3:N394" firstHeaderRow="0" firstDataRow="1" firstDataCol="2"/>
  <pivotFields count="14">
    <pivotField axis="axisRow" compact="0" outline="0" showAll="0" defaultSubtotal="0">
      <items count="390">
        <item x="0"/>
        <item x="1"/>
        <item x="2"/>
        <item x="281"/>
        <item x="3"/>
        <item x="4"/>
        <item x="282"/>
        <item x="283"/>
        <item x="284"/>
        <item x="285"/>
        <item x="5"/>
        <item x="6"/>
        <item x="286"/>
        <item x="7"/>
        <item x="8"/>
        <item x="9"/>
        <item x="10"/>
        <item x="287"/>
        <item x="375"/>
        <item x="288"/>
        <item x="289"/>
        <item x="290"/>
        <item x="386"/>
        <item x="11"/>
        <item x="291"/>
        <item x="387"/>
        <item x="12"/>
        <item x="13"/>
        <item x="359"/>
        <item x="292"/>
        <item x="360"/>
        <item x="376"/>
        <item x="293"/>
        <item x="14"/>
        <item x="294"/>
        <item x="15"/>
        <item x="377"/>
        <item x="361"/>
        <item x="362"/>
        <item x="16"/>
        <item x="17"/>
        <item x="18"/>
        <item x="19"/>
        <item x="20"/>
        <item x="363"/>
        <item x="295"/>
        <item x="21"/>
        <item x="296"/>
        <item x="22"/>
        <item x="23"/>
        <item x="297"/>
        <item x="24"/>
        <item x="298"/>
        <item x="364"/>
        <item x="25"/>
        <item x="26"/>
        <item x="365"/>
        <item x="299"/>
        <item x="300"/>
        <item x="27"/>
        <item x="378"/>
        <item x="28"/>
        <item x="301"/>
        <item x="302"/>
        <item x="303"/>
        <item x="304"/>
        <item x="305"/>
        <item x="366"/>
        <item x="29"/>
        <item x="30"/>
        <item x="31"/>
        <item x="32"/>
        <item x="33"/>
        <item x="306"/>
        <item x="34"/>
        <item x="35"/>
        <item x="36"/>
        <item x="37"/>
        <item x="38"/>
        <item x="307"/>
        <item x="379"/>
        <item x="308"/>
        <item x="309"/>
        <item x="310"/>
        <item x="39"/>
        <item x="40"/>
        <item x="41"/>
        <item x="42"/>
        <item x="43"/>
        <item x="44"/>
        <item x="45"/>
        <item x="311"/>
        <item x="46"/>
        <item x="47"/>
        <item x="367"/>
        <item x="48"/>
        <item x="49"/>
        <item x="50"/>
        <item x="51"/>
        <item x="52"/>
        <item x="380"/>
        <item x="312"/>
        <item x="53"/>
        <item x="54"/>
        <item x="313"/>
        <item x="55"/>
        <item x="56"/>
        <item x="314"/>
        <item x="57"/>
        <item x="58"/>
        <item x="59"/>
        <item x="60"/>
        <item x="61"/>
        <item x="315"/>
        <item x="316"/>
        <item x="62"/>
        <item x="63"/>
        <item x="64"/>
        <item x="65"/>
        <item x="66"/>
        <item x="67"/>
        <item x="317"/>
        <item x="68"/>
        <item x="318"/>
        <item x="381"/>
        <item x="69"/>
        <item x="319"/>
        <item x="320"/>
        <item x="70"/>
        <item x="71"/>
        <item x="72"/>
        <item x="382"/>
        <item x="73"/>
        <item x="74"/>
        <item x="75"/>
        <item x="76"/>
        <item x="321"/>
        <item x="322"/>
        <item x="323"/>
        <item x="77"/>
        <item x="78"/>
        <item x="324"/>
        <item x="79"/>
        <item x="80"/>
        <item x="81"/>
        <item x="82"/>
        <item x="325"/>
        <item x="83"/>
        <item x="326"/>
        <item x="84"/>
        <item x="85"/>
        <item x="327"/>
        <item x="86"/>
        <item x="328"/>
        <item x="87"/>
        <item x="388"/>
        <item x="88"/>
        <item x="329"/>
        <item x="330"/>
        <item x="331"/>
        <item x="89"/>
        <item x="90"/>
        <item x="91"/>
        <item x="92"/>
        <item x="93"/>
        <item x="94"/>
        <item x="95"/>
        <item x="332"/>
        <item x="333"/>
        <item x="96"/>
        <item x="97"/>
        <item x="334"/>
        <item x="98"/>
        <item x="335"/>
        <item x="99"/>
        <item x="336"/>
        <item x="100"/>
        <item x="101"/>
        <item x="102"/>
        <item x="383"/>
        <item x="103"/>
        <item x="104"/>
        <item x="105"/>
        <item x="106"/>
        <item x="107"/>
        <item x="108"/>
        <item x="389"/>
        <item x="109"/>
        <item x="337"/>
        <item x="110"/>
        <item x="338"/>
        <item x="111"/>
        <item x="112"/>
        <item x="113"/>
        <item x="339"/>
        <item x="114"/>
        <item x="115"/>
        <item x="116"/>
        <item x="117"/>
        <item x="118"/>
        <item x="119"/>
        <item x="120"/>
        <item x="121"/>
        <item x="340"/>
        <item x="122"/>
        <item x="123"/>
        <item x="124"/>
        <item x="125"/>
        <item x="126"/>
        <item x="127"/>
        <item x="128"/>
        <item x="341"/>
        <item x="129"/>
        <item x="130"/>
        <item x="131"/>
        <item x="368"/>
        <item x="132"/>
        <item x="342"/>
        <item x="133"/>
        <item x="134"/>
        <item x="343"/>
        <item x="135"/>
        <item x="136"/>
        <item x="344"/>
        <item x="345"/>
        <item x="137"/>
        <item x="138"/>
        <item x="346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347"/>
        <item x="348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349"/>
        <item x="187"/>
        <item x="384"/>
        <item x="188"/>
        <item x="189"/>
        <item x="190"/>
        <item x="191"/>
        <item x="35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351"/>
        <item x="204"/>
        <item x="205"/>
        <item x="206"/>
        <item x="207"/>
        <item x="208"/>
        <item x="209"/>
        <item x="210"/>
        <item x="352"/>
        <item x="211"/>
        <item x="212"/>
        <item x="213"/>
        <item x="353"/>
        <item x="214"/>
        <item x="215"/>
        <item x="385"/>
        <item x="216"/>
        <item x="354"/>
        <item x="35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356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369"/>
        <item x="245"/>
        <item x="246"/>
        <item x="247"/>
        <item x="248"/>
        <item x="249"/>
        <item x="250"/>
        <item x="251"/>
        <item x="252"/>
        <item x="253"/>
        <item x="357"/>
        <item x="254"/>
        <item x="255"/>
        <item x="370"/>
        <item x="256"/>
        <item x="371"/>
        <item x="257"/>
        <item x="258"/>
        <item x="259"/>
        <item x="260"/>
        <item x="261"/>
        <item x="262"/>
        <item x="263"/>
        <item x="372"/>
        <item x="264"/>
        <item x="373"/>
        <item x="265"/>
        <item x="266"/>
        <item x="267"/>
        <item x="268"/>
        <item x="269"/>
        <item x="270"/>
        <item x="271"/>
        <item x="272"/>
        <item x="273"/>
        <item x="274"/>
        <item x="374"/>
        <item x="275"/>
        <item x="276"/>
        <item x="277"/>
        <item x="278"/>
        <item x="279"/>
        <item x="280"/>
        <item x="358"/>
      </items>
    </pivotField>
    <pivotField axis="axisRow" compact="0" outline="0" showAll="0" defaultSubtotal="0">
      <items count="389">
        <item x="334"/>
        <item x="130"/>
        <item x="5"/>
        <item x="78"/>
        <item x="284"/>
        <item x="7"/>
        <item x="8"/>
        <item x="32"/>
        <item x="62"/>
        <item x="129"/>
        <item x="95"/>
        <item x="363"/>
        <item x="83"/>
        <item x="70"/>
        <item x="112"/>
        <item x="30"/>
        <item x="71"/>
        <item x="325"/>
        <item x="109"/>
        <item x="96"/>
        <item x="40"/>
        <item x="47"/>
        <item x="294"/>
        <item x="82"/>
        <item x="359"/>
        <item x="292"/>
        <item x="2"/>
        <item x="54"/>
        <item x="386"/>
        <item x="312"/>
        <item x="331"/>
        <item x="332"/>
        <item x="377"/>
        <item x="300"/>
        <item x="55"/>
        <item x="31"/>
        <item x="286"/>
        <item x="12"/>
        <item x="308"/>
        <item x="358"/>
        <item x="283"/>
        <item x="289"/>
        <item x="287"/>
        <item x="0"/>
        <item x="362"/>
        <item x="374"/>
        <item x="280"/>
        <item x="285"/>
        <item x="290"/>
        <item x="11"/>
        <item x="1"/>
        <item x="33"/>
        <item x="64"/>
        <item x="108"/>
        <item x="85"/>
        <item x="27"/>
        <item x="63"/>
        <item x="305"/>
        <item x="316"/>
        <item x="382"/>
        <item x="103"/>
        <item x="56"/>
        <item x="319"/>
        <item x="93"/>
        <item x="146"/>
        <item x="26"/>
        <item x="303"/>
        <item x="29"/>
        <item x="365"/>
        <item x="4"/>
        <item x="306"/>
        <item x="10"/>
        <item x="385"/>
        <item x="304"/>
        <item x="34"/>
        <item x="281"/>
        <item x="293"/>
        <item x="291"/>
        <item x="35"/>
        <item x="25"/>
        <item x="9"/>
        <item x="288"/>
        <item x="13"/>
        <item x="18"/>
        <item x="19"/>
        <item x="298"/>
        <item x="20"/>
        <item x="36"/>
        <item x="37"/>
        <item x="39"/>
        <item x="309"/>
        <item x="375"/>
        <item x="14"/>
        <item x="22"/>
        <item x="218"/>
        <item x="60"/>
        <item x="311"/>
        <item x="327"/>
        <item x="125"/>
        <item x="366"/>
        <item x="50"/>
        <item x="379"/>
        <item x="324"/>
        <item x="97"/>
        <item x="100"/>
        <item x="52"/>
        <item x="41"/>
        <item x="53"/>
        <item x="81"/>
        <item x="339"/>
        <item x="315"/>
        <item x="43"/>
        <item x="44"/>
        <item x="333"/>
        <item x="340"/>
        <item x="66"/>
        <item x="111"/>
        <item x="330"/>
        <item x="65"/>
        <item x="107"/>
        <item x="313"/>
        <item x="80"/>
        <item x="102"/>
        <item x="106"/>
        <item x="58"/>
        <item x="67"/>
        <item x="84"/>
        <item x="336"/>
        <item x="74"/>
        <item x="91"/>
        <item x="73"/>
        <item x="88"/>
        <item x="110"/>
        <item x="321"/>
        <item x="104"/>
        <item x="69"/>
        <item x="310"/>
        <item x="381"/>
        <item x="99"/>
        <item x="87"/>
        <item x="328"/>
        <item x="89"/>
        <item x="90"/>
        <item x="49"/>
        <item x="121"/>
        <item x="92"/>
        <item x="119"/>
        <item x="157"/>
        <item x="77"/>
        <item x="378"/>
        <item x="307"/>
        <item x="388"/>
        <item x="72"/>
        <item x="59"/>
        <item x="320"/>
        <item x="79"/>
        <item x="323"/>
        <item x="45"/>
        <item x="48"/>
        <item x="322"/>
        <item x="76"/>
        <item x="46"/>
        <item x="75"/>
        <item x="387"/>
        <item x="337"/>
        <item x="114"/>
        <item x="116"/>
        <item x="115"/>
        <item x="117"/>
        <item x="156"/>
        <item x="248"/>
        <item x="253"/>
        <item x="228"/>
        <item x="241"/>
        <item x="169"/>
        <item x="190"/>
        <item x="269"/>
        <item x="347"/>
        <item x="155"/>
        <item x="247"/>
        <item x="250"/>
        <item x="268"/>
        <item x="134"/>
        <item x="267"/>
        <item x="191"/>
        <item x="249"/>
        <item x="221"/>
        <item x="51"/>
        <item x="329"/>
        <item x="354"/>
        <item x="6"/>
        <item x="3"/>
        <item x="295"/>
        <item x="21"/>
        <item x="23"/>
        <item x="326"/>
        <item x="296"/>
        <item x="24"/>
        <item x="105"/>
        <item x="94"/>
        <item x="192"/>
        <item x="278"/>
        <item x="239"/>
        <item x="135"/>
        <item x="202"/>
        <item x="229"/>
        <item x="243"/>
        <item x="144"/>
        <item x="237"/>
        <item x="245"/>
        <item x="222"/>
        <item x="145"/>
        <item x="206"/>
        <item x="252"/>
        <item x="143"/>
        <item x="159"/>
        <item x="353"/>
        <item x="179"/>
        <item x="277"/>
        <item x="246"/>
        <item x="265"/>
        <item x="199"/>
        <item x="136"/>
        <item x="173"/>
        <item x="279"/>
        <item x="163"/>
        <item x="343"/>
        <item x="217"/>
        <item x="266"/>
        <item x="349"/>
        <item x="207"/>
        <item x="216"/>
        <item x="188"/>
        <item x="189"/>
        <item x="231"/>
        <item x="166"/>
        <item x="372"/>
        <item x="137"/>
        <item x="383"/>
        <item x="227"/>
        <item x="142"/>
        <item x="203"/>
        <item x="167"/>
        <item x="205"/>
        <item x="204"/>
        <item x="230"/>
        <item x="198"/>
        <item x="171"/>
        <item x="226"/>
        <item x="158"/>
        <item x="194"/>
        <item x="140"/>
        <item x="200"/>
        <item x="168"/>
        <item x="215"/>
        <item x="235"/>
        <item x="139"/>
        <item x="210"/>
        <item x="138"/>
        <item x="148"/>
        <item x="154"/>
        <item x="147"/>
        <item x="350"/>
        <item x="195"/>
        <item x="225"/>
        <item x="224"/>
        <item x="259"/>
        <item x="260"/>
        <item x="261"/>
        <item x="275"/>
        <item x="274"/>
        <item x="276"/>
        <item x="233"/>
        <item x="232"/>
        <item x="178"/>
        <item x="242"/>
        <item x="273"/>
        <item x="373"/>
        <item x="153"/>
        <item x="160"/>
        <item x="161"/>
        <item x="162"/>
        <item x="196"/>
        <item x="368"/>
        <item x="271"/>
        <item x="240"/>
        <item x="270"/>
        <item x="211"/>
        <item x="272"/>
        <item x="212"/>
        <item x="352"/>
        <item x="244"/>
        <item x="152"/>
        <item x="214"/>
        <item x="384"/>
        <item x="174"/>
        <item x="348"/>
        <item x="345"/>
        <item x="187"/>
        <item x="209"/>
        <item x="219"/>
        <item x="150"/>
        <item x="151"/>
        <item x="149"/>
        <item x="186"/>
        <item x="234"/>
        <item x="197"/>
        <item x="126"/>
        <item x="131"/>
        <item x="133"/>
        <item x="370"/>
        <item x="176"/>
        <item x="257"/>
        <item x="258"/>
        <item x="369"/>
        <item x="342"/>
        <item x="123"/>
        <item x="367"/>
        <item x="220"/>
        <item x="128"/>
        <item x="118"/>
        <item x="122"/>
        <item x="263"/>
        <item x="184"/>
        <item x="262"/>
        <item x="254"/>
        <item x="255"/>
        <item x="371"/>
        <item x="175"/>
        <item x="341"/>
        <item x="132"/>
        <item x="183"/>
        <item x="185"/>
        <item x="256"/>
        <item x="182"/>
        <item x="264"/>
        <item x="141"/>
        <item x="208"/>
        <item x="213"/>
        <item x="164"/>
        <item x="351"/>
        <item x="223"/>
        <item x="165"/>
        <item x="177"/>
        <item x="355"/>
        <item x="236"/>
        <item x="251"/>
        <item x="170"/>
        <item x="180"/>
        <item x="172"/>
        <item x="193"/>
        <item x="181"/>
        <item x="15"/>
        <item x="376"/>
        <item x="360"/>
        <item x="16"/>
        <item x="17"/>
        <item x="28"/>
        <item x="299"/>
        <item x="301"/>
        <item x="302"/>
        <item x="238"/>
        <item x="361"/>
        <item x="356"/>
        <item x="297"/>
        <item x="201"/>
        <item x="127"/>
        <item x="124"/>
        <item x="120"/>
        <item x="346"/>
        <item x="335"/>
        <item x="68"/>
        <item x="317"/>
        <item x="101"/>
        <item x="42"/>
        <item x="380"/>
        <item x="338"/>
        <item x="282"/>
        <item x="98"/>
        <item x="318"/>
        <item x="364"/>
        <item x="38"/>
        <item x="61"/>
        <item x="314"/>
        <item x="86"/>
        <item x="57"/>
        <item x="113"/>
        <item x="344"/>
        <item x="357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>
      <items count="258">
        <item x="53"/>
        <item x="104"/>
        <item x="17"/>
        <item x="214"/>
        <item x="13"/>
        <item x="150"/>
        <item x="96"/>
        <item x="81"/>
        <item x="128"/>
        <item x="180"/>
        <item x="239"/>
        <item x="55"/>
        <item x="158"/>
        <item x="62"/>
        <item x="73"/>
        <item x="47"/>
        <item x="204"/>
        <item x="240"/>
        <item x="99"/>
        <item x="165"/>
        <item x="226"/>
        <item x="146"/>
        <item x="167"/>
        <item x="218"/>
        <item x="227"/>
        <item x="212"/>
        <item x="152"/>
        <item x="222"/>
        <item x="23"/>
        <item x="170"/>
        <item x="161"/>
        <item x="87"/>
        <item x="230"/>
        <item x="202"/>
        <item x="243"/>
        <item x="231"/>
        <item x="125"/>
        <item x="33"/>
        <item x="233"/>
        <item x="29"/>
        <item x="102"/>
        <item x="76"/>
        <item x="238"/>
        <item x="166"/>
        <item x="174"/>
        <item x="90"/>
        <item x="225"/>
        <item x="8"/>
        <item x="138"/>
        <item x="156"/>
        <item x="43"/>
        <item x="19"/>
        <item x="221"/>
        <item x="208"/>
        <item x="144"/>
        <item x="21"/>
        <item x="252"/>
        <item x="56"/>
        <item x="220"/>
        <item x="176"/>
        <item x="253"/>
        <item x="129"/>
        <item x="61"/>
        <item x="211"/>
        <item x="30"/>
        <item x="64"/>
        <item x="236"/>
        <item x="203"/>
        <item x="178"/>
        <item x="63"/>
        <item x="241"/>
        <item x="217"/>
        <item x="77"/>
        <item x="39"/>
        <item x="147"/>
        <item x="172"/>
        <item x="85"/>
        <item x="122"/>
        <item x="32"/>
        <item x="250"/>
        <item x="118"/>
        <item x="101"/>
        <item x="159"/>
        <item x="135"/>
        <item x="78"/>
        <item x="88"/>
        <item x="155"/>
        <item x="41"/>
        <item x="95"/>
        <item x="169"/>
        <item x="235"/>
        <item x="71"/>
        <item x="86"/>
        <item x="257"/>
        <item x="205"/>
        <item x="168"/>
        <item x="210"/>
        <item x="164"/>
        <item x="80"/>
        <item x="223"/>
        <item x="219"/>
        <item x="72"/>
        <item x="137"/>
        <item x="153"/>
        <item x="140"/>
        <item x="162"/>
        <item x="184"/>
        <item x="92"/>
        <item x="228"/>
        <item x="12"/>
        <item x="126"/>
        <item x="216"/>
        <item x="4"/>
        <item x="237"/>
        <item x="163"/>
        <item x="74"/>
        <item x="175"/>
        <item x="149"/>
        <item x="36"/>
        <item x="173"/>
        <item x="181"/>
        <item x="103"/>
        <item x="232"/>
        <item x="123"/>
        <item x="94"/>
        <item x="25"/>
        <item x="98"/>
        <item x="154"/>
        <item x="254"/>
        <item x="89"/>
        <item x="60"/>
        <item x="160"/>
        <item x="142"/>
        <item x="229"/>
        <item x="82"/>
        <item x="224"/>
        <item x="127"/>
        <item x="198"/>
        <item x="83"/>
        <item x="199"/>
        <item x="49"/>
        <item x="157"/>
        <item x="48"/>
        <item x="197"/>
        <item x="93"/>
        <item x="132"/>
        <item x="179"/>
        <item x="84"/>
        <item x="171"/>
        <item x="97"/>
        <item x="67"/>
        <item x="26"/>
        <item x="20"/>
        <item x="38"/>
        <item x="52"/>
        <item x="213"/>
        <item x="91"/>
        <item x="75"/>
        <item x="34"/>
        <item x="119"/>
        <item x="69"/>
        <item x="6"/>
        <item x="209"/>
        <item x="37"/>
        <item x="16"/>
        <item x="46"/>
        <item x="5"/>
        <item x="68"/>
        <item x="18"/>
        <item x="22"/>
        <item x="9"/>
        <item x="70"/>
        <item x="44"/>
        <item x="15"/>
        <item x="3"/>
        <item x="1"/>
        <item x="10"/>
        <item x="11"/>
        <item x="28"/>
        <item x="50"/>
        <item x="2"/>
        <item x="14"/>
        <item x="59"/>
        <item x="116"/>
        <item x="244"/>
        <item x="58"/>
        <item x="107"/>
        <item x="65"/>
        <item x="234"/>
        <item x="186"/>
        <item x="206"/>
        <item x="7"/>
        <item x="24"/>
        <item x="42"/>
        <item x="35"/>
        <item x="66"/>
        <item x="79"/>
        <item x="108"/>
        <item x="134"/>
        <item x="51"/>
        <item x="148"/>
        <item x="54"/>
        <item x="131"/>
        <item x="130"/>
        <item x="57"/>
        <item x="177"/>
        <item x="255"/>
        <item x="115"/>
        <item x="189"/>
        <item x="100"/>
        <item x="139"/>
        <item x="195"/>
        <item x="182"/>
        <item x="110"/>
        <item x="194"/>
        <item x="45"/>
        <item x="215"/>
        <item x="207"/>
        <item x="183"/>
        <item x="145"/>
        <item x="151"/>
        <item x="27"/>
        <item x="111"/>
        <item x="256"/>
        <item x="251"/>
        <item x="112"/>
        <item x="105"/>
        <item x="246"/>
        <item x="136"/>
        <item x="187"/>
        <item x="141"/>
        <item x="245"/>
        <item x="114"/>
        <item x="31"/>
        <item x="106"/>
        <item x="188"/>
        <item x="200"/>
        <item x="185"/>
        <item x="109"/>
        <item x="190"/>
        <item x="133"/>
        <item x="124"/>
        <item x="40"/>
        <item x="248"/>
        <item x="192"/>
        <item x="191"/>
        <item x="201"/>
        <item x="121"/>
        <item x="113"/>
        <item x="193"/>
        <item x="247"/>
        <item x="196"/>
        <item x="0"/>
        <item x="249"/>
        <item x="242"/>
        <item x="143"/>
        <item x="117"/>
        <item x="120"/>
      </items>
    </pivotField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391">
    <i>
      <x/>
      <x v="43"/>
    </i>
    <i>
      <x v="1"/>
      <x v="50"/>
    </i>
    <i>
      <x v="2"/>
      <x v="26"/>
    </i>
    <i>
      <x v="3"/>
      <x v="46"/>
    </i>
    <i>
      <x v="4"/>
      <x v="191"/>
    </i>
    <i>
      <x v="5"/>
      <x v="69"/>
    </i>
    <i>
      <x v="6"/>
      <x v="75"/>
    </i>
    <i>
      <x v="7"/>
      <x v="377"/>
    </i>
    <i>
      <x v="8"/>
      <x v="40"/>
    </i>
    <i>
      <x v="9"/>
      <x v="4"/>
    </i>
    <i>
      <x v="10"/>
      <x v="2"/>
    </i>
    <i>
      <x v="11"/>
      <x v="190"/>
    </i>
    <i>
      <x v="12"/>
      <x v="47"/>
    </i>
    <i>
      <x v="13"/>
      <x v="5"/>
    </i>
    <i>
      <x v="14"/>
      <x v="6"/>
    </i>
    <i>
      <x v="15"/>
      <x v="80"/>
    </i>
    <i>
      <x v="16"/>
      <x v="71"/>
    </i>
    <i>
      <x v="17"/>
      <x v="36"/>
    </i>
    <i>
      <x v="18"/>
      <x v="45"/>
    </i>
    <i>
      <x v="19"/>
      <x v="42"/>
    </i>
    <i>
      <x v="20"/>
      <x v="81"/>
    </i>
    <i>
      <x v="21"/>
      <x v="41"/>
    </i>
    <i>
      <x v="22"/>
      <x v="72"/>
    </i>
    <i>
      <x v="23"/>
      <x v="49"/>
    </i>
    <i>
      <x v="24"/>
      <x v="48"/>
    </i>
    <i>
      <x v="25"/>
      <x v="28"/>
    </i>
    <i>
      <x v="26"/>
      <x v="37"/>
    </i>
    <i>
      <x v="27"/>
      <x v="82"/>
    </i>
    <i>
      <x v="28"/>
      <x v="39"/>
    </i>
    <i>
      <x v="29"/>
      <x v="77"/>
    </i>
    <i>
      <x v="30"/>
      <x v="24"/>
    </i>
    <i>
      <x v="31"/>
      <x v="91"/>
    </i>
    <i>
      <x v="32"/>
      <x v="25"/>
    </i>
    <i>
      <x v="33"/>
      <x v="92"/>
    </i>
    <i>
      <x v="34"/>
      <x v="76"/>
    </i>
    <i>
      <x v="35"/>
      <x v="352"/>
    </i>
    <i>
      <x v="36"/>
      <x v="353"/>
    </i>
    <i>
      <x v="37"/>
      <x v="354"/>
    </i>
    <i>
      <x v="38"/>
      <x v="362"/>
    </i>
    <i>
      <x v="39"/>
      <x v="355"/>
    </i>
    <i>
      <x v="40"/>
      <x v="356"/>
    </i>
    <i>
      <x v="41"/>
      <x v="83"/>
    </i>
    <i>
      <x v="42"/>
      <x v="84"/>
    </i>
    <i>
      <x v="43"/>
      <x v="86"/>
    </i>
    <i>
      <x v="44"/>
      <x v="44"/>
    </i>
    <i>
      <x v="45"/>
      <x v="22"/>
    </i>
    <i>
      <x v="46"/>
      <x v="193"/>
    </i>
    <i>
      <x v="47"/>
      <x v="192"/>
    </i>
    <i>
      <x v="48"/>
      <x v="93"/>
    </i>
    <i>
      <x v="49"/>
      <x v="194"/>
    </i>
    <i>
      <x v="50"/>
      <x v="196"/>
    </i>
    <i>
      <x v="51"/>
      <x v="197"/>
    </i>
    <i>
      <x v="52"/>
      <x v="364"/>
    </i>
    <i>
      <x v="53"/>
      <x v="11"/>
    </i>
    <i>
      <x v="54"/>
      <x v="79"/>
    </i>
    <i>
      <x v="55"/>
      <x v="65"/>
    </i>
    <i>
      <x v="56"/>
      <x v="380"/>
    </i>
    <i>
      <x v="57"/>
      <x v="85"/>
    </i>
    <i>
      <x v="58"/>
      <x v="358"/>
    </i>
    <i>
      <x v="59"/>
      <x v="55"/>
    </i>
    <i>
      <x v="60"/>
      <x v="32"/>
    </i>
    <i>
      <x v="61"/>
      <x v="357"/>
    </i>
    <i>
      <x v="62"/>
      <x v="33"/>
    </i>
    <i>
      <x v="63"/>
      <x v="359"/>
    </i>
    <i>
      <x v="64"/>
      <x v="360"/>
    </i>
    <i>
      <x v="65"/>
      <x v="66"/>
    </i>
    <i>
      <x v="66"/>
      <x v="73"/>
    </i>
    <i>
      <x v="67"/>
      <x v="68"/>
    </i>
    <i>
      <x v="68"/>
      <x v="67"/>
    </i>
    <i>
      <x v="69"/>
      <x v="15"/>
    </i>
    <i>
      <x v="70"/>
      <x v="35"/>
    </i>
    <i>
      <x v="71"/>
      <x v="7"/>
    </i>
    <i>
      <x v="72"/>
      <x v="51"/>
    </i>
    <i>
      <x v="73"/>
      <x v="57"/>
    </i>
    <i>
      <x v="74"/>
      <x v="74"/>
    </i>
    <i>
      <x v="75"/>
      <x v="78"/>
    </i>
    <i>
      <x v="76"/>
      <x v="87"/>
    </i>
    <i>
      <x v="77"/>
      <x v="88"/>
    </i>
    <i>
      <x v="78"/>
      <x v="381"/>
    </i>
    <i>
      <x v="79"/>
      <x v="70"/>
    </i>
    <i>
      <x v="80"/>
      <x v="149"/>
    </i>
    <i>
      <x v="81"/>
      <x v="150"/>
    </i>
    <i>
      <x v="82"/>
      <x v="38"/>
    </i>
    <i>
      <x v="83"/>
      <x v="90"/>
    </i>
    <i>
      <x v="84"/>
      <x v="89"/>
    </i>
    <i>
      <x v="85"/>
      <x v="20"/>
    </i>
    <i>
      <x v="86"/>
      <x v="106"/>
    </i>
    <i>
      <x v="87"/>
      <x v="374"/>
    </i>
    <i>
      <x v="88"/>
      <x v="111"/>
    </i>
    <i>
      <x v="89"/>
      <x v="112"/>
    </i>
    <i>
      <x v="90"/>
      <x v="157"/>
    </i>
    <i>
      <x v="91"/>
      <x v="136"/>
    </i>
    <i>
      <x v="92"/>
      <x v="161"/>
    </i>
    <i>
      <x v="93"/>
      <x v="21"/>
    </i>
    <i>
      <x v="94"/>
      <x v="99"/>
    </i>
    <i>
      <x v="95"/>
      <x v="158"/>
    </i>
    <i>
      <x v="96"/>
      <x v="143"/>
    </i>
    <i>
      <x v="97"/>
      <x v="100"/>
    </i>
    <i>
      <x v="98"/>
      <x v="187"/>
    </i>
    <i>
      <x v="99"/>
      <x v="105"/>
    </i>
    <i>
      <x v="100"/>
      <x v="101"/>
    </i>
    <i>
      <x v="101"/>
      <x v="96"/>
    </i>
    <i>
      <x v="102"/>
      <x v="107"/>
    </i>
    <i>
      <x v="103"/>
      <x v="27"/>
    </i>
    <i>
      <x v="104"/>
      <x v="29"/>
    </i>
    <i>
      <x v="105"/>
      <x v="34"/>
    </i>
    <i>
      <x v="106"/>
      <x v="61"/>
    </i>
    <i>
      <x v="107"/>
      <x v="120"/>
    </i>
    <i>
      <x v="108"/>
      <x v="385"/>
    </i>
    <i>
      <x v="109"/>
      <x v="124"/>
    </i>
    <i>
      <x v="110"/>
      <x v="153"/>
    </i>
    <i>
      <x v="111"/>
      <x v="95"/>
    </i>
    <i>
      <x v="112"/>
      <x v="382"/>
    </i>
    <i>
      <x v="113"/>
      <x v="383"/>
    </i>
    <i>
      <x v="114"/>
      <x v="110"/>
    </i>
    <i>
      <x v="115"/>
      <x v="8"/>
    </i>
    <i>
      <x v="116"/>
      <x v="56"/>
    </i>
    <i>
      <x v="117"/>
      <x v="52"/>
    </i>
    <i>
      <x v="118"/>
      <x v="118"/>
    </i>
    <i>
      <x v="119"/>
      <x v="115"/>
    </i>
    <i>
      <x v="120"/>
      <x v="125"/>
    </i>
    <i>
      <x v="121"/>
      <x v="58"/>
    </i>
    <i>
      <x v="122"/>
      <x v="371"/>
    </i>
    <i>
      <x v="123"/>
      <x v="372"/>
    </i>
    <i>
      <x v="124"/>
      <x v="375"/>
    </i>
    <i>
      <x v="125"/>
      <x v="135"/>
    </i>
    <i>
      <x v="126"/>
      <x v="379"/>
    </i>
    <i>
      <x v="127"/>
      <x v="62"/>
    </i>
    <i>
      <x v="128"/>
      <x v="13"/>
    </i>
    <i>
      <x v="129"/>
      <x v="16"/>
    </i>
    <i>
      <x v="130"/>
      <x v="13"/>
    </i>
    <i>
      <x v="131"/>
      <x v="137"/>
    </i>
    <i>
      <x v="132"/>
      <x v="152"/>
    </i>
    <i>
      <x v="133"/>
      <x v="130"/>
    </i>
    <i>
      <x v="134"/>
      <x v="128"/>
    </i>
    <i>
      <x v="135"/>
      <x v="162"/>
    </i>
    <i>
      <x v="136"/>
      <x v="154"/>
    </i>
    <i>
      <x v="137"/>
      <x v="133"/>
    </i>
    <i>
      <x v="138"/>
      <x v="159"/>
    </i>
    <i>
      <x v="139"/>
      <x v="160"/>
    </i>
    <i>
      <x v="140"/>
      <x v="148"/>
    </i>
    <i>
      <x v="141"/>
      <x v="156"/>
    </i>
    <i>
      <x v="142"/>
      <x v="3"/>
    </i>
    <i>
      <x v="143"/>
      <x v="155"/>
    </i>
    <i>
      <x v="144"/>
      <x v="121"/>
    </i>
    <i>
      <x v="145"/>
      <x v="108"/>
    </i>
    <i>
      <x v="146"/>
      <x v="102"/>
    </i>
    <i>
      <x v="147"/>
      <x v="23"/>
    </i>
    <i>
      <x v="148"/>
      <x v="17"/>
    </i>
    <i>
      <x v="149"/>
      <x v="12"/>
    </i>
    <i>
      <x v="150"/>
      <x v="126"/>
    </i>
    <i>
      <x v="151"/>
      <x v="195"/>
    </i>
    <i>
      <x v="152"/>
      <x v="54"/>
    </i>
    <i>
      <x v="153"/>
      <x v="97"/>
    </i>
    <i>
      <x v="154"/>
      <x v="384"/>
    </i>
    <i>
      <x v="155"/>
      <x v="163"/>
    </i>
    <i>
      <x v="156"/>
      <x v="139"/>
    </i>
    <i>
      <x v="157"/>
      <x v="140"/>
    </i>
    <i>
      <x v="158"/>
      <x v="188"/>
    </i>
    <i>
      <x v="159"/>
      <x v="117"/>
    </i>
    <i>
      <x v="160"/>
      <x v="131"/>
    </i>
    <i>
      <x v="161"/>
      <x v="141"/>
    </i>
    <i>
      <x v="162"/>
      <x v="142"/>
    </i>
    <i>
      <x v="163"/>
      <x v="129"/>
    </i>
    <i>
      <x v="164"/>
      <x v="145"/>
    </i>
    <i>
      <x v="165"/>
      <x v="63"/>
    </i>
    <i>
      <x v="166"/>
      <x v="199"/>
    </i>
    <i>
      <x v="167"/>
      <x v="30"/>
    </i>
    <i>
      <x v="168"/>
      <x v="31"/>
    </i>
    <i>
      <x v="169"/>
      <x v="10"/>
    </i>
    <i>
      <x v="170"/>
      <x v="19"/>
    </i>
    <i>
      <x v="171"/>
      <x v="113"/>
    </i>
    <i>
      <x v="172"/>
      <x v="103"/>
    </i>
    <i>
      <x v="173"/>
      <x/>
    </i>
    <i>
      <x v="174"/>
      <x v="378"/>
    </i>
    <i>
      <x v="175"/>
      <x v="370"/>
    </i>
    <i>
      <x v="176"/>
      <x v="138"/>
    </i>
    <i>
      <x v="177"/>
      <x v="104"/>
    </i>
    <i>
      <x v="178"/>
      <x v="373"/>
    </i>
    <i>
      <x v="179"/>
      <x v="59"/>
    </i>
    <i>
      <x v="180"/>
      <x v="122"/>
    </i>
    <i>
      <x v="181"/>
      <x v="60"/>
    </i>
    <i>
      <x v="182"/>
      <x v="134"/>
    </i>
    <i>
      <x v="183"/>
      <x v="198"/>
    </i>
    <i>
      <x v="184"/>
      <x v="123"/>
    </i>
    <i>
      <x v="185"/>
      <x v="119"/>
    </i>
    <i>
      <x v="186"/>
      <x v="151"/>
    </i>
    <i>
      <x v="187"/>
      <x v="53"/>
    </i>
    <i>
      <x v="188"/>
      <x v="127"/>
    </i>
    <i>
      <x v="189"/>
      <x v="18"/>
    </i>
    <i>
      <x v="190"/>
      <x v="164"/>
    </i>
    <i>
      <x v="191"/>
      <x v="132"/>
    </i>
    <i>
      <x v="192"/>
      <x v="116"/>
    </i>
    <i>
      <x v="193"/>
      <x v="14"/>
    </i>
    <i>
      <x v="194"/>
      <x v="376"/>
    </i>
    <i>
      <x v="195"/>
      <x v="386"/>
    </i>
    <i>
      <x v="196"/>
      <x v="165"/>
    </i>
    <i>
      <x v="197"/>
      <x v="167"/>
    </i>
    <i>
      <x v="198"/>
      <x v="166"/>
    </i>
    <i>
      <x v="199"/>
      <x v="168"/>
    </i>
    <i>
      <x v="200"/>
      <x v="320"/>
    </i>
    <i>
      <x v="201"/>
      <x v="146"/>
    </i>
    <i>
      <x v="202"/>
      <x v="368"/>
    </i>
    <i>
      <x v="203"/>
      <x v="109"/>
    </i>
    <i>
      <x v="204"/>
      <x v="144"/>
    </i>
    <i>
      <x v="205"/>
      <x v="321"/>
    </i>
    <i>
      <x v="206"/>
      <x v="316"/>
    </i>
    <i>
      <x v="207"/>
      <x v="367"/>
    </i>
    <i>
      <x v="208"/>
      <x v="98"/>
    </i>
    <i>
      <x v="209"/>
      <x v="307"/>
    </i>
    <i>
      <x v="210"/>
      <x v="366"/>
    </i>
    <i>
      <x v="211"/>
      <x v="114"/>
    </i>
    <i>
      <x v="212"/>
      <x v="319"/>
    </i>
    <i>
      <x v="213"/>
      <x v="9"/>
    </i>
    <i>
      <x v="214"/>
      <x v="1"/>
    </i>
    <i>
      <x v="215"/>
      <x v="317"/>
    </i>
    <i>
      <x v="216"/>
      <x v="308"/>
    </i>
    <i>
      <x v="217"/>
      <x v="329"/>
    </i>
    <i>
      <x v="218"/>
      <x v="330"/>
    </i>
    <i>
      <x v="219"/>
      <x v="309"/>
    </i>
    <i>
      <x v="220"/>
      <x v="315"/>
    </i>
    <i>
      <x v="221"/>
      <x v="182"/>
    </i>
    <i>
      <x v="222"/>
      <x v="203"/>
    </i>
    <i>
      <x v="223"/>
      <x v="226"/>
    </i>
    <i>
      <x v="224"/>
      <x v="387"/>
    </i>
    <i>
      <x v="225"/>
      <x v="222"/>
    </i>
    <i>
      <x v="226"/>
      <x v="237"/>
    </i>
    <i>
      <x v="227"/>
      <x v="297"/>
    </i>
    <i>
      <x v="228"/>
      <x v="258"/>
    </i>
    <i>
      <x v="229"/>
      <x v="256"/>
    </i>
    <i>
      <x v="230"/>
      <x v="251"/>
    </i>
    <i>
      <x v="231"/>
      <x v="336"/>
    </i>
    <i>
      <x v="232"/>
      <x v="240"/>
    </i>
    <i>
      <x v="233"/>
      <x v="214"/>
    </i>
    <i>
      <x v="234"/>
      <x v="207"/>
    </i>
    <i>
      <x v="235"/>
      <x v="211"/>
    </i>
    <i>
      <x v="236"/>
      <x v="64"/>
    </i>
    <i>
      <x v="237"/>
      <x v="261"/>
    </i>
    <i>
      <x v="238"/>
      <x v="259"/>
    </i>
    <i>
      <x v="239"/>
      <x v="303"/>
    </i>
    <i>
      <x v="240"/>
      <x v="301"/>
    </i>
    <i>
      <x v="241"/>
      <x v="302"/>
    </i>
    <i>
      <x v="242"/>
      <x v="292"/>
    </i>
    <i>
      <x v="243"/>
      <x v="278"/>
    </i>
    <i>
      <x v="244"/>
      <x v="260"/>
    </i>
    <i>
      <x v="245"/>
      <x v="369"/>
    </i>
    <i>
      <x v="246"/>
      <x v="177"/>
    </i>
    <i>
      <x v="247"/>
      <x v="178"/>
    </i>
    <i>
      <x v="248"/>
      <x v="169"/>
    </i>
    <i>
      <x v="249"/>
      <x v="147"/>
    </i>
    <i>
      <x v="250"/>
      <x v="249"/>
    </i>
    <i>
      <x v="251"/>
      <x v="215"/>
    </i>
    <i>
      <x v="252"/>
      <x v="279"/>
    </i>
    <i>
      <x v="253"/>
      <x v="280"/>
    </i>
    <i>
      <x v="254"/>
      <x v="281"/>
    </i>
    <i>
      <x v="255"/>
      <x v="225"/>
    </i>
    <i>
      <x v="256"/>
      <x v="339"/>
    </i>
    <i>
      <x v="257"/>
      <x v="342"/>
    </i>
    <i>
      <x v="258"/>
      <x v="235"/>
    </i>
    <i>
      <x v="259"/>
      <x v="242"/>
    </i>
    <i>
      <x v="260"/>
      <x v="253"/>
    </i>
    <i>
      <x v="261"/>
      <x v="174"/>
    </i>
    <i>
      <x v="262"/>
      <x v="347"/>
    </i>
    <i>
      <x v="263"/>
      <x v="247"/>
    </i>
    <i>
      <x v="264"/>
      <x v="349"/>
    </i>
    <i>
      <x v="265"/>
      <x v="223"/>
    </i>
    <i>
      <x v="266"/>
      <x v="295"/>
    </i>
    <i>
      <x v="267"/>
      <x v="328"/>
    </i>
    <i>
      <x v="268"/>
      <x v="311"/>
    </i>
    <i>
      <x v="269"/>
      <x v="343"/>
    </i>
    <i>
      <x v="270"/>
      <x v="274"/>
    </i>
    <i>
      <x v="271"/>
      <x v="217"/>
    </i>
    <i>
      <x v="272"/>
      <x v="348"/>
    </i>
    <i>
      <x v="273"/>
      <x v="351"/>
    </i>
    <i>
      <x v="274"/>
      <x v="334"/>
    </i>
    <i>
      <x v="275"/>
      <x v="331"/>
    </i>
    <i>
      <x v="276"/>
      <x v="323"/>
    </i>
    <i>
      <x v="277"/>
      <x v="332"/>
    </i>
    <i>
      <x v="278"/>
      <x v="296"/>
    </i>
    <i>
      <x v="279"/>
      <x v="304"/>
    </i>
    <i>
      <x v="280"/>
      <x v="238"/>
    </i>
    <i>
      <x v="281"/>
      <x v="298"/>
    </i>
    <i>
      <x v="282"/>
      <x v="232"/>
    </i>
    <i>
      <x v="283"/>
      <x v="233"/>
    </i>
    <i>
      <x v="284"/>
      <x v="175"/>
    </i>
    <i>
      <x v="285"/>
      <x v="229"/>
    </i>
    <i>
      <x v="286"/>
      <x v="184"/>
    </i>
    <i>
      <x v="287"/>
      <x v="200"/>
    </i>
    <i>
      <x v="288"/>
      <x v="350"/>
    </i>
    <i>
      <x v="289"/>
      <x v="250"/>
    </i>
    <i>
      <x v="290"/>
      <x v="263"/>
    </i>
    <i>
      <x v="291"/>
      <x v="282"/>
    </i>
    <i>
      <x v="292"/>
      <x v="306"/>
    </i>
    <i>
      <x v="293"/>
      <x v="246"/>
    </i>
    <i>
      <x v="294"/>
      <x v="221"/>
    </i>
    <i>
      <x v="295"/>
      <x v="252"/>
    </i>
    <i>
      <x v="296"/>
      <x v="365"/>
    </i>
    <i>
      <x v="297"/>
      <x v="204"/>
    </i>
    <i>
      <x v="298"/>
      <x v="262"/>
    </i>
    <i>
      <x v="299"/>
      <x v="241"/>
    </i>
    <i>
      <x v="300"/>
      <x v="244"/>
    </i>
    <i>
      <x v="301"/>
      <x v="243"/>
    </i>
    <i>
      <x v="302"/>
      <x v="212"/>
    </i>
    <i>
      <x v="303"/>
      <x v="230"/>
    </i>
    <i>
      <x v="304"/>
      <x v="337"/>
    </i>
    <i>
      <x v="305"/>
      <x v="299"/>
    </i>
    <i>
      <x v="306"/>
      <x v="340"/>
    </i>
    <i>
      <x v="307"/>
      <x v="257"/>
    </i>
    <i>
      <x v="308"/>
      <x v="287"/>
    </i>
    <i>
      <x v="309"/>
      <x v="289"/>
    </i>
    <i>
      <x v="310"/>
      <x v="290"/>
    </i>
    <i>
      <x v="311"/>
      <x v="338"/>
    </i>
    <i>
      <x v="312"/>
      <x v="293"/>
    </i>
    <i>
      <x v="313"/>
      <x v="294"/>
    </i>
    <i>
      <x v="314"/>
      <x v="254"/>
    </i>
    <i>
      <x v="315"/>
      <x v="216"/>
    </i>
    <i>
      <x v="316"/>
      <x v="189"/>
    </i>
    <i>
      <x v="317"/>
      <x v="231"/>
    </i>
    <i>
      <x v="318"/>
      <x v="227"/>
    </i>
    <i>
      <x v="319"/>
      <x v="94"/>
    </i>
    <i>
      <x v="320"/>
      <x v="300"/>
    </i>
    <i>
      <x v="321"/>
      <x v="318"/>
    </i>
    <i>
      <x v="322"/>
      <x v="186"/>
    </i>
    <i>
      <x v="323"/>
      <x v="210"/>
    </i>
    <i>
      <x v="324"/>
      <x v="341"/>
    </i>
    <i>
      <x v="325"/>
      <x v="265"/>
    </i>
    <i>
      <x v="326"/>
      <x v="264"/>
    </i>
    <i>
      <x v="327"/>
      <x v="248"/>
    </i>
    <i>
      <x v="328"/>
      <x v="239"/>
    </i>
    <i>
      <x v="329"/>
      <x v="172"/>
    </i>
    <i>
      <x v="330"/>
      <x v="205"/>
    </i>
    <i>
      <x v="331"/>
      <x v="245"/>
    </i>
    <i>
      <x v="332"/>
      <x v="344"/>
    </i>
    <i>
      <x v="333"/>
      <x v="234"/>
    </i>
    <i>
      <x v="334"/>
      <x v="273"/>
    </i>
    <i>
      <x v="335"/>
      <x v="272"/>
    </i>
    <i>
      <x v="336"/>
      <x v="305"/>
    </i>
    <i>
      <x v="337"/>
      <x v="255"/>
    </i>
    <i>
      <x v="338"/>
      <x v="345"/>
    </i>
    <i>
      <x v="339"/>
      <x v="208"/>
    </i>
    <i>
      <x v="340"/>
      <x v="361"/>
    </i>
    <i>
      <x v="341"/>
      <x v="202"/>
    </i>
    <i>
      <x v="342"/>
      <x v="285"/>
    </i>
    <i>
      <x v="343"/>
      <x v="173"/>
    </i>
    <i>
      <x v="344"/>
      <x v="275"/>
    </i>
    <i>
      <x v="345"/>
      <x v="206"/>
    </i>
    <i>
      <x v="346"/>
      <x v="283"/>
    </i>
    <i>
      <x v="347"/>
      <x v="291"/>
    </i>
    <i>
      <x v="348"/>
      <x v="209"/>
    </i>
    <i>
      <x v="349"/>
      <x v="219"/>
    </i>
    <i>
      <x v="350"/>
      <x v="179"/>
    </i>
    <i>
      <x v="351"/>
      <x v="170"/>
    </i>
    <i>
      <x v="352"/>
      <x v="185"/>
    </i>
    <i>
      <x v="353"/>
      <x v="180"/>
    </i>
    <i>
      <x v="354"/>
      <x v="346"/>
    </i>
    <i>
      <x v="355"/>
      <x v="213"/>
    </i>
    <i>
      <x v="356"/>
      <x v="363"/>
    </i>
    <i>
      <x v="357"/>
      <x v="171"/>
    </i>
    <i>
      <x v="358"/>
      <x v="325"/>
    </i>
    <i>
      <x v="359"/>
      <x v="314"/>
    </i>
    <i>
      <x v="360"/>
      <x v="326"/>
    </i>
    <i>
      <x v="361"/>
      <x v="310"/>
    </i>
    <i>
      <x v="362"/>
      <x v="333"/>
    </i>
    <i>
      <x v="363"/>
      <x v="312"/>
    </i>
    <i>
      <x v="364"/>
      <x v="313"/>
    </i>
    <i>
      <x v="365"/>
      <x v="266"/>
    </i>
    <i>
      <x v="366"/>
      <x v="267"/>
    </i>
    <i>
      <x v="367"/>
      <x v="268"/>
    </i>
    <i>
      <x v="368"/>
      <x v="324"/>
    </i>
    <i>
      <x v="369"/>
      <x v="327"/>
    </i>
    <i>
      <x v="370"/>
      <x v="322"/>
    </i>
    <i>
      <x v="371"/>
      <x v="236"/>
    </i>
    <i>
      <x v="372"/>
      <x v="335"/>
    </i>
    <i>
      <x v="373"/>
      <x v="220"/>
    </i>
    <i>
      <x v="374"/>
      <x v="228"/>
    </i>
    <i>
      <x v="375"/>
      <x v="183"/>
    </i>
    <i>
      <x v="376"/>
      <x v="181"/>
    </i>
    <i>
      <x v="377"/>
      <x v="176"/>
    </i>
    <i>
      <x v="378"/>
      <x v="286"/>
    </i>
    <i>
      <x v="379"/>
      <x v="284"/>
    </i>
    <i>
      <x v="380"/>
      <x v="288"/>
    </i>
    <i>
      <x v="381"/>
      <x v="276"/>
    </i>
    <i>
      <x v="382"/>
      <x v="277"/>
    </i>
    <i>
      <x v="383"/>
      <x v="270"/>
    </i>
    <i>
      <x v="384"/>
      <x v="269"/>
    </i>
    <i>
      <x v="385"/>
      <x v="271"/>
    </i>
    <i>
      <x v="386"/>
      <x v="218"/>
    </i>
    <i>
      <x v="387"/>
      <x v="201"/>
    </i>
    <i>
      <x v="388"/>
      <x v="224"/>
    </i>
    <i>
      <x v="389"/>
      <x v="388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omma di Ordini Vendor 24" fld="2" baseField="0" baseItem="0"/>
    <dataField name="Somma di Valori ordini Vendor 24" fld="3" baseField="0" baseItem="0"/>
    <dataField name="Somma di Ordini Seller 24" fld="4" baseField="0" baseItem="0"/>
    <dataField name="Somma di Valori ordini Seller 24" fld="5" baseField="0" baseItem="0"/>
    <dataField name="Somma di % seller / totale" fld="6" baseField="0" baseItem="0"/>
    <dataField name="Somma di Ordini Complessivi 24" fld="7" baseField="0" baseItem="0"/>
    <dataField name="Somma di Valori ordini Complessivi 24" fld="8" baseField="0" baseItem="0"/>
    <dataField name="Somma di Ordini Vendor 23" fld="9" baseField="0" baseItem="0"/>
    <dataField name="Somma di Valori ordini Vendor 23" fld="10" baseField="0" baseItem="0"/>
    <dataField name="Conteggio di Differenza Ordini" fld="11" subtotal="count" baseField="0" baseItem="0"/>
    <dataField name="Somma di Differenza Valore" fld="12" baseField="0" baseItem="0"/>
    <dataField name="Somma di Differenza Valore %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7"/>
  <sheetViews>
    <sheetView topLeftCell="A805" zoomScale="130" zoomScaleNormal="130" workbookViewId="0">
      <selection activeCell="A998" sqref="A998:XFD998"/>
    </sheetView>
  </sheetViews>
  <sheetFormatPr defaultColWidth="17.85546875" defaultRowHeight="15" x14ac:dyDescent="0.25"/>
  <cols>
    <col min="9" max="9" width="20.7109375" customWidth="1"/>
    <col min="10" max="10" width="32.28515625" customWidth="1"/>
  </cols>
  <sheetData>
    <row r="1" spans="1:10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3" spans="1:10" x14ac:dyDescent="0.25">
      <c r="A3" t="s">
        <v>11</v>
      </c>
      <c r="B3" t="s">
        <v>10</v>
      </c>
      <c r="C3">
        <v>1183</v>
      </c>
      <c r="D3">
        <v>16822.21</v>
      </c>
      <c r="E3">
        <v>3</v>
      </c>
      <c r="F3">
        <v>60.699999999999996</v>
      </c>
      <c r="G3">
        <v>1186</v>
      </c>
      <c r="H3">
        <v>16882.91</v>
      </c>
      <c r="I3">
        <v>14</v>
      </c>
      <c r="J3">
        <v>182.42</v>
      </c>
    </row>
    <row r="4" spans="1:10" x14ac:dyDescent="0.25">
      <c r="A4" t="s">
        <v>13</v>
      </c>
      <c r="B4" t="s">
        <v>12</v>
      </c>
      <c r="C4">
        <v>1</v>
      </c>
      <c r="D4">
        <v>5.03</v>
      </c>
      <c r="E4">
        <v>0</v>
      </c>
      <c r="F4">
        <v>0</v>
      </c>
      <c r="G4">
        <v>1</v>
      </c>
      <c r="H4">
        <v>5.03</v>
      </c>
      <c r="I4">
        <v>0</v>
      </c>
      <c r="J4">
        <v>0</v>
      </c>
    </row>
    <row r="5" spans="1:10" x14ac:dyDescent="0.25">
      <c r="A5" t="s">
        <v>15</v>
      </c>
      <c r="B5" t="s">
        <v>14</v>
      </c>
      <c r="C5">
        <v>10</v>
      </c>
      <c r="D5">
        <v>127.35</v>
      </c>
      <c r="E5">
        <v>0</v>
      </c>
      <c r="F5">
        <v>0</v>
      </c>
      <c r="G5">
        <v>10</v>
      </c>
      <c r="H5">
        <v>127.35</v>
      </c>
      <c r="I5">
        <v>1</v>
      </c>
      <c r="J5">
        <v>20.59</v>
      </c>
    </row>
    <row r="6" spans="1:10" x14ac:dyDescent="0.25">
      <c r="A6" t="s">
        <v>473</v>
      </c>
      <c r="B6" t="s">
        <v>472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</v>
      </c>
      <c r="J6">
        <v>121.8</v>
      </c>
    </row>
    <row r="7" spans="1:10" x14ac:dyDescent="0.25">
      <c r="A7" t="s">
        <v>17</v>
      </c>
      <c r="B7" t="s">
        <v>16</v>
      </c>
      <c r="C7">
        <v>1</v>
      </c>
      <c r="D7">
        <v>15.18</v>
      </c>
      <c r="E7">
        <v>0</v>
      </c>
      <c r="F7">
        <v>0</v>
      </c>
      <c r="G7">
        <v>1</v>
      </c>
      <c r="H7">
        <v>15.18</v>
      </c>
      <c r="I7">
        <v>2</v>
      </c>
      <c r="J7">
        <v>34.18</v>
      </c>
    </row>
    <row r="8" spans="1:10" x14ac:dyDescent="0.25">
      <c r="A8" t="s">
        <v>532</v>
      </c>
      <c r="B8" t="s">
        <v>531</v>
      </c>
      <c r="C8">
        <v>48</v>
      </c>
      <c r="D8">
        <v>271.81</v>
      </c>
      <c r="E8">
        <v>0</v>
      </c>
      <c r="F8">
        <v>0</v>
      </c>
      <c r="G8">
        <v>48</v>
      </c>
      <c r="H8">
        <v>271.81</v>
      </c>
      <c r="I8">
        <v>119</v>
      </c>
      <c r="J8">
        <v>828.55000000000007</v>
      </c>
    </row>
    <row r="9" spans="1:10" x14ac:dyDescent="0.25">
      <c r="A9" t="s">
        <v>747</v>
      </c>
      <c r="B9" t="s">
        <v>748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572</v>
      </c>
      <c r="B10" t="s">
        <v>573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119.51</v>
      </c>
    </row>
    <row r="11" spans="1:10" x14ac:dyDescent="0.25">
      <c r="A11" t="s">
        <v>574</v>
      </c>
      <c r="B11" t="s">
        <v>575</v>
      </c>
      <c r="C11">
        <v>0</v>
      </c>
      <c r="D11">
        <v>0</v>
      </c>
      <c r="E11">
        <v>27</v>
      </c>
      <c r="F11">
        <v>822.29999999999961</v>
      </c>
      <c r="G11">
        <v>27</v>
      </c>
      <c r="H11">
        <v>822.29999999999961</v>
      </c>
      <c r="I11">
        <v>302</v>
      </c>
      <c r="J11">
        <v>6543.9599999999991</v>
      </c>
    </row>
    <row r="12" spans="1:10" x14ac:dyDescent="0.25">
      <c r="A12" t="s">
        <v>576</v>
      </c>
      <c r="B12" t="s">
        <v>577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28.03</v>
      </c>
    </row>
    <row r="13" spans="1:10" x14ac:dyDescent="0.25">
      <c r="A13" t="s">
        <v>19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</v>
      </c>
      <c r="J13">
        <v>104.24</v>
      </c>
    </row>
    <row r="14" spans="1:10" x14ac:dyDescent="0.25">
      <c r="A14" t="s">
        <v>554</v>
      </c>
      <c r="B14" t="s">
        <v>553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578</v>
      </c>
      <c r="B15" t="s">
        <v>579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21</v>
      </c>
      <c r="B16" t="s">
        <v>20</v>
      </c>
      <c r="C16">
        <v>6</v>
      </c>
      <c r="D16">
        <v>147.9</v>
      </c>
      <c r="E16">
        <v>0</v>
      </c>
      <c r="F16">
        <v>0</v>
      </c>
      <c r="G16">
        <v>6</v>
      </c>
      <c r="H16">
        <v>147.9</v>
      </c>
      <c r="I16">
        <v>20</v>
      </c>
      <c r="J16">
        <v>325.83999999999997</v>
      </c>
    </row>
    <row r="17" spans="1:10" x14ac:dyDescent="0.25">
      <c r="A17" t="s">
        <v>23</v>
      </c>
      <c r="B17" t="s">
        <v>22</v>
      </c>
      <c r="C17">
        <v>275</v>
      </c>
      <c r="D17">
        <v>5023.29</v>
      </c>
      <c r="E17">
        <v>0</v>
      </c>
      <c r="F17">
        <v>0</v>
      </c>
      <c r="G17">
        <v>275</v>
      </c>
      <c r="H17">
        <v>5023.29</v>
      </c>
      <c r="I17">
        <v>573</v>
      </c>
      <c r="J17">
        <v>9291.39</v>
      </c>
    </row>
    <row r="18" spans="1:10" x14ac:dyDescent="0.25">
      <c r="A18" t="s">
        <v>25</v>
      </c>
      <c r="B18" t="s">
        <v>24</v>
      </c>
      <c r="C18">
        <v>1</v>
      </c>
      <c r="D18">
        <v>20.41</v>
      </c>
      <c r="E18">
        <v>48</v>
      </c>
      <c r="F18">
        <v>1440.2000000000007</v>
      </c>
      <c r="G18">
        <v>49</v>
      </c>
      <c r="H18">
        <v>1460.6100000000008</v>
      </c>
      <c r="I18">
        <v>400</v>
      </c>
      <c r="J18">
        <v>8213.58</v>
      </c>
    </row>
    <row r="19" spans="1:10" x14ac:dyDescent="0.25">
      <c r="A19" t="s">
        <v>534</v>
      </c>
      <c r="B19" t="s">
        <v>533</v>
      </c>
      <c r="C19">
        <v>2</v>
      </c>
      <c r="D19">
        <v>98.08</v>
      </c>
      <c r="E19">
        <v>0</v>
      </c>
      <c r="F19">
        <v>0</v>
      </c>
      <c r="G19">
        <v>2</v>
      </c>
      <c r="H19">
        <v>98.08</v>
      </c>
      <c r="I19">
        <v>8</v>
      </c>
      <c r="J19">
        <v>425.01</v>
      </c>
    </row>
    <row r="20" spans="1:10" x14ac:dyDescent="0.25">
      <c r="A20" t="s">
        <v>580</v>
      </c>
      <c r="B20" t="s">
        <v>581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7</v>
      </c>
      <c r="J20">
        <v>71.13</v>
      </c>
    </row>
    <row r="21" spans="1:10" x14ac:dyDescent="0.25">
      <c r="A21" t="s">
        <v>584</v>
      </c>
      <c r="B21" t="s">
        <v>585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586</v>
      </c>
      <c r="B22" t="s">
        <v>587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55.14</v>
      </c>
    </row>
    <row r="23" spans="1:10" x14ac:dyDescent="0.25">
      <c r="A23" t="s">
        <v>588</v>
      </c>
      <c r="B23" t="s">
        <v>589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27.55</v>
      </c>
    </row>
    <row r="24" spans="1:10" x14ac:dyDescent="0.25">
      <c r="A24" t="s">
        <v>27</v>
      </c>
      <c r="B24" t="s">
        <v>26</v>
      </c>
      <c r="C24">
        <v>1</v>
      </c>
      <c r="D24">
        <v>7.43</v>
      </c>
      <c r="E24">
        <v>0</v>
      </c>
      <c r="F24">
        <v>0</v>
      </c>
      <c r="G24">
        <v>1</v>
      </c>
      <c r="H24">
        <v>7.43</v>
      </c>
      <c r="I24">
        <v>0</v>
      </c>
      <c r="J24">
        <v>0</v>
      </c>
    </row>
    <row r="25" spans="1:10" x14ac:dyDescent="0.25">
      <c r="A25" t="s">
        <v>749</v>
      </c>
      <c r="B25" t="s">
        <v>750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-1</v>
      </c>
      <c r="J25">
        <v>-16.97</v>
      </c>
    </row>
    <row r="26" spans="1:10" x14ac:dyDescent="0.25">
      <c r="A26" t="s">
        <v>29</v>
      </c>
      <c r="B26" t="s">
        <v>28</v>
      </c>
      <c r="C26">
        <v>2</v>
      </c>
      <c r="D26">
        <v>12.96</v>
      </c>
      <c r="E26">
        <v>0</v>
      </c>
      <c r="F26">
        <v>0</v>
      </c>
      <c r="G26">
        <v>2</v>
      </c>
      <c r="H26">
        <v>12.96</v>
      </c>
      <c r="I26">
        <v>0</v>
      </c>
      <c r="J26">
        <v>0</v>
      </c>
    </row>
    <row r="27" spans="1:10" x14ac:dyDescent="0.25">
      <c r="A27" t="s">
        <v>31</v>
      </c>
      <c r="B27" t="s">
        <v>30</v>
      </c>
      <c r="C27">
        <v>19</v>
      </c>
      <c r="D27">
        <v>686.19</v>
      </c>
      <c r="E27">
        <v>0</v>
      </c>
      <c r="F27">
        <v>0</v>
      </c>
      <c r="G27">
        <v>19</v>
      </c>
      <c r="H27">
        <v>686.19</v>
      </c>
      <c r="I27">
        <v>99</v>
      </c>
      <c r="J27">
        <v>2832.39</v>
      </c>
    </row>
    <row r="28" spans="1:10" x14ac:dyDescent="0.25">
      <c r="A28" t="s">
        <v>751</v>
      </c>
      <c r="B28" t="s">
        <v>752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31.23</v>
      </c>
    </row>
    <row r="29" spans="1:10" x14ac:dyDescent="0.25">
      <c r="A29" t="s">
        <v>596</v>
      </c>
      <c r="B29" t="s">
        <v>597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11.82</v>
      </c>
    </row>
    <row r="30" spans="1:10" x14ac:dyDescent="0.25">
      <c r="A30" t="s">
        <v>33</v>
      </c>
      <c r="B30" t="s">
        <v>32</v>
      </c>
      <c r="C30">
        <v>15</v>
      </c>
      <c r="D30">
        <v>209.45</v>
      </c>
      <c r="E30">
        <v>0</v>
      </c>
      <c r="F30">
        <v>0</v>
      </c>
      <c r="G30">
        <v>15</v>
      </c>
      <c r="H30">
        <v>209.45</v>
      </c>
      <c r="I30">
        <v>1584</v>
      </c>
      <c r="J30">
        <v>20644.509999999998</v>
      </c>
    </row>
    <row r="31" spans="1:10" x14ac:dyDescent="0.25">
      <c r="A31" t="s">
        <v>598</v>
      </c>
      <c r="B31" t="s">
        <v>599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27.93</v>
      </c>
    </row>
    <row r="32" spans="1:10" x14ac:dyDescent="0.25">
      <c r="A32" t="s">
        <v>35</v>
      </c>
      <c r="B32" t="s">
        <v>34</v>
      </c>
      <c r="C32">
        <v>1</v>
      </c>
      <c r="D32">
        <v>15.05</v>
      </c>
      <c r="E32">
        <v>0</v>
      </c>
      <c r="F32">
        <v>0</v>
      </c>
      <c r="G32">
        <v>1</v>
      </c>
      <c r="H32">
        <v>15.05</v>
      </c>
      <c r="I32">
        <v>0</v>
      </c>
      <c r="J32">
        <v>0</v>
      </c>
    </row>
    <row r="33" spans="1:10" x14ac:dyDescent="0.25">
      <c r="A33" t="s">
        <v>536</v>
      </c>
      <c r="B33" t="s">
        <v>535</v>
      </c>
      <c r="C33">
        <v>1</v>
      </c>
      <c r="D33">
        <v>18.03</v>
      </c>
      <c r="E33">
        <v>0</v>
      </c>
      <c r="F33">
        <v>0</v>
      </c>
      <c r="G33">
        <v>1</v>
      </c>
      <c r="H33">
        <v>18.03</v>
      </c>
      <c r="I33">
        <v>0</v>
      </c>
      <c r="J33">
        <v>0</v>
      </c>
    </row>
    <row r="34" spans="1:10" x14ac:dyDescent="0.25">
      <c r="A34" t="s">
        <v>37</v>
      </c>
      <c r="B34" t="s">
        <v>36</v>
      </c>
      <c r="C34">
        <v>3</v>
      </c>
      <c r="D34">
        <v>17.190000000000001</v>
      </c>
      <c r="E34">
        <v>0</v>
      </c>
      <c r="F34">
        <v>0</v>
      </c>
      <c r="G34">
        <v>3</v>
      </c>
      <c r="H34">
        <v>17.190000000000001</v>
      </c>
      <c r="I34">
        <v>0</v>
      </c>
      <c r="J34">
        <v>0</v>
      </c>
    </row>
    <row r="35" spans="1:10" x14ac:dyDescent="0.25">
      <c r="A35" t="s">
        <v>526</v>
      </c>
      <c r="B35" t="s">
        <v>525</v>
      </c>
      <c r="C35">
        <v>9</v>
      </c>
      <c r="D35">
        <v>199.98</v>
      </c>
      <c r="E35">
        <v>0</v>
      </c>
      <c r="F35">
        <v>0</v>
      </c>
      <c r="G35">
        <v>9</v>
      </c>
      <c r="H35">
        <v>199.98</v>
      </c>
      <c r="I35">
        <v>75</v>
      </c>
      <c r="J35">
        <v>1575.73</v>
      </c>
    </row>
    <row r="36" spans="1:10" x14ac:dyDescent="0.25">
      <c r="A36" t="s">
        <v>39</v>
      </c>
      <c r="B36" t="s">
        <v>38</v>
      </c>
      <c r="C36">
        <v>1</v>
      </c>
      <c r="D36">
        <v>22.97</v>
      </c>
      <c r="E36">
        <v>6</v>
      </c>
      <c r="F36">
        <v>281.39999999999998</v>
      </c>
      <c r="G36">
        <v>7</v>
      </c>
      <c r="H36">
        <v>304.37</v>
      </c>
      <c r="I36">
        <v>8</v>
      </c>
      <c r="J36">
        <v>319.21999999999997</v>
      </c>
    </row>
    <row r="37" spans="1:10" x14ac:dyDescent="0.25">
      <c r="A37" t="s">
        <v>41</v>
      </c>
      <c r="B37" t="s">
        <v>40</v>
      </c>
      <c r="C37">
        <v>12</v>
      </c>
      <c r="D37">
        <v>1075.69</v>
      </c>
      <c r="E37">
        <v>0</v>
      </c>
      <c r="F37">
        <v>0</v>
      </c>
      <c r="G37">
        <v>12</v>
      </c>
      <c r="H37">
        <v>1075.69</v>
      </c>
      <c r="I37">
        <v>13</v>
      </c>
      <c r="J37">
        <v>973.92</v>
      </c>
    </row>
    <row r="38" spans="1:10" x14ac:dyDescent="0.25">
      <c r="A38" t="s">
        <v>608</v>
      </c>
      <c r="B38" t="s">
        <v>609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508</v>
      </c>
      <c r="B39" t="s">
        <v>507</v>
      </c>
      <c r="C39">
        <v>3</v>
      </c>
      <c r="D39">
        <v>10.49</v>
      </c>
      <c r="E39">
        <v>0</v>
      </c>
      <c r="F39">
        <v>0</v>
      </c>
      <c r="G39">
        <v>3</v>
      </c>
      <c r="H39">
        <v>10.49</v>
      </c>
      <c r="I39">
        <v>13</v>
      </c>
      <c r="J39">
        <v>44.07</v>
      </c>
    </row>
    <row r="40" spans="1:10" x14ac:dyDescent="0.25">
      <c r="A40" t="s">
        <v>753</v>
      </c>
      <c r="B40" t="s">
        <v>754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5.54</v>
      </c>
    </row>
    <row r="41" spans="1:10" x14ac:dyDescent="0.25">
      <c r="A41" t="s">
        <v>43</v>
      </c>
      <c r="B41" t="s">
        <v>42</v>
      </c>
      <c r="C41">
        <v>23</v>
      </c>
      <c r="D41">
        <v>410.8</v>
      </c>
      <c r="E41">
        <v>534</v>
      </c>
      <c r="F41">
        <v>10674.529999999895</v>
      </c>
      <c r="G41">
        <v>557</v>
      </c>
      <c r="H41">
        <v>11085.329999999894</v>
      </c>
      <c r="I41">
        <v>3002</v>
      </c>
      <c r="J41">
        <v>35627.11</v>
      </c>
    </row>
    <row r="42" spans="1:10" x14ac:dyDescent="0.25">
      <c r="A42" t="s">
        <v>504</v>
      </c>
      <c r="B42" t="s">
        <v>503</v>
      </c>
      <c r="C42">
        <v>14</v>
      </c>
      <c r="D42">
        <v>58.41</v>
      </c>
      <c r="E42">
        <v>0</v>
      </c>
      <c r="F42">
        <v>0</v>
      </c>
      <c r="G42">
        <v>14</v>
      </c>
      <c r="H42">
        <v>58.41</v>
      </c>
      <c r="I42">
        <v>9</v>
      </c>
      <c r="J42">
        <v>37.22</v>
      </c>
    </row>
    <row r="43" spans="1:10" x14ac:dyDescent="0.25">
      <c r="A43" t="s">
        <v>610</v>
      </c>
      <c r="B43" t="s">
        <v>611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43</v>
      </c>
      <c r="J43">
        <v>284.53999999999996</v>
      </c>
    </row>
    <row r="44" spans="1:10" x14ac:dyDescent="0.25">
      <c r="A44" t="s">
        <v>45</v>
      </c>
      <c r="B44" t="s">
        <v>44</v>
      </c>
      <c r="C44">
        <v>6</v>
      </c>
      <c r="D44">
        <v>36.93</v>
      </c>
      <c r="E44">
        <v>0</v>
      </c>
      <c r="F44">
        <v>0</v>
      </c>
      <c r="G44">
        <v>6</v>
      </c>
      <c r="H44">
        <v>36.93</v>
      </c>
      <c r="I44">
        <v>9</v>
      </c>
      <c r="J44">
        <v>54.099999999999994</v>
      </c>
    </row>
    <row r="45" spans="1:10" x14ac:dyDescent="0.25">
      <c r="A45" t="s">
        <v>612</v>
      </c>
      <c r="B45" t="s">
        <v>613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24.92</v>
      </c>
    </row>
    <row r="46" spans="1:10" x14ac:dyDescent="0.25">
      <c r="A46" t="s">
        <v>47</v>
      </c>
      <c r="B46" t="s">
        <v>46</v>
      </c>
      <c r="C46">
        <v>9</v>
      </c>
      <c r="D46">
        <v>267.95999999999998</v>
      </c>
      <c r="E46">
        <v>394</v>
      </c>
      <c r="F46">
        <v>14503.529999999904</v>
      </c>
      <c r="G46">
        <v>403</v>
      </c>
      <c r="H46">
        <v>14771.489999999903</v>
      </c>
      <c r="I46">
        <v>1143</v>
      </c>
      <c r="J46">
        <v>33655.870000000003</v>
      </c>
    </row>
    <row r="47" spans="1:10" x14ac:dyDescent="0.25">
      <c r="A47" t="s">
        <v>512</v>
      </c>
      <c r="B47" t="s">
        <v>511</v>
      </c>
      <c r="C47">
        <v>66</v>
      </c>
      <c r="D47">
        <v>1357.8700000000001</v>
      </c>
      <c r="E47">
        <v>0</v>
      </c>
      <c r="F47">
        <v>0</v>
      </c>
      <c r="G47">
        <v>66</v>
      </c>
      <c r="H47">
        <v>1357.8700000000001</v>
      </c>
      <c r="I47">
        <v>72</v>
      </c>
      <c r="J47">
        <v>1646.1000000000001</v>
      </c>
    </row>
    <row r="48" spans="1:10" x14ac:dyDescent="0.25">
      <c r="A48" t="s">
        <v>618</v>
      </c>
      <c r="B48" t="s">
        <v>619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10</v>
      </c>
      <c r="J48">
        <v>315.68</v>
      </c>
    </row>
    <row r="49" spans="1:10" x14ac:dyDescent="0.25">
      <c r="A49" t="s">
        <v>755</v>
      </c>
      <c r="B49" t="s">
        <v>756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-2</v>
      </c>
      <c r="J49">
        <v>-16.5</v>
      </c>
    </row>
    <row r="50" spans="1:10" x14ac:dyDescent="0.25">
      <c r="A50" t="s">
        <v>492</v>
      </c>
      <c r="B50" t="s">
        <v>491</v>
      </c>
      <c r="C50">
        <v>0</v>
      </c>
      <c r="D50">
        <v>0</v>
      </c>
      <c r="E50">
        <v>8</v>
      </c>
      <c r="F50">
        <v>432.79999999999995</v>
      </c>
      <c r="G50">
        <v>8</v>
      </c>
      <c r="H50">
        <v>432.79999999999995</v>
      </c>
      <c r="I50">
        <v>266</v>
      </c>
      <c r="J50">
        <v>7610.26</v>
      </c>
    </row>
    <row r="51" spans="1:10" x14ac:dyDescent="0.25">
      <c r="A51" t="s">
        <v>556</v>
      </c>
      <c r="B51" t="s">
        <v>555</v>
      </c>
      <c r="C51">
        <v>11</v>
      </c>
      <c r="D51">
        <v>45.739999999999995</v>
      </c>
      <c r="E51">
        <v>0</v>
      </c>
      <c r="F51">
        <v>0</v>
      </c>
      <c r="G51">
        <v>11</v>
      </c>
      <c r="H51">
        <v>45.739999999999995</v>
      </c>
      <c r="I51">
        <v>0</v>
      </c>
      <c r="J51">
        <v>0</v>
      </c>
    </row>
    <row r="52" spans="1:10" x14ac:dyDescent="0.25">
      <c r="A52" t="s">
        <v>622</v>
      </c>
      <c r="B52" t="s">
        <v>623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8</v>
      </c>
      <c r="J52">
        <v>137.27000000000001</v>
      </c>
    </row>
    <row r="53" spans="1:10" x14ac:dyDescent="0.25">
      <c r="A53" t="s">
        <v>624</v>
      </c>
      <c r="B53" t="s">
        <v>625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38</v>
      </c>
      <c r="J53">
        <v>329.21000000000004</v>
      </c>
    </row>
    <row r="54" spans="1:10" x14ac:dyDescent="0.25">
      <c r="A54" t="s">
        <v>626</v>
      </c>
      <c r="B54" t="s">
        <v>627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46</v>
      </c>
      <c r="J54">
        <v>405.53999999999996</v>
      </c>
    </row>
    <row r="55" spans="1:10" x14ac:dyDescent="0.25">
      <c r="A55" t="s">
        <v>628</v>
      </c>
      <c r="B55" t="s">
        <v>629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13.06</v>
      </c>
    </row>
    <row r="56" spans="1:10" x14ac:dyDescent="0.25">
      <c r="A56" t="s">
        <v>757</v>
      </c>
      <c r="B56" t="s">
        <v>758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49</v>
      </c>
      <c r="B57" t="s">
        <v>48</v>
      </c>
      <c r="C57">
        <v>2</v>
      </c>
      <c r="D57">
        <v>27.28</v>
      </c>
      <c r="E57">
        <v>0</v>
      </c>
      <c r="F57">
        <v>0</v>
      </c>
      <c r="G57">
        <v>2</v>
      </c>
      <c r="H57">
        <v>27.28</v>
      </c>
      <c r="I57">
        <v>8</v>
      </c>
      <c r="J57">
        <v>100.16</v>
      </c>
    </row>
    <row r="58" spans="1:10" x14ac:dyDescent="0.25">
      <c r="A58" t="s">
        <v>51</v>
      </c>
      <c r="B58" t="s">
        <v>50</v>
      </c>
      <c r="C58">
        <v>4</v>
      </c>
      <c r="D58">
        <v>51.29</v>
      </c>
      <c r="E58">
        <v>0</v>
      </c>
      <c r="F58">
        <v>0</v>
      </c>
      <c r="G58">
        <v>4</v>
      </c>
      <c r="H58">
        <v>51.29</v>
      </c>
      <c r="I58">
        <v>6</v>
      </c>
      <c r="J58">
        <v>98.39</v>
      </c>
    </row>
    <row r="59" spans="1:10" x14ac:dyDescent="0.25">
      <c r="A59" t="s">
        <v>524</v>
      </c>
      <c r="B59" t="s">
        <v>523</v>
      </c>
      <c r="C59">
        <v>36</v>
      </c>
      <c r="D59">
        <v>3.64</v>
      </c>
      <c r="E59">
        <v>0</v>
      </c>
      <c r="F59">
        <v>0</v>
      </c>
      <c r="G59">
        <v>36</v>
      </c>
      <c r="H59">
        <v>3.64</v>
      </c>
      <c r="I59">
        <v>17</v>
      </c>
      <c r="J59">
        <v>72.960000000000008</v>
      </c>
    </row>
    <row r="60" spans="1:10" x14ac:dyDescent="0.25">
      <c r="A60" t="s">
        <v>498</v>
      </c>
      <c r="B60" t="s">
        <v>497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558</v>
      </c>
      <c r="B61" t="s">
        <v>557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759</v>
      </c>
      <c r="B62" t="s">
        <v>760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-1</v>
      </c>
      <c r="J62">
        <v>-11.39</v>
      </c>
    </row>
    <row r="63" spans="1:10" x14ac:dyDescent="0.25">
      <c r="A63" t="s">
        <v>53</v>
      </c>
      <c r="B63" t="s">
        <v>52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55</v>
      </c>
      <c r="B64" t="s">
        <v>54</v>
      </c>
      <c r="C64">
        <v>49</v>
      </c>
      <c r="D64">
        <v>1395.95</v>
      </c>
      <c r="E64">
        <v>1</v>
      </c>
      <c r="F64">
        <v>0</v>
      </c>
      <c r="G64">
        <v>50</v>
      </c>
      <c r="H64">
        <v>1395.95</v>
      </c>
      <c r="I64">
        <v>633</v>
      </c>
      <c r="J64">
        <v>15925.61</v>
      </c>
    </row>
    <row r="65" spans="1:10" x14ac:dyDescent="0.25">
      <c r="A65" t="s">
        <v>57</v>
      </c>
      <c r="B65" t="s">
        <v>56</v>
      </c>
      <c r="C65">
        <v>1</v>
      </c>
      <c r="D65">
        <v>31.06</v>
      </c>
      <c r="E65">
        <v>18</v>
      </c>
      <c r="F65">
        <v>898.1999999999997</v>
      </c>
      <c r="G65">
        <v>19</v>
      </c>
      <c r="H65">
        <v>929.25999999999965</v>
      </c>
      <c r="I65">
        <v>17</v>
      </c>
      <c r="J65">
        <v>651.91000000000008</v>
      </c>
    </row>
    <row r="66" spans="1:10" x14ac:dyDescent="0.25">
      <c r="A66" t="s">
        <v>538</v>
      </c>
      <c r="B66" t="s">
        <v>537</v>
      </c>
      <c r="C66">
        <v>15</v>
      </c>
      <c r="D66">
        <v>942.38</v>
      </c>
      <c r="E66">
        <v>0</v>
      </c>
      <c r="F66">
        <v>0</v>
      </c>
      <c r="G66">
        <v>15</v>
      </c>
      <c r="H66">
        <v>942.38</v>
      </c>
      <c r="I66">
        <v>68</v>
      </c>
      <c r="J66">
        <v>3790.13</v>
      </c>
    </row>
    <row r="67" spans="1:10" x14ac:dyDescent="0.25">
      <c r="A67" t="s">
        <v>506</v>
      </c>
      <c r="B67" t="s">
        <v>505</v>
      </c>
      <c r="C67">
        <v>1</v>
      </c>
      <c r="D67">
        <v>66.58</v>
      </c>
      <c r="E67">
        <v>0</v>
      </c>
      <c r="F67">
        <v>0</v>
      </c>
      <c r="G67">
        <v>1</v>
      </c>
      <c r="H67">
        <v>66.58</v>
      </c>
      <c r="I67">
        <v>0</v>
      </c>
      <c r="J67">
        <v>0</v>
      </c>
    </row>
    <row r="68" spans="1:10" x14ac:dyDescent="0.25">
      <c r="A68" t="s">
        <v>632</v>
      </c>
      <c r="B68" t="s">
        <v>633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761</v>
      </c>
      <c r="B69" t="s">
        <v>762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763</v>
      </c>
      <c r="B70" t="s">
        <v>764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23.6</v>
      </c>
    </row>
    <row r="71" spans="1:10" x14ac:dyDescent="0.25">
      <c r="A71" t="s">
        <v>636</v>
      </c>
      <c r="B71" t="s">
        <v>637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</v>
      </c>
      <c r="J71">
        <v>325.48</v>
      </c>
    </row>
    <row r="72" spans="1:10" x14ac:dyDescent="0.25">
      <c r="A72" t="s">
        <v>59</v>
      </c>
      <c r="B72" t="s">
        <v>58</v>
      </c>
      <c r="C72">
        <v>25</v>
      </c>
      <c r="D72">
        <v>1858.24</v>
      </c>
      <c r="E72">
        <v>0</v>
      </c>
      <c r="F72">
        <v>0</v>
      </c>
      <c r="G72">
        <v>25</v>
      </c>
      <c r="H72">
        <v>1858.24</v>
      </c>
      <c r="I72">
        <v>43</v>
      </c>
      <c r="J72">
        <v>3112.52</v>
      </c>
    </row>
    <row r="73" spans="1:10" x14ac:dyDescent="0.25">
      <c r="A73" t="s">
        <v>500</v>
      </c>
      <c r="B73" t="s">
        <v>499</v>
      </c>
      <c r="C73">
        <v>1</v>
      </c>
      <c r="D73">
        <v>26.97</v>
      </c>
      <c r="E73">
        <v>388</v>
      </c>
      <c r="F73">
        <v>12795.269999999911</v>
      </c>
      <c r="G73">
        <v>389</v>
      </c>
      <c r="H73">
        <v>12822.239999999911</v>
      </c>
      <c r="I73">
        <v>803</v>
      </c>
      <c r="J73">
        <v>20999.620000000003</v>
      </c>
    </row>
    <row r="74" spans="1:10" x14ac:dyDescent="0.25">
      <c r="A74" t="s">
        <v>540</v>
      </c>
      <c r="B74" t="s">
        <v>539</v>
      </c>
      <c r="C74">
        <v>3</v>
      </c>
      <c r="D74">
        <v>101.14</v>
      </c>
      <c r="E74">
        <v>0</v>
      </c>
      <c r="F74">
        <v>0</v>
      </c>
      <c r="G74">
        <v>3</v>
      </c>
      <c r="H74">
        <v>101.14</v>
      </c>
      <c r="I74">
        <v>4</v>
      </c>
      <c r="J74">
        <v>139.68</v>
      </c>
    </row>
    <row r="75" spans="1:10" x14ac:dyDescent="0.25">
      <c r="A75" t="s">
        <v>61</v>
      </c>
      <c r="B75" t="s">
        <v>60</v>
      </c>
      <c r="C75">
        <v>2</v>
      </c>
      <c r="D75">
        <v>40.82</v>
      </c>
      <c r="E75">
        <v>0</v>
      </c>
      <c r="F75">
        <v>0</v>
      </c>
      <c r="G75">
        <v>2</v>
      </c>
      <c r="H75">
        <v>40.82</v>
      </c>
      <c r="I75">
        <v>-1</v>
      </c>
      <c r="J75">
        <v>-14.75</v>
      </c>
    </row>
    <row r="76" spans="1:10" x14ac:dyDescent="0.25">
      <c r="A76" t="s">
        <v>63</v>
      </c>
      <c r="B76" t="s">
        <v>62</v>
      </c>
      <c r="C76">
        <v>5</v>
      </c>
      <c r="D76">
        <v>129.21</v>
      </c>
      <c r="E76">
        <v>0</v>
      </c>
      <c r="F76">
        <v>0</v>
      </c>
      <c r="G76">
        <v>5</v>
      </c>
      <c r="H76">
        <v>129.21</v>
      </c>
      <c r="I76">
        <v>19</v>
      </c>
      <c r="J76">
        <v>465.69</v>
      </c>
    </row>
    <row r="77" spans="1:10" x14ac:dyDescent="0.25">
      <c r="A77" t="s">
        <v>65</v>
      </c>
      <c r="B77" t="s">
        <v>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</v>
      </c>
      <c r="J77">
        <v>49.02</v>
      </c>
    </row>
    <row r="78" spans="1:10" x14ac:dyDescent="0.25">
      <c r="A78" t="s">
        <v>67</v>
      </c>
      <c r="B78" t="s">
        <v>66</v>
      </c>
      <c r="C78">
        <v>7</v>
      </c>
      <c r="D78">
        <v>257.01</v>
      </c>
      <c r="E78">
        <v>0</v>
      </c>
      <c r="F78">
        <v>0</v>
      </c>
      <c r="G78">
        <v>7</v>
      </c>
      <c r="H78">
        <v>257.01</v>
      </c>
      <c r="I78">
        <v>11</v>
      </c>
      <c r="J78">
        <v>311.01</v>
      </c>
    </row>
    <row r="79" spans="1:10" x14ac:dyDescent="0.25">
      <c r="A79" t="s">
        <v>638</v>
      </c>
      <c r="B79" t="s">
        <v>639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21.51</v>
      </c>
    </row>
    <row r="80" spans="1:10" x14ac:dyDescent="0.25">
      <c r="A80" t="s">
        <v>69</v>
      </c>
      <c r="B80" t="s">
        <v>68</v>
      </c>
      <c r="C80">
        <v>4</v>
      </c>
      <c r="D80">
        <v>156.28</v>
      </c>
      <c r="E80">
        <v>1</v>
      </c>
      <c r="F80">
        <v>36.99</v>
      </c>
      <c r="G80">
        <v>5</v>
      </c>
      <c r="H80">
        <v>193.27</v>
      </c>
      <c r="I80">
        <v>43</v>
      </c>
      <c r="J80">
        <v>1264.96</v>
      </c>
    </row>
    <row r="81" spans="1:10" x14ac:dyDescent="0.25">
      <c r="A81" t="s">
        <v>71</v>
      </c>
      <c r="B81" t="s">
        <v>70</v>
      </c>
      <c r="C81">
        <v>6</v>
      </c>
      <c r="D81">
        <v>150.78</v>
      </c>
      <c r="E81">
        <v>0</v>
      </c>
      <c r="F81">
        <v>0</v>
      </c>
      <c r="G81">
        <v>6</v>
      </c>
      <c r="H81">
        <v>150.78</v>
      </c>
      <c r="I81">
        <v>7</v>
      </c>
      <c r="J81">
        <v>169.26</v>
      </c>
    </row>
    <row r="82" spans="1:10" x14ac:dyDescent="0.25">
      <c r="A82" t="s">
        <v>518</v>
      </c>
      <c r="B82" t="s">
        <v>517</v>
      </c>
      <c r="C82">
        <v>5</v>
      </c>
      <c r="D82">
        <v>103.55</v>
      </c>
      <c r="E82">
        <v>36</v>
      </c>
      <c r="F82">
        <v>906.39999999999952</v>
      </c>
      <c r="G82">
        <v>41</v>
      </c>
      <c r="H82">
        <v>1009.9499999999995</v>
      </c>
      <c r="I82">
        <v>573</v>
      </c>
      <c r="J82">
        <v>11649.880000000001</v>
      </c>
    </row>
    <row r="83" spans="1:10" x14ac:dyDescent="0.25">
      <c r="A83" t="s">
        <v>73</v>
      </c>
      <c r="B83" t="s">
        <v>72</v>
      </c>
      <c r="C83">
        <v>19</v>
      </c>
      <c r="D83">
        <v>922.48</v>
      </c>
      <c r="E83">
        <v>0</v>
      </c>
      <c r="F83">
        <v>0</v>
      </c>
      <c r="G83">
        <v>19</v>
      </c>
      <c r="H83">
        <v>922.48</v>
      </c>
      <c r="I83">
        <v>23</v>
      </c>
      <c r="J83">
        <v>1319.95</v>
      </c>
    </row>
    <row r="84" spans="1:10" x14ac:dyDescent="0.25">
      <c r="A84" t="s">
        <v>75</v>
      </c>
      <c r="B84" t="s">
        <v>74</v>
      </c>
      <c r="C84">
        <v>1</v>
      </c>
      <c r="D84">
        <v>19.59</v>
      </c>
      <c r="E84">
        <v>0</v>
      </c>
      <c r="F84">
        <v>0</v>
      </c>
      <c r="G84">
        <v>1</v>
      </c>
      <c r="H84">
        <v>19.59</v>
      </c>
      <c r="I84">
        <v>2</v>
      </c>
      <c r="J84">
        <v>49.42</v>
      </c>
    </row>
    <row r="85" spans="1:10" x14ac:dyDescent="0.25">
      <c r="A85" t="s">
        <v>542</v>
      </c>
      <c r="B85" t="s">
        <v>541</v>
      </c>
      <c r="C85">
        <v>-1</v>
      </c>
      <c r="D85">
        <v>-5.12</v>
      </c>
      <c r="E85">
        <v>0</v>
      </c>
      <c r="F85">
        <v>0</v>
      </c>
      <c r="G85">
        <v>-1</v>
      </c>
      <c r="H85">
        <v>-5.12</v>
      </c>
      <c r="I85">
        <v>0</v>
      </c>
      <c r="J85">
        <v>0</v>
      </c>
    </row>
    <row r="86" spans="1:10" x14ac:dyDescent="0.25">
      <c r="A86" t="s">
        <v>570</v>
      </c>
      <c r="B86" t="s">
        <v>569</v>
      </c>
      <c r="C86">
        <v>3</v>
      </c>
      <c r="D86">
        <v>130.44</v>
      </c>
      <c r="E86">
        <v>0</v>
      </c>
      <c r="F86">
        <v>0</v>
      </c>
      <c r="G86">
        <v>3</v>
      </c>
      <c r="H86">
        <v>130.44</v>
      </c>
      <c r="I86">
        <v>4</v>
      </c>
      <c r="J86">
        <v>167.39</v>
      </c>
    </row>
    <row r="87" spans="1:10" x14ac:dyDescent="0.25">
      <c r="A87" t="s">
        <v>765</v>
      </c>
      <c r="B87" t="s">
        <v>766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</v>
      </c>
      <c r="J87">
        <v>-10.75</v>
      </c>
    </row>
    <row r="88" spans="1:10" x14ac:dyDescent="0.25">
      <c r="A88" t="s">
        <v>528</v>
      </c>
      <c r="B88" t="s">
        <v>527</v>
      </c>
      <c r="C88">
        <v>43</v>
      </c>
      <c r="D88">
        <v>1896.1</v>
      </c>
      <c r="E88">
        <v>0</v>
      </c>
      <c r="F88">
        <v>0</v>
      </c>
      <c r="G88">
        <v>43</v>
      </c>
      <c r="H88">
        <v>1896.1</v>
      </c>
      <c r="I88">
        <v>244</v>
      </c>
      <c r="J88">
        <v>9958.3100000000013</v>
      </c>
    </row>
    <row r="89" spans="1:10" x14ac:dyDescent="0.25">
      <c r="A89" t="s">
        <v>77</v>
      </c>
      <c r="B89" t="s">
        <v>76</v>
      </c>
      <c r="C89">
        <v>170</v>
      </c>
      <c r="D89">
        <v>2082.7000000000003</v>
      </c>
      <c r="E89">
        <v>0</v>
      </c>
      <c r="F89">
        <v>0</v>
      </c>
      <c r="G89">
        <v>170</v>
      </c>
      <c r="H89">
        <v>2082.7000000000003</v>
      </c>
      <c r="I89">
        <v>4</v>
      </c>
      <c r="J89">
        <v>67.509999999999991</v>
      </c>
    </row>
    <row r="90" spans="1:10" x14ac:dyDescent="0.25">
      <c r="A90" t="s">
        <v>644</v>
      </c>
      <c r="B90" t="s">
        <v>645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14</v>
      </c>
      <c r="J90">
        <v>71.680000000000007</v>
      </c>
    </row>
    <row r="91" spans="1:10" x14ac:dyDescent="0.25">
      <c r="A91" t="s">
        <v>79</v>
      </c>
      <c r="B91" t="s">
        <v>78</v>
      </c>
      <c r="C91">
        <v>52</v>
      </c>
      <c r="D91">
        <v>763.70999999999992</v>
      </c>
      <c r="E91">
        <v>0</v>
      </c>
      <c r="F91">
        <v>0</v>
      </c>
      <c r="G91">
        <v>52</v>
      </c>
      <c r="H91">
        <v>763.70999999999992</v>
      </c>
      <c r="I91">
        <v>212</v>
      </c>
      <c r="J91">
        <v>3204.1000000000004</v>
      </c>
    </row>
    <row r="92" spans="1:10" x14ac:dyDescent="0.25">
      <c r="A92" t="s">
        <v>81</v>
      </c>
      <c r="B92" t="s">
        <v>80</v>
      </c>
      <c r="C92">
        <v>7</v>
      </c>
      <c r="D92">
        <v>325.84000000000003</v>
      </c>
      <c r="E92">
        <v>0</v>
      </c>
      <c r="F92">
        <v>0</v>
      </c>
      <c r="G92">
        <v>7</v>
      </c>
      <c r="H92">
        <v>325.84000000000003</v>
      </c>
      <c r="I92">
        <v>401</v>
      </c>
      <c r="J92">
        <v>13128.1</v>
      </c>
    </row>
    <row r="93" spans="1:10" x14ac:dyDescent="0.25">
      <c r="A93" t="s">
        <v>646</v>
      </c>
      <c r="B93" t="s">
        <v>647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64.61</v>
      </c>
    </row>
    <row r="94" spans="1:10" x14ac:dyDescent="0.25">
      <c r="A94" t="s">
        <v>83</v>
      </c>
      <c r="B94" t="s">
        <v>82</v>
      </c>
      <c r="C94">
        <v>1</v>
      </c>
      <c r="D94">
        <v>117.41</v>
      </c>
      <c r="E94">
        <v>0</v>
      </c>
      <c r="F94">
        <v>0</v>
      </c>
      <c r="G94">
        <v>1</v>
      </c>
      <c r="H94">
        <v>117.41</v>
      </c>
      <c r="I94">
        <v>0</v>
      </c>
      <c r="J94">
        <v>0</v>
      </c>
    </row>
    <row r="95" spans="1:10" x14ac:dyDescent="0.25">
      <c r="A95" t="s">
        <v>85</v>
      </c>
      <c r="B95" t="s">
        <v>84</v>
      </c>
      <c r="C95">
        <v>46</v>
      </c>
      <c r="D95">
        <v>2537.23</v>
      </c>
      <c r="E95">
        <v>0</v>
      </c>
      <c r="F95">
        <v>0</v>
      </c>
      <c r="G95">
        <v>46</v>
      </c>
      <c r="H95">
        <v>2537.23</v>
      </c>
      <c r="I95">
        <v>30</v>
      </c>
      <c r="J95">
        <v>1541.3400000000001</v>
      </c>
    </row>
    <row r="96" spans="1:10" x14ac:dyDescent="0.25">
      <c r="A96" t="s">
        <v>494</v>
      </c>
      <c r="B96" t="s">
        <v>493</v>
      </c>
      <c r="C96">
        <v>47</v>
      </c>
      <c r="D96">
        <v>1409.6499999999999</v>
      </c>
      <c r="E96">
        <v>13</v>
      </c>
      <c r="F96">
        <v>626.89999999999986</v>
      </c>
      <c r="G96">
        <v>60</v>
      </c>
      <c r="H96">
        <v>2036.5499999999997</v>
      </c>
      <c r="I96">
        <v>67</v>
      </c>
      <c r="J96">
        <v>1995.43</v>
      </c>
    </row>
    <row r="97" spans="1:10" x14ac:dyDescent="0.25">
      <c r="A97" t="s">
        <v>87</v>
      </c>
      <c r="B97" t="s">
        <v>86</v>
      </c>
      <c r="C97">
        <v>32</v>
      </c>
      <c r="D97">
        <v>372.1</v>
      </c>
      <c r="E97">
        <v>0</v>
      </c>
      <c r="F97">
        <v>0</v>
      </c>
      <c r="G97">
        <v>32</v>
      </c>
      <c r="H97">
        <v>372.1</v>
      </c>
      <c r="I97">
        <v>32</v>
      </c>
      <c r="J97">
        <v>241.24</v>
      </c>
    </row>
    <row r="98" spans="1:10" x14ac:dyDescent="0.25">
      <c r="A98" t="s">
        <v>89</v>
      </c>
      <c r="B98" t="s">
        <v>88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648</v>
      </c>
      <c r="B99" t="s">
        <v>649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650</v>
      </c>
      <c r="B100" t="s">
        <v>651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143.11000000000001</v>
      </c>
    </row>
    <row r="101" spans="1:10" x14ac:dyDescent="0.25">
      <c r="A101" t="s">
        <v>91</v>
      </c>
      <c r="B101" t="s">
        <v>90</v>
      </c>
      <c r="C101">
        <v>9</v>
      </c>
      <c r="D101">
        <v>206.62</v>
      </c>
      <c r="E101">
        <v>0</v>
      </c>
      <c r="F101">
        <v>0</v>
      </c>
      <c r="G101">
        <v>9</v>
      </c>
      <c r="H101">
        <v>206.62</v>
      </c>
      <c r="I101">
        <v>0</v>
      </c>
      <c r="J101">
        <v>0</v>
      </c>
    </row>
    <row r="102" spans="1:10" x14ac:dyDescent="0.25">
      <c r="A102" t="s">
        <v>93</v>
      </c>
      <c r="B102" t="s">
        <v>92</v>
      </c>
      <c r="C102">
        <v>3</v>
      </c>
      <c r="D102">
        <v>14.35</v>
      </c>
      <c r="E102">
        <v>0</v>
      </c>
      <c r="F102">
        <v>0</v>
      </c>
      <c r="G102">
        <v>3</v>
      </c>
      <c r="H102">
        <v>14.35</v>
      </c>
      <c r="I102">
        <v>0</v>
      </c>
      <c r="J102">
        <v>0</v>
      </c>
    </row>
    <row r="103" spans="1:10" x14ac:dyDescent="0.25">
      <c r="A103" t="s">
        <v>95</v>
      </c>
      <c r="B103" t="s">
        <v>94</v>
      </c>
      <c r="C103">
        <v>1</v>
      </c>
      <c r="D103">
        <v>29.03</v>
      </c>
      <c r="E103">
        <v>0</v>
      </c>
      <c r="F103">
        <v>0</v>
      </c>
      <c r="G103">
        <v>1</v>
      </c>
      <c r="H103">
        <v>29.03</v>
      </c>
      <c r="I103">
        <v>0</v>
      </c>
      <c r="J103">
        <v>0</v>
      </c>
    </row>
    <row r="104" spans="1:10" x14ac:dyDescent="0.25">
      <c r="A104" t="s">
        <v>97</v>
      </c>
      <c r="B104" t="s">
        <v>96</v>
      </c>
      <c r="C104">
        <v>1</v>
      </c>
      <c r="D104">
        <v>55.62</v>
      </c>
      <c r="E104">
        <v>0</v>
      </c>
      <c r="F104">
        <v>0</v>
      </c>
      <c r="G104">
        <v>1</v>
      </c>
      <c r="H104">
        <v>55.62</v>
      </c>
      <c r="I104">
        <v>0</v>
      </c>
      <c r="J104">
        <v>0</v>
      </c>
    </row>
    <row r="105" spans="1:10" x14ac:dyDescent="0.25">
      <c r="A105" t="s">
        <v>99</v>
      </c>
      <c r="B105" t="s">
        <v>98</v>
      </c>
      <c r="C105">
        <v>1</v>
      </c>
      <c r="D105">
        <v>41.58</v>
      </c>
      <c r="E105">
        <v>0</v>
      </c>
      <c r="F105">
        <v>0</v>
      </c>
      <c r="G105">
        <v>1</v>
      </c>
      <c r="H105">
        <v>41.58</v>
      </c>
      <c r="I105">
        <v>15</v>
      </c>
      <c r="J105">
        <v>623.70000000000005</v>
      </c>
    </row>
    <row r="106" spans="1:10" x14ac:dyDescent="0.25">
      <c r="A106" t="s">
        <v>101</v>
      </c>
      <c r="B106" t="s">
        <v>100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767</v>
      </c>
      <c r="B107" t="s">
        <v>768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</v>
      </c>
      <c r="J107">
        <v>49.02</v>
      </c>
    </row>
    <row r="108" spans="1:10" x14ac:dyDescent="0.25">
      <c r="A108" t="s">
        <v>103</v>
      </c>
      <c r="B108" t="s">
        <v>102</v>
      </c>
      <c r="C108">
        <v>10</v>
      </c>
      <c r="D108">
        <v>253.92</v>
      </c>
      <c r="E108">
        <v>17</v>
      </c>
      <c r="F108">
        <v>542.9899999999999</v>
      </c>
      <c r="G108">
        <v>27</v>
      </c>
      <c r="H108">
        <v>796.90999999999985</v>
      </c>
      <c r="I108">
        <v>100</v>
      </c>
      <c r="J108">
        <v>2466.4</v>
      </c>
    </row>
    <row r="109" spans="1:10" x14ac:dyDescent="0.25">
      <c r="A109" t="s">
        <v>652</v>
      </c>
      <c r="B109" t="s">
        <v>653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20.41</v>
      </c>
    </row>
    <row r="110" spans="1:10" x14ac:dyDescent="0.25">
      <c r="A110" t="s">
        <v>510</v>
      </c>
      <c r="B110" t="s">
        <v>509</v>
      </c>
      <c r="C110">
        <v>199</v>
      </c>
      <c r="D110">
        <v>2973.83</v>
      </c>
      <c r="E110">
        <v>0</v>
      </c>
      <c r="F110">
        <v>0</v>
      </c>
      <c r="G110">
        <v>199</v>
      </c>
      <c r="H110">
        <v>2973.83</v>
      </c>
      <c r="I110">
        <v>17</v>
      </c>
      <c r="J110">
        <v>261.64999999999998</v>
      </c>
    </row>
    <row r="111" spans="1:10" x14ac:dyDescent="0.25">
      <c r="A111" t="s">
        <v>769</v>
      </c>
      <c r="B111" t="s">
        <v>770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656</v>
      </c>
      <c r="B112" t="s">
        <v>657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139.94999999999999</v>
      </c>
    </row>
    <row r="113" spans="1:10" x14ac:dyDescent="0.25">
      <c r="A113" t="s">
        <v>479</v>
      </c>
      <c r="B113" t="s">
        <v>478</v>
      </c>
      <c r="C113">
        <v>30</v>
      </c>
      <c r="D113">
        <v>665.80000000000007</v>
      </c>
      <c r="E113">
        <v>0</v>
      </c>
      <c r="F113">
        <v>0</v>
      </c>
      <c r="G113">
        <v>30</v>
      </c>
      <c r="H113">
        <v>665.80000000000007</v>
      </c>
      <c r="I113">
        <v>37</v>
      </c>
      <c r="J113">
        <v>878.32</v>
      </c>
    </row>
    <row r="114" spans="1:10" x14ac:dyDescent="0.25">
      <c r="A114" t="s">
        <v>105</v>
      </c>
      <c r="B114" t="s">
        <v>104</v>
      </c>
      <c r="C114">
        <v>8</v>
      </c>
      <c r="D114">
        <v>196.7</v>
      </c>
      <c r="E114">
        <v>0</v>
      </c>
      <c r="F114">
        <v>0</v>
      </c>
      <c r="G114">
        <v>8</v>
      </c>
      <c r="H114">
        <v>196.7</v>
      </c>
      <c r="I114">
        <v>0</v>
      </c>
      <c r="J114">
        <v>0</v>
      </c>
    </row>
    <row r="115" spans="1:10" x14ac:dyDescent="0.25">
      <c r="A115" t="s">
        <v>480</v>
      </c>
      <c r="B115" t="s">
        <v>478</v>
      </c>
      <c r="C115">
        <v>2</v>
      </c>
      <c r="D115">
        <v>22.14</v>
      </c>
      <c r="E115">
        <v>45</v>
      </c>
      <c r="F115">
        <v>672.80999999999949</v>
      </c>
      <c r="G115">
        <v>47</v>
      </c>
      <c r="H115">
        <v>694.94999999999948</v>
      </c>
      <c r="I115">
        <v>85</v>
      </c>
      <c r="J115">
        <v>1021.69</v>
      </c>
    </row>
    <row r="116" spans="1:10" x14ac:dyDescent="0.25">
      <c r="A116" t="s">
        <v>107</v>
      </c>
      <c r="B116" t="s">
        <v>106</v>
      </c>
      <c r="C116">
        <v>4</v>
      </c>
      <c r="D116">
        <v>64.509999999999991</v>
      </c>
      <c r="E116">
        <v>0</v>
      </c>
      <c r="F116">
        <v>0</v>
      </c>
      <c r="G116">
        <v>4</v>
      </c>
      <c r="H116">
        <v>64.509999999999991</v>
      </c>
      <c r="I116">
        <v>0</v>
      </c>
      <c r="J116">
        <v>0</v>
      </c>
    </row>
    <row r="117" spans="1:10" x14ac:dyDescent="0.25">
      <c r="A117" t="s">
        <v>109</v>
      </c>
      <c r="B117" t="s">
        <v>108</v>
      </c>
      <c r="C117">
        <v>1</v>
      </c>
      <c r="D117">
        <v>91.6</v>
      </c>
      <c r="E117">
        <v>0</v>
      </c>
      <c r="F117">
        <v>0</v>
      </c>
      <c r="G117">
        <v>1</v>
      </c>
      <c r="H117">
        <v>91.6</v>
      </c>
      <c r="I117">
        <v>0</v>
      </c>
      <c r="J117">
        <v>0</v>
      </c>
    </row>
    <row r="118" spans="1:10" x14ac:dyDescent="0.25">
      <c r="A118" t="s">
        <v>111</v>
      </c>
      <c r="B118" t="s">
        <v>110</v>
      </c>
      <c r="C118">
        <v>203</v>
      </c>
      <c r="D118">
        <v>2645.87</v>
      </c>
      <c r="E118">
        <v>0</v>
      </c>
      <c r="F118">
        <v>0</v>
      </c>
      <c r="G118">
        <v>203</v>
      </c>
      <c r="H118">
        <v>2645.87</v>
      </c>
      <c r="I118">
        <v>164</v>
      </c>
      <c r="J118">
        <v>2010.57</v>
      </c>
    </row>
    <row r="119" spans="1:10" x14ac:dyDescent="0.25">
      <c r="A119" t="s">
        <v>477</v>
      </c>
      <c r="B119" t="s">
        <v>476</v>
      </c>
      <c r="C119">
        <v>72</v>
      </c>
      <c r="D119">
        <v>2028.94</v>
      </c>
      <c r="E119">
        <v>365</v>
      </c>
      <c r="F119">
        <v>12257.319999999916</v>
      </c>
      <c r="G119">
        <v>437</v>
      </c>
      <c r="H119">
        <v>14286.259999999917</v>
      </c>
      <c r="I119">
        <v>375</v>
      </c>
      <c r="J119">
        <v>11812.32</v>
      </c>
    </row>
    <row r="120" spans="1:10" x14ac:dyDescent="0.25">
      <c r="A120" t="s">
        <v>660</v>
      </c>
      <c r="B120" t="s">
        <v>661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662</v>
      </c>
      <c r="B121" t="s">
        <v>663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6</v>
      </c>
      <c r="J121">
        <v>394.15999999999997</v>
      </c>
    </row>
    <row r="122" spans="1:10" x14ac:dyDescent="0.25">
      <c r="A122" t="s">
        <v>664</v>
      </c>
      <c r="B122" t="s">
        <v>665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28.84</v>
      </c>
    </row>
    <row r="123" spans="1:10" x14ac:dyDescent="0.25">
      <c r="A123" t="s">
        <v>490</v>
      </c>
      <c r="B123" t="s">
        <v>489</v>
      </c>
      <c r="C123">
        <v>5</v>
      </c>
      <c r="D123">
        <v>186.48000000000002</v>
      </c>
      <c r="E123">
        <v>20</v>
      </c>
      <c r="F123">
        <v>1037.9999999999998</v>
      </c>
      <c r="G123">
        <v>25</v>
      </c>
      <c r="H123">
        <v>1224.4799999999998</v>
      </c>
      <c r="I123">
        <v>287</v>
      </c>
      <c r="J123">
        <v>10625.77</v>
      </c>
    </row>
    <row r="124" spans="1:10" x14ac:dyDescent="0.25">
      <c r="A124" t="s">
        <v>522</v>
      </c>
      <c r="B124" t="s">
        <v>521</v>
      </c>
      <c r="C124">
        <v>62</v>
      </c>
      <c r="D124">
        <v>2621.2599999999998</v>
      </c>
      <c r="E124">
        <v>19</v>
      </c>
      <c r="F124">
        <v>1138.0999999999999</v>
      </c>
      <c r="G124">
        <v>81</v>
      </c>
      <c r="H124">
        <v>3759.3599999999997</v>
      </c>
      <c r="I124">
        <v>62</v>
      </c>
      <c r="J124">
        <v>2954.2999999999997</v>
      </c>
    </row>
    <row r="125" spans="1:10" x14ac:dyDescent="0.25">
      <c r="A125" t="s">
        <v>666</v>
      </c>
      <c r="B125" t="s">
        <v>667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44.57</v>
      </c>
    </row>
    <row r="126" spans="1:10" x14ac:dyDescent="0.25">
      <c r="A126" t="s">
        <v>113</v>
      </c>
      <c r="B126" t="s">
        <v>112</v>
      </c>
      <c r="C126">
        <v>1</v>
      </c>
      <c r="D126">
        <v>13.81</v>
      </c>
      <c r="E126">
        <v>0</v>
      </c>
      <c r="F126">
        <v>0</v>
      </c>
      <c r="G126">
        <v>1</v>
      </c>
      <c r="H126">
        <v>13.81</v>
      </c>
      <c r="I126">
        <v>1</v>
      </c>
      <c r="J126">
        <v>18.239999999999998</v>
      </c>
    </row>
    <row r="127" spans="1:10" x14ac:dyDescent="0.25">
      <c r="A127" t="s">
        <v>115</v>
      </c>
      <c r="B127" t="s">
        <v>114</v>
      </c>
      <c r="C127">
        <v>1</v>
      </c>
      <c r="D127">
        <v>33.25</v>
      </c>
      <c r="E127">
        <v>0</v>
      </c>
      <c r="F127">
        <v>0</v>
      </c>
      <c r="G127">
        <v>1</v>
      </c>
      <c r="H127">
        <v>33.25</v>
      </c>
      <c r="I127">
        <v>2</v>
      </c>
      <c r="J127">
        <v>71.099999999999994</v>
      </c>
    </row>
    <row r="128" spans="1:10" x14ac:dyDescent="0.25">
      <c r="A128" t="s">
        <v>117</v>
      </c>
      <c r="B128" t="s">
        <v>116</v>
      </c>
      <c r="C128">
        <v>1</v>
      </c>
      <c r="D128">
        <v>54.9</v>
      </c>
      <c r="E128">
        <v>0</v>
      </c>
      <c r="F128">
        <v>0</v>
      </c>
      <c r="G128">
        <v>1</v>
      </c>
      <c r="H128">
        <v>54.9</v>
      </c>
      <c r="I128">
        <v>0</v>
      </c>
      <c r="J128">
        <v>0</v>
      </c>
    </row>
    <row r="129" spans="1:10" x14ac:dyDescent="0.25">
      <c r="A129" t="s">
        <v>544</v>
      </c>
      <c r="B129" t="s">
        <v>543</v>
      </c>
      <c r="C129">
        <v>178</v>
      </c>
      <c r="D129">
        <v>3604.5600000000004</v>
      </c>
      <c r="E129">
        <v>0</v>
      </c>
      <c r="F129">
        <v>0</v>
      </c>
      <c r="G129">
        <v>178</v>
      </c>
      <c r="H129">
        <v>3604.5600000000004</v>
      </c>
      <c r="I129">
        <v>491</v>
      </c>
      <c r="J129">
        <v>10102.950000000001</v>
      </c>
    </row>
    <row r="130" spans="1:10" x14ac:dyDescent="0.25">
      <c r="A130" t="s">
        <v>771</v>
      </c>
      <c r="B130" t="s">
        <v>772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119</v>
      </c>
      <c r="B131" t="s">
        <v>118</v>
      </c>
      <c r="C131">
        <v>3</v>
      </c>
      <c r="D131">
        <v>72.88</v>
      </c>
      <c r="E131">
        <v>0</v>
      </c>
      <c r="F131">
        <v>0</v>
      </c>
      <c r="G131">
        <v>3</v>
      </c>
      <c r="H131">
        <v>72.88</v>
      </c>
      <c r="I131">
        <v>6</v>
      </c>
      <c r="J131">
        <v>134.09</v>
      </c>
    </row>
    <row r="132" spans="1:10" x14ac:dyDescent="0.25">
      <c r="A132" t="s">
        <v>668</v>
      </c>
      <c r="B132" t="s">
        <v>669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8</v>
      </c>
      <c r="J132">
        <v>156.72</v>
      </c>
    </row>
    <row r="133" spans="1:10" x14ac:dyDescent="0.25">
      <c r="A133" t="s">
        <v>121</v>
      </c>
      <c r="B133" t="s">
        <v>120</v>
      </c>
      <c r="C133">
        <v>1</v>
      </c>
      <c r="D133">
        <v>17.07</v>
      </c>
      <c r="E133">
        <v>0</v>
      </c>
      <c r="F133">
        <v>0</v>
      </c>
      <c r="G133">
        <v>1</v>
      </c>
      <c r="H133">
        <v>17.07</v>
      </c>
      <c r="I133">
        <v>0</v>
      </c>
      <c r="J133">
        <v>0</v>
      </c>
    </row>
    <row r="134" spans="1:10" x14ac:dyDescent="0.25">
      <c r="A134" t="s">
        <v>546</v>
      </c>
      <c r="B134" t="s">
        <v>545</v>
      </c>
      <c r="C134">
        <v>93</v>
      </c>
      <c r="D134">
        <v>687.96</v>
      </c>
      <c r="E134">
        <v>0</v>
      </c>
      <c r="F134">
        <v>0</v>
      </c>
      <c r="G134">
        <v>93</v>
      </c>
      <c r="H134">
        <v>687.96</v>
      </c>
      <c r="I134">
        <v>31</v>
      </c>
      <c r="J134">
        <v>255.23999999999998</v>
      </c>
    </row>
    <row r="135" spans="1:10" x14ac:dyDescent="0.25">
      <c r="A135" t="s">
        <v>670</v>
      </c>
      <c r="B135" t="s">
        <v>671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8.32</v>
      </c>
    </row>
    <row r="136" spans="1:10" x14ac:dyDescent="0.25">
      <c r="A136" t="s">
        <v>488</v>
      </c>
      <c r="B136" t="s">
        <v>487</v>
      </c>
      <c r="C136">
        <v>24</v>
      </c>
      <c r="D136">
        <v>339.75</v>
      </c>
      <c r="E136">
        <v>0</v>
      </c>
      <c r="F136">
        <v>0</v>
      </c>
      <c r="G136">
        <v>24</v>
      </c>
      <c r="H136">
        <v>339.75</v>
      </c>
      <c r="I136">
        <v>3</v>
      </c>
      <c r="J136">
        <v>86.73</v>
      </c>
    </row>
    <row r="137" spans="1:10" x14ac:dyDescent="0.25">
      <c r="A137" t="s">
        <v>672</v>
      </c>
      <c r="B137" t="s">
        <v>673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24.51</v>
      </c>
    </row>
    <row r="138" spans="1:10" x14ac:dyDescent="0.25">
      <c r="A138" t="s">
        <v>502</v>
      </c>
      <c r="B138" t="s">
        <v>501</v>
      </c>
      <c r="C138">
        <v>2</v>
      </c>
      <c r="D138">
        <v>151.86000000000001</v>
      </c>
      <c r="E138">
        <v>0</v>
      </c>
      <c r="F138">
        <v>0</v>
      </c>
      <c r="G138">
        <v>2</v>
      </c>
      <c r="H138">
        <v>151.86000000000001</v>
      </c>
      <c r="I138">
        <v>2</v>
      </c>
      <c r="J138">
        <v>162.30000000000001</v>
      </c>
    </row>
    <row r="139" spans="1:10" x14ac:dyDescent="0.25">
      <c r="A139" t="s">
        <v>530</v>
      </c>
      <c r="B139" t="s">
        <v>529</v>
      </c>
      <c r="C139">
        <v>7</v>
      </c>
      <c r="D139">
        <v>332.73</v>
      </c>
      <c r="E139">
        <v>0</v>
      </c>
      <c r="F139">
        <v>0</v>
      </c>
      <c r="G139">
        <v>7</v>
      </c>
      <c r="H139">
        <v>332.73</v>
      </c>
      <c r="I139">
        <v>11</v>
      </c>
      <c r="J139">
        <v>525.08000000000004</v>
      </c>
    </row>
    <row r="140" spans="1:10" x14ac:dyDescent="0.25">
      <c r="A140" t="s">
        <v>773</v>
      </c>
      <c r="B140" t="s">
        <v>774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674</v>
      </c>
      <c r="B141" t="s">
        <v>675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-1</v>
      </c>
      <c r="J141">
        <v>-10.84</v>
      </c>
    </row>
    <row r="142" spans="1:10" x14ac:dyDescent="0.25">
      <c r="A142" t="s">
        <v>775</v>
      </c>
      <c r="B142" t="s">
        <v>776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98.2</v>
      </c>
    </row>
    <row r="143" spans="1:10" x14ac:dyDescent="0.25">
      <c r="A143" t="s">
        <v>516</v>
      </c>
      <c r="B143" t="s">
        <v>515</v>
      </c>
      <c r="C143">
        <v>361</v>
      </c>
      <c r="D143">
        <v>5152.8799999999992</v>
      </c>
      <c r="E143">
        <v>0</v>
      </c>
      <c r="F143">
        <v>0</v>
      </c>
      <c r="G143">
        <v>361</v>
      </c>
      <c r="H143">
        <v>5152.8799999999992</v>
      </c>
      <c r="I143">
        <v>187</v>
      </c>
      <c r="J143">
        <v>2564.1999999999998</v>
      </c>
    </row>
    <row r="144" spans="1:10" x14ac:dyDescent="0.25">
      <c r="A144" t="s">
        <v>475</v>
      </c>
      <c r="B144" t="s">
        <v>474</v>
      </c>
      <c r="C144">
        <v>5</v>
      </c>
      <c r="D144">
        <v>97.62</v>
      </c>
      <c r="E144">
        <v>0</v>
      </c>
      <c r="F144">
        <v>0</v>
      </c>
      <c r="G144">
        <v>5</v>
      </c>
      <c r="H144">
        <v>97.62</v>
      </c>
      <c r="I144">
        <v>2</v>
      </c>
      <c r="J144">
        <v>32.659999999999997</v>
      </c>
    </row>
    <row r="145" spans="1:10" x14ac:dyDescent="0.25">
      <c r="A145" t="s">
        <v>123</v>
      </c>
      <c r="B145" t="s">
        <v>122</v>
      </c>
      <c r="C145">
        <v>8</v>
      </c>
      <c r="D145">
        <v>198.65</v>
      </c>
      <c r="E145">
        <v>0</v>
      </c>
      <c r="F145">
        <v>0</v>
      </c>
      <c r="G145">
        <v>8</v>
      </c>
      <c r="H145">
        <v>198.65</v>
      </c>
      <c r="I145">
        <v>22</v>
      </c>
      <c r="J145">
        <v>544.95000000000005</v>
      </c>
    </row>
    <row r="146" spans="1:10" x14ac:dyDescent="0.25">
      <c r="A146" t="s">
        <v>125</v>
      </c>
      <c r="B146" t="s">
        <v>124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835</v>
      </c>
      <c r="J146">
        <v>10271.709999999999</v>
      </c>
    </row>
    <row r="147" spans="1:10" x14ac:dyDescent="0.25">
      <c r="A147" t="s">
        <v>560</v>
      </c>
      <c r="B147" t="s">
        <v>559</v>
      </c>
      <c r="C147">
        <v>40</v>
      </c>
      <c r="D147">
        <v>465.02000000000004</v>
      </c>
      <c r="E147">
        <v>0</v>
      </c>
      <c r="F147">
        <v>0</v>
      </c>
      <c r="G147">
        <v>40</v>
      </c>
      <c r="H147">
        <v>465.02000000000004</v>
      </c>
      <c r="I147">
        <v>54</v>
      </c>
      <c r="J147">
        <v>620.82000000000005</v>
      </c>
    </row>
    <row r="148" spans="1:10" x14ac:dyDescent="0.25">
      <c r="A148" t="s">
        <v>496</v>
      </c>
      <c r="B148" t="s">
        <v>495</v>
      </c>
      <c r="C148">
        <v>8</v>
      </c>
      <c r="D148">
        <v>198.73000000000002</v>
      </c>
      <c r="E148">
        <v>0</v>
      </c>
      <c r="F148">
        <v>0</v>
      </c>
      <c r="G148">
        <v>8</v>
      </c>
      <c r="H148">
        <v>198.73000000000002</v>
      </c>
      <c r="I148">
        <v>10</v>
      </c>
      <c r="J148">
        <v>245.4</v>
      </c>
    </row>
    <row r="149" spans="1:10" x14ac:dyDescent="0.25">
      <c r="A149" t="s">
        <v>514</v>
      </c>
      <c r="B149" t="s">
        <v>513</v>
      </c>
      <c r="C149">
        <v>0</v>
      </c>
      <c r="D149">
        <v>0</v>
      </c>
      <c r="E149">
        <v>1</v>
      </c>
      <c r="F149">
        <v>15.9</v>
      </c>
      <c r="G149">
        <v>1</v>
      </c>
      <c r="H149">
        <v>15.9</v>
      </c>
      <c r="I149">
        <v>0</v>
      </c>
      <c r="J149">
        <v>0</v>
      </c>
    </row>
    <row r="150" spans="1:10" x14ac:dyDescent="0.25">
      <c r="A150" t="s">
        <v>676</v>
      </c>
      <c r="B150" t="s">
        <v>677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5</v>
      </c>
      <c r="J150">
        <v>57.47</v>
      </c>
    </row>
    <row r="151" spans="1:10" x14ac:dyDescent="0.25">
      <c r="A151" t="s">
        <v>678</v>
      </c>
      <c r="B151" t="s">
        <v>679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562</v>
      </c>
      <c r="B152" t="s">
        <v>561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24</v>
      </c>
      <c r="J152">
        <v>184.5</v>
      </c>
    </row>
    <row r="153" spans="1:10" x14ac:dyDescent="0.25">
      <c r="A153" t="s">
        <v>127</v>
      </c>
      <c r="B153" t="s">
        <v>126</v>
      </c>
      <c r="C153">
        <v>172</v>
      </c>
      <c r="D153">
        <v>4167.01</v>
      </c>
      <c r="E153">
        <v>104</v>
      </c>
      <c r="F153">
        <v>3109.6000000000017</v>
      </c>
      <c r="G153">
        <v>276</v>
      </c>
      <c r="H153">
        <v>7276.6100000000024</v>
      </c>
      <c r="I153">
        <v>352</v>
      </c>
      <c r="J153">
        <v>8344.1</v>
      </c>
    </row>
    <row r="154" spans="1:10" x14ac:dyDescent="0.25">
      <c r="A154" t="s">
        <v>680</v>
      </c>
      <c r="B154" t="s">
        <v>681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482</v>
      </c>
      <c r="B155" t="s">
        <v>481</v>
      </c>
      <c r="C155">
        <v>25</v>
      </c>
      <c r="D155">
        <v>993.72</v>
      </c>
      <c r="E155">
        <v>0</v>
      </c>
      <c r="F155">
        <v>0</v>
      </c>
      <c r="G155">
        <v>25</v>
      </c>
      <c r="H155">
        <v>993.72</v>
      </c>
      <c r="I155">
        <v>21</v>
      </c>
      <c r="J155">
        <v>998.34</v>
      </c>
    </row>
    <row r="156" spans="1:10" x14ac:dyDescent="0.25">
      <c r="A156" t="s">
        <v>682</v>
      </c>
      <c r="B156" t="s">
        <v>683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221.75</v>
      </c>
    </row>
    <row r="157" spans="1:10" x14ac:dyDescent="0.25">
      <c r="A157" t="s">
        <v>129</v>
      </c>
      <c r="B157" t="s">
        <v>128</v>
      </c>
      <c r="C157">
        <v>1</v>
      </c>
      <c r="D157">
        <v>157.5</v>
      </c>
      <c r="E157">
        <v>0</v>
      </c>
      <c r="F157">
        <v>0</v>
      </c>
      <c r="G157">
        <v>1</v>
      </c>
      <c r="H157">
        <v>157.5</v>
      </c>
      <c r="I157">
        <v>0</v>
      </c>
      <c r="J157">
        <v>0</v>
      </c>
    </row>
    <row r="158" spans="1:10" x14ac:dyDescent="0.25">
      <c r="A158" t="s">
        <v>684</v>
      </c>
      <c r="B158" t="s">
        <v>685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47.98</v>
      </c>
    </row>
    <row r="159" spans="1:10" x14ac:dyDescent="0.25">
      <c r="A159" t="s">
        <v>548</v>
      </c>
      <c r="B159" t="s">
        <v>547</v>
      </c>
      <c r="C159">
        <v>16</v>
      </c>
      <c r="D159">
        <v>317.03000000000003</v>
      </c>
      <c r="E159">
        <v>0</v>
      </c>
      <c r="F159">
        <v>0</v>
      </c>
      <c r="G159">
        <v>16</v>
      </c>
      <c r="H159">
        <v>317.03000000000003</v>
      </c>
      <c r="I159">
        <v>20</v>
      </c>
      <c r="J159">
        <v>398.11</v>
      </c>
    </row>
    <row r="160" spans="1:10" x14ac:dyDescent="0.25">
      <c r="A160" t="s">
        <v>131</v>
      </c>
      <c r="B160" t="s">
        <v>130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54.879999999999995</v>
      </c>
    </row>
    <row r="161" spans="1:10" x14ac:dyDescent="0.25">
      <c r="A161" t="s">
        <v>564</v>
      </c>
      <c r="B161" t="s">
        <v>563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566</v>
      </c>
      <c r="B162" t="s">
        <v>565</v>
      </c>
      <c r="C162">
        <v>0</v>
      </c>
      <c r="D162">
        <v>0</v>
      </c>
      <c r="E162">
        <v>28</v>
      </c>
      <c r="F162">
        <v>2275.400000000001</v>
      </c>
      <c r="G162">
        <v>28</v>
      </c>
      <c r="H162">
        <v>2275.400000000001</v>
      </c>
      <c r="I162">
        <v>10</v>
      </c>
      <c r="J162">
        <v>710.11</v>
      </c>
    </row>
    <row r="163" spans="1:10" x14ac:dyDescent="0.25">
      <c r="A163" t="s">
        <v>133</v>
      </c>
      <c r="B163" t="s">
        <v>132</v>
      </c>
      <c r="C163">
        <v>9</v>
      </c>
      <c r="D163">
        <v>384.04</v>
      </c>
      <c r="E163">
        <v>3</v>
      </c>
      <c r="F163">
        <v>149.69999999999999</v>
      </c>
      <c r="G163">
        <v>12</v>
      </c>
      <c r="H163">
        <v>533.74</v>
      </c>
      <c r="I163">
        <v>69</v>
      </c>
      <c r="J163">
        <v>3127.7400000000002</v>
      </c>
    </row>
    <row r="164" spans="1:10" x14ac:dyDescent="0.25">
      <c r="A164" t="s">
        <v>135</v>
      </c>
      <c r="B164" t="s">
        <v>134</v>
      </c>
      <c r="C164">
        <v>6</v>
      </c>
      <c r="D164">
        <v>165.58</v>
      </c>
      <c r="E164">
        <v>0</v>
      </c>
      <c r="F164">
        <v>0</v>
      </c>
      <c r="G164">
        <v>6</v>
      </c>
      <c r="H164">
        <v>165.58</v>
      </c>
      <c r="I164">
        <v>48</v>
      </c>
      <c r="J164">
        <v>1180.17</v>
      </c>
    </row>
    <row r="165" spans="1:10" x14ac:dyDescent="0.25">
      <c r="A165" t="s">
        <v>520</v>
      </c>
      <c r="B165" t="s">
        <v>519</v>
      </c>
      <c r="C165">
        <v>-4</v>
      </c>
      <c r="D165">
        <v>-230.16</v>
      </c>
      <c r="E165">
        <v>0</v>
      </c>
      <c r="F165">
        <v>0</v>
      </c>
      <c r="G165">
        <v>-4</v>
      </c>
      <c r="H165">
        <v>-230.16</v>
      </c>
      <c r="I165">
        <v>180</v>
      </c>
      <c r="J165">
        <v>10892.220000000001</v>
      </c>
    </row>
    <row r="166" spans="1:10" x14ac:dyDescent="0.25">
      <c r="A166" t="s">
        <v>688</v>
      </c>
      <c r="B166" t="s">
        <v>689</v>
      </c>
      <c r="C166">
        <v>1</v>
      </c>
      <c r="D166">
        <v>78.16</v>
      </c>
      <c r="E166">
        <v>0</v>
      </c>
      <c r="F166">
        <v>0</v>
      </c>
      <c r="G166">
        <v>1</v>
      </c>
      <c r="H166">
        <v>78.16</v>
      </c>
      <c r="I166">
        <v>1</v>
      </c>
      <c r="J166">
        <v>37.97</v>
      </c>
    </row>
    <row r="167" spans="1:10" x14ac:dyDescent="0.25">
      <c r="A167" t="s">
        <v>137</v>
      </c>
      <c r="B167" t="s">
        <v>136</v>
      </c>
      <c r="C167">
        <v>41</v>
      </c>
      <c r="D167">
        <v>2246.3200000000002</v>
      </c>
      <c r="E167">
        <v>0</v>
      </c>
      <c r="F167">
        <v>0</v>
      </c>
      <c r="G167">
        <v>41</v>
      </c>
      <c r="H167">
        <v>2246.3200000000002</v>
      </c>
      <c r="I167">
        <v>45</v>
      </c>
      <c r="J167">
        <v>2654.8399999999997</v>
      </c>
    </row>
    <row r="168" spans="1:10" x14ac:dyDescent="0.25">
      <c r="A168" t="s">
        <v>139</v>
      </c>
      <c r="B168" t="s">
        <v>138</v>
      </c>
      <c r="C168">
        <v>120</v>
      </c>
      <c r="D168">
        <v>1506.88</v>
      </c>
      <c r="E168">
        <v>0</v>
      </c>
      <c r="F168">
        <v>0</v>
      </c>
      <c r="G168">
        <v>120</v>
      </c>
      <c r="H168">
        <v>1506.88</v>
      </c>
      <c r="I168">
        <v>3622</v>
      </c>
      <c r="J168">
        <v>44366.180000000008</v>
      </c>
    </row>
    <row r="169" spans="1:10" x14ac:dyDescent="0.25">
      <c r="A169" t="s">
        <v>690</v>
      </c>
      <c r="B169" t="s">
        <v>691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484</v>
      </c>
      <c r="B170" t="s">
        <v>483</v>
      </c>
      <c r="C170">
        <v>5</v>
      </c>
      <c r="D170">
        <v>100.64000000000001</v>
      </c>
      <c r="E170">
        <v>0</v>
      </c>
      <c r="F170">
        <v>0</v>
      </c>
      <c r="G170">
        <v>5</v>
      </c>
      <c r="H170">
        <v>100.64000000000001</v>
      </c>
      <c r="I170">
        <v>5</v>
      </c>
      <c r="J170">
        <v>102.22</v>
      </c>
    </row>
    <row r="171" spans="1:10" x14ac:dyDescent="0.25">
      <c r="A171" t="s">
        <v>692</v>
      </c>
      <c r="B171" t="s">
        <v>693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60</v>
      </c>
      <c r="J171">
        <v>1001.77</v>
      </c>
    </row>
    <row r="172" spans="1:10" x14ac:dyDescent="0.25">
      <c r="A172" t="s">
        <v>141</v>
      </c>
      <c r="B172" t="s">
        <v>140</v>
      </c>
      <c r="C172">
        <v>0</v>
      </c>
      <c r="D172">
        <v>0</v>
      </c>
      <c r="E172">
        <v>31</v>
      </c>
      <c r="F172">
        <v>1866.900000000001</v>
      </c>
      <c r="G172">
        <v>31</v>
      </c>
      <c r="H172">
        <v>1866.900000000001</v>
      </c>
      <c r="I172">
        <v>98</v>
      </c>
      <c r="J172">
        <v>5258.27</v>
      </c>
    </row>
    <row r="173" spans="1:10" x14ac:dyDescent="0.25">
      <c r="A173" t="s">
        <v>143</v>
      </c>
      <c r="B173" t="s">
        <v>142</v>
      </c>
      <c r="C173">
        <v>1</v>
      </c>
      <c r="D173">
        <v>24.88</v>
      </c>
      <c r="E173">
        <v>42</v>
      </c>
      <c r="F173">
        <v>1333.8200000000004</v>
      </c>
      <c r="G173">
        <v>43</v>
      </c>
      <c r="H173">
        <v>1358.7000000000005</v>
      </c>
      <c r="I173">
        <v>955</v>
      </c>
      <c r="J173">
        <v>20195.070000000003</v>
      </c>
    </row>
    <row r="174" spans="1:10" x14ac:dyDescent="0.25">
      <c r="A174" t="s">
        <v>145</v>
      </c>
      <c r="B174" t="s">
        <v>144</v>
      </c>
      <c r="C174">
        <v>30</v>
      </c>
      <c r="D174">
        <v>726.79</v>
      </c>
      <c r="E174">
        <v>0</v>
      </c>
      <c r="F174">
        <v>0</v>
      </c>
      <c r="G174">
        <v>30</v>
      </c>
      <c r="H174">
        <v>726.79</v>
      </c>
      <c r="I174">
        <v>427</v>
      </c>
      <c r="J174">
        <v>10551.099999999999</v>
      </c>
    </row>
    <row r="175" spans="1:10" x14ac:dyDescent="0.25">
      <c r="A175" t="s">
        <v>694</v>
      </c>
      <c r="B175" t="s">
        <v>695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-1</v>
      </c>
      <c r="J175">
        <v>-16.309999999999999</v>
      </c>
    </row>
    <row r="176" spans="1:10" x14ac:dyDescent="0.25">
      <c r="A176" t="s">
        <v>147</v>
      </c>
      <c r="B176" t="s">
        <v>146</v>
      </c>
      <c r="C176">
        <v>6</v>
      </c>
      <c r="D176">
        <v>31</v>
      </c>
      <c r="E176">
        <v>0</v>
      </c>
      <c r="F176">
        <v>0</v>
      </c>
      <c r="G176">
        <v>6</v>
      </c>
      <c r="H176">
        <v>31</v>
      </c>
      <c r="I176">
        <v>7</v>
      </c>
      <c r="J176">
        <v>41.82</v>
      </c>
    </row>
    <row r="177" spans="1:10" x14ac:dyDescent="0.25">
      <c r="A177" t="s">
        <v>149</v>
      </c>
      <c r="B177" t="s">
        <v>148</v>
      </c>
      <c r="C177">
        <v>1</v>
      </c>
      <c r="D177">
        <v>7.62</v>
      </c>
      <c r="E177">
        <v>0</v>
      </c>
      <c r="F177">
        <v>0</v>
      </c>
      <c r="G177">
        <v>1</v>
      </c>
      <c r="H177">
        <v>7.62</v>
      </c>
      <c r="I177">
        <v>94</v>
      </c>
      <c r="J177">
        <v>642.25000000000011</v>
      </c>
    </row>
    <row r="178" spans="1:10" x14ac:dyDescent="0.25">
      <c r="A178" t="s">
        <v>550</v>
      </c>
      <c r="B178" t="s">
        <v>549</v>
      </c>
      <c r="C178">
        <v>62</v>
      </c>
      <c r="D178">
        <v>393.92</v>
      </c>
      <c r="E178">
        <v>0</v>
      </c>
      <c r="F178">
        <v>0</v>
      </c>
      <c r="G178">
        <v>62</v>
      </c>
      <c r="H178">
        <v>393.92</v>
      </c>
      <c r="I178">
        <v>17</v>
      </c>
      <c r="J178">
        <v>112.24</v>
      </c>
    </row>
    <row r="179" spans="1:10" x14ac:dyDescent="0.25">
      <c r="A179" t="s">
        <v>151</v>
      </c>
      <c r="B179" t="s">
        <v>150</v>
      </c>
      <c r="C179">
        <v>82</v>
      </c>
      <c r="D179">
        <v>542.86000000000013</v>
      </c>
      <c r="E179">
        <v>0</v>
      </c>
      <c r="F179">
        <v>0</v>
      </c>
      <c r="G179">
        <v>82</v>
      </c>
      <c r="H179">
        <v>542.86000000000013</v>
      </c>
      <c r="I179">
        <v>126</v>
      </c>
      <c r="J179">
        <v>754.6</v>
      </c>
    </row>
    <row r="180" spans="1:10" x14ac:dyDescent="0.25">
      <c r="A180" t="s">
        <v>153</v>
      </c>
      <c r="B180" t="s">
        <v>152</v>
      </c>
      <c r="C180">
        <v>110</v>
      </c>
      <c r="D180">
        <v>709.19</v>
      </c>
      <c r="E180">
        <v>0</v>
      </c>
      <c r="F180">
        <v>0</v>
      </c>
      <c r="G180">
        <v>110</v>
      </c>
      <c r="H180">
        <v>709.19</v>
      </c>
      <c r="I180">
        <v>73</v>
      </c>
      <c r="J180">
        <v>467.90000000000003</v>
      </c>
    </row>
    <row r="181" spans="1:10" x14ac:dyDescent="0.25">
      <c r="A181" t="s">
        <v>486</v>
      </c>
      <c r="B181" t="s">
        <v>485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t="s">
        <v>568</v>
      </c>
      <c r="B182" t="s">
        <v>567</v>
      </c>
      <c r="C182">
        <v>95</v>
      </c>
      <c r="D182">
        <v>1248.69</v>
      </c>
      <c r="E182">
        <v>0</v>
      </c>
      <c r="F182">
        <v>0</v>
      </c>
      <c r="G182">
        <v>95</v>
      </c>
      <c r="H182">
        <v>1248.69</v>
      </c>
      <c r="I182">
        <v>52</v>
      </c>
      <c r="J182">
        <v>818.72</v>
      </c>
    </row>
    <row r="183" spans="1:10" x14ac:dyDescent="0.25">
      <c r="A183" t="s">
        <v>155</v>
      </c>
      <c r="B183" t="s">
        <v>154</v>
      </c>
      <c r="C183">
        <v>1</v>
      </c>
      <c r="D183">
        <v>5.98</v>
      </c>
      <c r="E183">
        <v>0</v>
      </c>
      <c r="F183">
        <v>0</v>
      </c>
      <c r="G183">
        <v>1</v>
      </c>
      <c r="H183">
        <v>5.98</v>
      </c>
      <c r="I183">
        <v>0</v>
      </c>
      <c r="J183">
        <v>0</v>
      </c>
    </row>
    <row r="184" spans="1:10" x14ac:dyDescent="0.25">
      <c r="A184" t="s">
        <v>696</v>
      </c>
      <c r="B184" t="s">
        <v>697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83</v>
      </c>
      <c r="J184">
        <v>1356.2</v>
      </c>
    </row>
    <row r="185" spans="1:10" x14ac:dyDescent="0.25">
      <c r="A185" t="s">
        <v>552</v>
      </c>
      <c r="B185" t="s">
        <v>551</v>
      </c>
      <c r="C185">
        <v>51</v>
      </c>
      <c r="D185">
        <v>1264.3</v>
      </c>
      <c r="E185">
        <v>1</v>
      </c>
      <c r="F185">
        <v>29.9</v>
      </c>
      <c r="G185">
        <v>52</v>
      </c>
      <c r="H185">
        <v>1294.2</v>
      </c>
      <c r="I185">
        <v>110</v>
      </c>
      <c r="J185">
        <v>2772.9399999999996</v>
      </c>
    </row>
    <row r="186" spans="1:10" x14ac:dyDescent="0.25">
      <c r="A186" t="s">
        <v>157</v>
      </c>
      <c r="B186" t="s">
        <v>156</v>
      </c>
      <c r="C186">
        <v>8</v>
      </c>
      <c r="D186">
        <v>131.02999999999997</v>
      </c>
      <c r="E186">
        <v>0</v>
      </c>
      <c r="F186">
        <v>0</v>
      </c>
      <c r="G186">
        <v>8</v>
      </c>
      <c r="H186">
        <v>131.02999999999997</v>
      </c>
      <c r="I186">
        <v>0</v>
      </c>
      <c r="J186">
        <v>0</v>
      </c>
    </row>
    <row r="187" spans="1:10" x14ac:dyDescent="0.25">
      <c r="A187" t="s">
        <v>159</v>
      </c>
      <c r="B187" t="s">
        <v>158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161</v>
      </c>
      <c r="B188" t="s">
        <v>160</v>
      </c>
      <c r="C188">
        <v>65</v>
      </c>
      <c r="D188">
        <v>429.35999999999996</v>
      </c>
      <c r="E188">
        <v>0</v>
      </c>
      <c r="F188">
        <v>0</v>
      </c>
      <c r="G188">
        <v>65</v>
      </c>
      <c r="H188">
        <v>429.35999999999996</v>
      </c>
      <c r="I188">
        <v>240</v>
      </c>
      <c r="J188">
        <v>1751.42</v>
      </c>
    </row>
    <row r="189" spans="1:10" x14ac:dyDescent="0.25">
      <c r="A189" t="s">
        <v>163</v>
      </c>
      <c r="B189" t="s">
        <v>162</v>
      </c>
      <c r="C189">
        <v>99</v>
      </c>
      <c r="D189">
        <v>1328.46</v>
      </c>
      <c r="E189">
        <v>0</v>
      </c>
      <c r="F189">
        <v>0</v>
      </c>
      <c r="G189">
        <v>99</v>
      </c>
      <c r="H189">
        <v>1328.46</v>
      </c>
      <c r="I189">
        <v>1211</v>
      </c>
      <c r="J189">
        <v>15347.37</v>
      </c>
    </row>
    <row r="190" spans="1:10" x14ac:dyDescent="0.25">
      <c r="A190" t="s">
        <v>165</v>
      </c>
      <c r="B190" t="s">
        <v>164</v>
      </c>
      <c r="C190">
        <v>18</v>
      </c>
      <c r="D190">
        <v>414.31</v>
      </c>
      <c r="E190">
        <v>0</v>
      </c>
      <c r="F190">
        <v>0</v>
      </c>
      <c r="G190">
        <v>18</v>
      </c>
      <c r="H190">
        <v>414.31</v>
      </c>
      <c r="I190">
        <v>0</v>
      </c>
      <c r="J190">
        <v>0</v>
      </c>
    </row>
    <row r="191" spans="1:10" x14ac:dyDescent="0.25">
      <c r="A191" t="s">
        <v>167</v>
      </c>
      <c r="B191" t="s">
        <v>166</v>
      </c>
      <c r="C191">
        <v>55</v>
      </c>
      <c r="D191">
        <v>269.98</v>
      </c>
      <c r="E191">
        <v>0</v>
      </c>
      <c r="F191">
        <v>0</v>
      </c>
      <c r="G191">
        <v>55</v>
      </c>
      <c r="H191">
        <v>269.98</v>
      </c>
      <c r="I191">
        <v>223</v>
      </c>
      <c r="J191">
        <v>1083.48</v>
      </c>
    </row>
    <row r="192" spans="1:10" x14ac:dyDescent="0.25">
      <c r="A192" t="s">
        <v>698</v>
      </c>
      <c r="B192" t="s">
        <v>699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14</v>
      </c>
      <c r="J192">
        <v>451.56999999999994</v>
      </c>
    </row>
    <row r="193" spans="1:10" x14ac:dyDescent="0.25">
      <c r="A193" t="s">
        <v>169</v>
      </c>
      <c r="B193" t="s">
        <v>168</v>
      </c>
      <c r="C193">
        <v>4</v>
      </c>
      <c r="D193">
        <v>42.46</v>
      </c>
      <c r="E193">
        <v>0</v>
      </c>
      <c r="F193">
        <v>0</v>
      </c>
      <c r="G193">
        <v>4</v>
      </c>
      <c r="H193">
        <v>42.46</v>
      </c>
      <c r="I193">
        <v>9</v>
      </c>
      <c r="J193">
        <v>107.09</v>
      </c>
    </row>
    <row r="194" spans="1:10" x14ac:dyDescent="0.25">
      <c r="A194" t="s">
        <v>171</v>
      </c>
      <c r="B194" t="s">
        <v>170</v>
      </c>
      <c r="C194">
        <v>83</v>
      </c>
      <c r="D194">
        <v>1386.3000000000002</v>
      </c>
      <c r="E194">
        <v>0</v>
      </c>
      <c r="F194">
        <v>0</v>
      </c>
      <c r="G194">
        <v>83</v>
      </c>
      <c r="H194">
        <v>1386.3000000000002</v>
      </c>
      <c r="I194">
        <v>497</v>
      </c>
      <c r="J194">
        <v>7835.1800000000012</v>
      </c>
    </row>
    <row r="195" spans="1:10" x14ac:dyDescent="0.25">
      <c r="A195" t="s">
        <v>173</v>
      </c>
      <c r="B195" t="s">
        <v>172</v>
      </c>
      <c r="C195">
        <v>17</v>
      </c>
      <c r="D195">
        <v>336.87</v>
      </c>
      <c r="E195">
        <v>0</v>
      </c>
      <c r="F195">
        <v>0</v>
      </c>
      <c r="G195">
        <v>17</v>
      </c>
      <c r="H195">
        <v>336.87</v>
      </c>
      <c r="I195">
        <v>4</v>
      </c>
      <c r="J195">
        <v>71.260000000000005</v>
      </c>
    </row>
    <row r="196" spans="1:10" x14ac:dyDescent="0.25">
      <c r="A196" t="s">
        <v>175</v>
      </c>
      <c r="B196" t="s">
        <v>174</v>
      </c>
      <c r="C196">
        <v>4</v>
      </c>
      <c r="D196">
        <v>103.27</v>
      </c>
      <c r="E196">
        <v>0</v>
      </c>
      <c r="F196">
        <v>0</v>
      </c>
      <c r="G196">
        <v>4</v>
      </c>
      <c r="H196">
        <v>103.27</v>
      </c>
      <c r="I196">
        <v>0</v>
      </c>
      <c r="J196">
        <v>0</v>
      </c>
    </row>
    <row r="197" spans="1:10" x14ac:dyDescent="0.25">
      <c r="A197" t="s">
        <v>702</v>
      </c>
      <c r="B197" t="s">
        <v>703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40.85</v>
      </c>
    </row>
    <row r="198" spans="1:10" x14ac:dyDescent="0.25">
      <c r="A198" t="s">
        <v>177</v>
      </c>
      <c r="B198" t="s">
        <v>176</v>
      </c>
      <c r="C198">
        <v>13</v>
      </c>
      <c r="D198">
        <v>685.82999999999993</v>
      </c>
      <c r="E198">
        <v>0</v>
      </c>
      <c r="F198">
        <v>0</v>
      </c>
      <c r="G198">
        <v>13</v>
      </c>
      <c r="H198">
        <v>685.82999999999993</v>
      </c>
      <c r="I198">
        <v>0</v>
      </c>
      <c r="J198">
        <v>0</v>
      </c>
    </row>
    <row r="199" spans="1:10" x14ac:dyDescent="0.25">
      <c r="A199" t="s">
        <v>179</v>
      </c>
      <c r="B199" t="s">
        <v>178</v>
      </c>
      <c r="C199">
        <v>5</v>
      </c>
      <c r="D199">
        <v>165.45</v>
      </c>
      <c r="E199">
        <v>0</v>
      </c>
      <c r="F199">
        <v>0</v>
      </c>
      <c r="G199">
        <v>5</v>
      </c>
      <c r="H199">
        <v>165.45</v>
      </c>
      <c r="I199">
        <v>0</v>
      </c>
      <c r="J199">
        <v>0</v>
      </c>
    </row>
    <row r="200" spans="1:10" x14ac:dyDescent="0.25">
      <c r="A200" t="s">
        <v>777</v>
      </c>
      <c r="B200" t="s">
        <v>778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24.92</v>
      </c>
    </row>
    <row r="201" spans="1:10" x14ac:dyDescent="0.25">
      <c r="A201" t="s">
        <v>181</v>
      </c>
      <c r="B201" t="s">
        <v>180</v>
      </c>
      <c r="C201">
        <v>37</v>
      </c>
      <c r="D201">
        <v>452.17</v>
      </c>
      <c r="E201">
        <v>0</v>
      </c>
      <c r="F201">
        <v>0</v>
      </c>
      <c r="G201">
        <v>37</v>
      </c>
      <c r="H201">
        <v>452.17</v>
      </c>
      <c r="I201">
        <v>20</v>
      </c>
      <c r="J201">
        <v>300.42</v>
      </c>
    </row>
    <row r="202" spans="1:10" x14ac:dyDescent="0.25">
      <c r="A202" t="s">
        <v>183</v>
      </c>
      <c r="B202" t="s">
        <v>182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27</v>
      </c>
      <c r="J202">
        <v>637.74000000000012</v>
      </c>
    </row>
    <row r="203" spans="1:10" x14ac:dyDescent="0.25">
      <c r="A203" t="s">
        <v>704</v>
      </c>
      <c r="B203" t="s">
        <v>705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28</v>
      </c>
      <c r="J203">
        <v>595.24</v>
      </c>
    </row>
    <row r="204" spans="1:10" x14ac:dyDescent="0.25">
      <c r="A204" t="s">
        <v>706</v>
      </c>
      <c r="B204" t="s">
        <v>707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</v>
      </c>
      <c r="J204">
        <v>16.48</v>
      </c>
    </row>
    <row r="205" spans="1:10" x14ac:dyDescent="0.25">
      <c r="A205" t="s">
        <v>185</v>
      </c>
      <c r="B205" t="s">
        <v>184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454</v>
      </c>
      <c r="J205">
        <v>5565.4</v>
      </c>
    </row>
    <row r="206" spans="1:10" x14ac:dyDescent="0.25">
      <c r="A206" t="s">
        <v>187</v>
      </c>
      <c r="B206" t="s">
        <v>186</v>
      </c>
      <c r="C206">
        <v>10</v>
      </c>
      <c r="D206">
        <v>327.83000000000004</v>
      </c>
      <c r="E206">
        <v>0</v>
      </c>
      <c r="F206">
        <v>0</v>
      </c>
      <c r="G206">
        <v>10</v>
      </c>
      <c r="H206">
        <v>327.83000000000004</v>
      </c>
      <c r="I206">
        <v>19</v>
      </c>
      <c r="J206">
        <v>624.26</v>
      </c>
    </row>
    <row r="207" spans="1:10" x14ac:dyDescent="0.25">
      <c r="A207" t="s">
        <v>708</v>
      </c>
      <c r="B207" t="s">
        <v>709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 t="s">
        <v>189</v>
      </c>
      <c r="B208" t="s">
        <v>188</v>
      </c>
      <c r="C208">
        <v>35</v>
      </c>
      <c r="D208">
        <v>465.99</v>
      </c>
      <c r="E208">
        <v>0</v>
      </c>
      <c r="F208">
        <v>0</v>
      </c>
      <c r="G208">
        <v>35</v>
      </c>
      <c r="H208">
        <v>465.99</v>
      </c>
      <c r="I208">
        <v>58</v>
      </c>
      <c r="J208">
        <v>708.18</v>
      </c>
    </row>
    <row r="209" spans="1:10" x14ac:dyDescent="0.25">
      <c r="A209" t="s">
        <v>191</v>
      </c>
      <c r="B209" t="s">
        <v>190</v>
      </c>
      <c r="C209">
        <v>6</v>
      </c>
      <c r="D209">
        <v>133.04000000000002</v>
      </c>
      <c r="E209">
        <v>0</v>
      </c>
      <c r="F209">
        <v>0</v>
      </c>
      <c r="G209">
        <v>6</v>
      </c>
      <c r="H209">
        <v>133.04000000000002</v>
      </c>
      <c r="I209">
        <v>23</v>
      </c>
      <c r="J209">
        <v>292.07</v>
      </c>
    </row>
    <row r="210" spans="1:10" x14ac:dyDescent="0.25">
      <c r="A210" t="s">
        <v>193</v>
      </c>
      <c r="B210" t="s">
        <v>192</v>
      </c>
      <c r="C210">
        <v>2</v>
      </c>
      <c r="D210">
        <v>19.579999999999998</v>
      </c>
      <c r="E210">
        <v>0</v>
      </c>
      <c r="F210">
        <v>0</v>
      </c>
      <c r="G210">
        <v>2</v>
      </c>
      <c r="H210">
        <v>19.579999999999998</v>
      </c>
      <c r="I210">
        <v>3</v>
      </c>
      <c r="J210">
        <v>32.47</v>
      </c>
    </row>
    <row r="211" spans="1:10" x14ac:dyDescent="0.25">
      <c r="A211" t="s">
        <v>195</v>
      </c>
      <c r="B211" t="s">
        <v>194</v>
      </c>
      <c r="C211">
        <v>11</v>
      </c>
      <c r="D211">
        <v>229.16</v>
      </c>
      <c r="E211">
        <v>0</v>
      </c>
      <c r="F211">
        <v>0</v>
      </c>
      <c r="G211">
        <v>11</v>
      </c>
      <c r="H211">
        <v>229.16</v>
      </c>
      <c r="I211">
        <v>11</v>
      </c>
      <c r="J211">
        <v>250.83999999999997</v>
      </c>
    </row>
    <row r="212" spans="1:10" x14ac:dyDescent="0.25">
      <c r="A212" t="s">
        <v>197</v>
      </c>
      <c r="B212" t="s">
        <v>196</v>
      </c>
      <c r="C212">
        <v>1</v>
      </c>
      <c r="D212">
        <v>10.45</v>
      </c>
      <c r="E212">
        <v>0</v>
      </c>
      <c r="F212">
        <v>0</v>
      </c>
      <c r="G212">
        <v>1</v>
      </c>
      <c r="H212">
        <v>10.45</v>
      </c>
      <c r="I212">
        <v>9</v>
      </c>
      <c r="J212">
        <v>111.46</v>
      </c>
    </row>
    <row r="213" spans="1:10" x14ac:dyDescent="0.25">
      <c r="A213" t="s">
        <v>199</v>
      </c>
      <c r="B213" t="s">
        <v>198</v>
      </c>
      <c r="C213">
        <v>1</v>
      </c>
      <c r="D213">
        <v>74.430000000000007</v>
      </c>
      <c r="E213">
        <v>0</v>
      </c>
      <c r="F213">
        <v>0</v>
      </c>
      <c r="G213">
        <v>1</v>
      </c>
      <c r="H213">
        <v>74.430000000000007</v>
      </c>
      <c r="I213">
        <v>1</v>
      </c>
      <c r="J213">
        <v>75.790000000000006</v>
      </c>
    </row>
    <row r="214" spans="1:10" x14ac:dyDescent="0.25">
      <c r="A214" t="s">
        <v>201</v>
      </c>
      <c r="B214" t="s">
        <v>200</v>
      </c>
      <c r="C214">
        <v>65</v>
      </c>
      <c r="D214">
        <v>1892.39</v>
      </c>
      <c r="E214">
        <v>2</v>
      </c>
      <c r="F214">
        <v>74.8</v>
      </c>
      <c r="G214">
        <v>67</v>
      </c>
      <c r="H214">
        <v>1967.19</v>
      </c>
      <c r="I214">
        <v>160</v>
      </c>
      <c r="J214">
        <v>4868.08</v>
      </c>
    </row>
    <row r="215" spans="1:10" x14ac:dyDescent="0.25">
      <c r="A215" t="s">
        <v>203</v>
      </c>
      <c r="B215" t="s">
        <v>202</v>
      </c>
      <c r="C215">
        <v>2</v>
      </c>
      <c r="D215">
        <v>54.55</v>
      </c>
      <c r="E215">
        <v>0</v>
      </c>
      <c r="F215">
        <v>0</v>
      </c>
      <c r="G215">
        <v>2</v>
      </c>
      <c r="H215">
        <v>54.55</v>
      </c>
      <c r="I215">
        <v>6</v>
      </c>
      <c r="J215">
        <v>154.09</v>
      </c>
    </row>
    <row r="216" spans="1:10" x14ac:dyDescent="0.25">
      <c r="A216" t="s">
        <v>205</v>
      </c>
      <c r="B216" t="s">
        <v>204</v>
      </c>
      <c r="C216">
        <v>19</v>
      </c>
      <c r="D216">
        <v>152.1</v>
      </c>
      <c r="E216">
        <v>0</v>
      </c>
      <c r="F216">
        <v>0</v>
      </c>
      <c r="G216">
        <v>19</v>
      </c>
      <c r="H216">
        <v>152.1</v>
      </c>
      <c r="I216">
        <v>13</v>
      </c>
      <c r="J216">
        <v>190.86</v>
      </c>
    </row>
    <row r="217" spans="1:10" x14ac:dyDescent="0.25">
      <c r="A217" t="s">
        <v>207</v>
      </c>
      <c r="B217" t="s">
        <v>206</v>
      </c>
      <c r="C217">
        <v>80</v>
      </c>
      <c r="D217">
        <v>1377.6699999999998</v>
      </c>
      <c r="E217">
        <v>0</v>
      </c>
      <c r="F217">
        <v>0</v>
      </c>
      <c r="G217">
        <v>80</v>
      </c>
      <c r="H217">
        <v>1377.6699999999998</v>
      </c>
      <c r="I217">
        <v>210</v>
      </c>
      <c r="J217">
        <v>4153.5599999999995</v>
      </c>
    </row>
    <row r="218" spans="1:10" x14ac:dyDescent="0.25">
      <c r="A218" t="s">
        <v>209</v>
      </c>
      <c r="B218" t="s">
        <v>208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-3</v>
      </c>
      <c r="J218">
        <v>-55.37</v>
      </c>
    </row>
    <row r="219" spans="1:10" x14ac:dyDescent="0.25">
      <c r="A219" t="s">
        <v>211</v>
      </c>
      <c r="B219" t="s">
        <v>210</v>
      </c>
      <c r="C219">
        <v>133</v>
      </c>
      <c r="D219">
        <v>2198.2800000000002</v>
      </c>
      <c r="E219">
        <v>0</v>
      </c>
      <c r="F219">
        <v>0</v>
      </c>
      <c r="G219">
        <v>133</v>
      </c>
      <c r="H219">
        <v>2198.2800000000002</v>
      </c>
      <c r="I219">
        <v>317</v>
      </c>
      <c r="J219">
        <v>5750.16</v>
      </c>
    </row>
    <row r="220" spans="1:10" x14ac:dyDescent="0.25">
      <c r="A220" t="s">
        <v>213</v>
      </c>
      <c r="B220" t="s">
        <v>212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10</v>
      </c>
      <c r="J220">
        <v>166.36</v>
      </c>
    </row>
    <row r="221" spans="1:10" x14ac:dyDescent="0.25">
      <c r="A221" t="s">
        <v>215</v>
      </c>
      <c r="B221" t="s">
        <v>214</v>
      </c>
      <c r="C221">
        <v>45</v>
      </c>
      <c r="D221">
        <v>749.53</v>
      </c>
      <c r="E221">
        <v>0</v>
      </c>
      <c r="F221">
        <v>0</v>
      </c>
      <c r="G221">
        <v>45</v>
      </c>
      <c r="H221">
        <v>749.53</v>
      </c>
      <c r="I221">
        <v>14</v>
      </c>
      <c r="J221">
        <v>292.45999999999998</v>
      </c>
    </row>
    <row r="222" spans="1:10" x14ac:dyDescent="0.25">
      <c r="A222" t="s">
        <v>217</v>
      </c>
      <c r="B222" t="s">
        <v>216</v>
      </c>
      <c r="C222">
        <v>311</v>
      </c>
      <c r="D222">
        <v>4353.78</v>
      </c>
      <c r="E222">
        <v>94</v>
      </c>
      <c r="F222">
        <v>2171.3700000000031</v>
      </c>
      <c r="G222">
        <v>405</v>
      </c>
      <c r="H222">
        <v>6525.1500000000033</v>
      </c>
      <c r="I222">
        <v>1816</v>
      </c>
      <c r="J222">
        <v>34974.229999999996</v>
      </c>
    </row>
    <row r="223" spans="1:10" x14ac:dyDescent="0.25">
      <c r="A223" t="s">
        <v>219</v>
      </c>
      <c r="B223" t="s">
        <v>218</v>
      </c>
      <c r="C223">
        <v>29</v>
      </c>
      <c r="D223">
        <v>308.87</v>
      </c>
      <c r="E223">
        <v>0</v>
      </c>
      <c r="F223">
        <v>0</v>
      </c>
      <c r="G223">
        <v>29</v>
      </c>
      <c r="H223">
        <v>308.87</v>
      </c>
      <c r="I223">
        <v>152</v>
      </c>
      <c r="J223">
        <v>2186.64</v>
      </c>
    </row>
    <row r="224" spans="1:10" x14ac:dyDescent="0.25">
      <c r="A224" t="s">
        <v>221</v>
      </c>
      <c r="B224" t="s">
        <v>220</v>
      </c>
      <c r="C224">
        <v>2</v>
      </c>
      <c r="D224">
        <v>24.9</v>
      </c>
      <c r="E224">
        <v>0</v>
      </c>
      <c r="F224">
        <v>0</v>
      </c>
      <c r="G224">
        <v>2</v>
      </c>
      <c r="H224">
        <v>24.9</v>
      </c>
      <c r="I224">
        <v>34</v>
      </c>
      <c r="J224">
        <v>451.27000000000004</v>
      </c>
    </row>
    <row r="225" spans="1:10" x14ac:dyDescent="0.25">
      <c r="A225" t="s">
        <v>710</v>
      </c>
      <c r="B225" t="s">
        <v>711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29</v>
      </c>
      <c r="J225">
        <v>371.13</v>
      </c>
    </row>
    <row r="226" spans="1:10" x14ac:dyDescent="0.25">
      <c r="A226" t="s">
        <v>712</v>
      </c>
      <c r="B226" t="s">
        <v>713</v>
      </c>
      <c r="C226">
        <v>0</v>
      </c>
      <c r="D226">
        <v>0</v>
      </c>
      <c r="E226">
        <v>21</v>
      </c>
      <c r="F226">
        <v>842.89999999999975</v>
      </c>
      <c r="G226">
        <v>21</v>
      </c>
      <c r="H226">
        <v>842.89999999999975</v>
      </c>
      <c r="I226">
        <v>98</v>
      </c>
      <c r="J226">
        <v>2821.82</v>
      </c>
    </row>
    <row r="227" spans="1:10" x14ac:dyDescent="0.25">
      <c r="A227" t="s">
        <v>223</v>
      </c>
      <c r="B227" t="s">
        <v>222</v>
      </c>
      <c r="C227">
        <v>2</v>
      </c>
      <c r="D227">
        <v>21.14</v>
      </c>
      <c r="E227">
        <v>66</v>
      </c>
      <c r="F227">
        <v>1051.3999999999994</v>
      </c>
      <c r="G227">
        <v>68</v>
      </c>
      <c r="H227">
        <v>1072.5399999999995</v>
      </c>
      <c r="I227">
        <v>536</v>
      </c>
      <c r="J227">
        <v>6360.58</v>
      </c>
    </row>
    <row r="228" spans="1:10" x14ac:dyDescent="0.25">
      <c r="A228" t="s">
        <v>225</v>
      </c>
      <c r="B228" t="s">
        <v>224</v>
      </c>
      <c r="C228">
        <v>164</v>
      </c>
      <c r="D228">
        <v>1414.3200000000002</v>
      </c>
      <c r="E228">
        <v>0</v>
      </c>
      <c r="F228">
        <v>0</v>
      </c>
      <c r="G228">
        <v>164</v>
      </c>
      <c r="H228">
        <v>1414.3200000000002</v>
      </c>
      <c r="I228">
        <v>459</v>
      </c>
      <c r="J228">
        <v>4360.58</v>
      </c>
    </row>
    <row r="229" spans="1:10" x14ac:dyDescent="0.25">
      <c r="A229" t="s">
        <v>227</v>
      </c>
      <c r="B229" t="s">
        <v>226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18</v>
      </c>
      <c r="J229">
        <v>239.75</v>
      </c>
    </row>
    <row r="230" spans="1:10" x14ac:dyDescent="0.25">
      <c r="A230" t="s">
        <v>229</v>
      </c>
      <c r="B230" t="s">
        <v>228</v>
      </c>
      <c r="C230">
        <v>0</v>
      </c>
      <c r="D230">
        <v>0</v>
      </c>
      <c r="E230">
        <v>22</v>
      </c>
      <c r="F230">
        <v>887.79999999999973</v>
      </c>
      <c r="G230">
        <v>22</v>
      </c>
      <c r="H230">
        <v>887.79999999999973</v>
      </c>
      <c r="I230">
        <v>44</v>
      </c>
      <c r="J230">
        <v>1196.7399999999998</v>
      </c>
    </row>
    <row r="231" spans="1:10" x14ac:dyDescent="0.25">
      <c r="A231" t="s">
        <v>231</v>
      </c>
      <c r="B231" t="s">
        <v>230</v>
      </c>
      <c r="C231">
        <v>12</v>
      </c>
      <c r="D231">
        <v>509.98</v>
      </c>
      <c r="E231">
        <v>0</v>
      </c>
      <c r="F231">
        <v>0</v>
      </c>
      <c r="G231">
        <v>12</v>
      </c>
      <c r="H231">
        <v>509.98</v>
      </c>
      <c r="I231">
        <v>236</v>
      </c>
      <c r="J231">
        <v>10072.67</v>
      </c>
    </row>
    <row r="232" spans="1:10" x14ac:dyDescent="0.25">
      <c r="A232" t="s">
        <v>233</v>
      </c>
      <c r="B232" t="s">
        <v>232</v>
      </c>
      <c r="C232">
        <v>46</v>
      </c>
      <c r="D232">
        <v>2711.67</v>
      </c>
      <c r="E232">
        <v>5</v>
      </c>
      <c r="F232">
        <v>349.5</v>
      </c>
      <c r="G232">
        <v>51</v>
      </c>
      <c r="H232">
        <v>3061.17</v>
      </c>
      <c r="I232">
        <v>154</v>
      </c>
      <c r="J232">
        <v>8345.619999999999</v>
      </c>
    </row>
    <row r="233" spans="1:10" x14ac:dyDescent="0.25">
      <c r="A233" t="s">
        <v>235</v>
      </c>
      <c r="B233" t="s">
        <v>234</v>
      </c>
      <c r="C233">
        <v>2</v>
      </c>
      <c r="D233">
        <v>9.82</v>
      </c>
      <c r="E233">
        <v>0</v>
      </c>
      <c r="F233">
        <v>0</v>
      </c>
      <c r="G233">
        <v>2</v>
      </c>
      <c r="H233">
        <v>9.82</v>
      </c>
      <c r="I233">
        <v>17</v>
      </c>
      <c r="J233">
        <v>68.34</v>
      </c>
    </row>
    <row r="234" spans="1:10" x14ac:dyDescent="0.25">
      <c r="A234" t="s">
        <v>237</v>
      </c>
      <c r="B234" t="s">
        <v>236</v>
      </c>
      <c r="C234">
        <v>7</v>
      </c>
      <c r="D234">
        <v>114.85</v>
      </c>
      <c r="E234">
        <v>0</v>
      </c>
      <c r="F234">
        <v>0</v>
      </c>
      <c r="G234">
        <v>7</v>
      </c>
      <c r="H234">
        <v>114.85</v>
      </c>
      <c r="I234">
        <v>4</v>
      </c>
      <c r="J234">
        <v>73</v>
      </c>
    </row>
    <row r="235" spans="1:10" x14ac:dyDescent="0.25">
      <c r="A235" t="s">
        <v>239</v>
      </c>
      <c r="B235" t="s">
        <v>238</v>
      </c>
      <c r="C235">
        <v>9</v>
      </c>
      <c r="D235">
        <v>527.06999999999994</v>
      </c>
      <c r="E235">
        <v>23</v>
      </c>
      <c r="F235">
        <v>1820.7000000000005</v>
      </c>
      <c r="G235">
        <v>32</v>
      </c>
      <c r="H235">
        <v>2347.7700000000004</v>
      </c>
      <c r="I235">
        <v>189</v>
      </c>
      <c r="J235">
        <v>12965.4</v>
      </c>
    </row>
    <row r="236" spans="1:10" x14ac:dyDescent="0.25">
      <c r="A236" t="s">
        <v>241</v>
      </c>
      <c r="B236" t="s">
        <v>240</v>
      </c>
      <c r="C236">
        <v>5</v>
      </c>
      <c r="D236">
        <v>103.59</v>
      </c>
      <c r="E236">
        <v>0</v>
      </c>
      <c r="F236">
        <v>0</v>
      </c>
      <c r="G236">
        <v>5</v>
      </c>
      <c r="H236">
        <v>103.59</v>
      </c>
      <c r="I236">
        <v>13</v>
      </c>
      <c r="J236">
        <v>376.60999999999996</v>
      </c>
    </row>
    <row r="237" spans="1:10" x14ac:dyDescent="0.25">
      <c r="A237" t="s">
        <v>243</v>
      </c>
      <c r="B237" t="s">
        <v>242</v>
      </c>
      <c r="C237">
        <v>34</v>
      </c>
      <c r="D237">
        <v>389.38999999999993</v>
      </c>
      <c r="E237">
        <v>0</v>
      </c>
      <c r="F237">
        <v>0</v>
      </c>
      <c r="G237">
        <v>34</v>
      </c>
      <c r="H237">
        <v>389.38999999999993</v>
      </c>
      <c r="I237">
        <v>154</v>
      </c>
      <c r="J237">
        <v>1887.5</v>
      </c>
    </row>
    <row r="238" spans="1:10" x14ac:dyDescent="0.25">
      <c r="A238" t="s">
        <v>245</v>
      </c>
      <c r="B238" t="s">
        <v>244</v>
      </c>
      <c r="C238">
        <v>1</v>
      </c>
      <c r="D238">
        <v>21.6</v>
      </c>
      <c r="E238">
        <v>0</v>
      </c>
      <c r="F238">
        <v>0</v>
      </c>
      <c r="G238">
        <v>1</v>
      </c>
      <c r="H238">
        <v>21.6</v>
      </c>
      <c r="I238">
        <v>35</v>
      </c>
      <c r="J238">
        <v>1010.8199999999999</v>
      </c>
    </row>
    <row r="239" spans="1:10" x14ac:dyDescent="0.25">
      <c r="A239" t="s">
        <v>247</v>
      </c>
      <c r="B239" t="s">
        <v>246</v>
      </c>
      <c r="C239">
        <v>16</v>
      </c>
      <c r="D239">
        <v>360.32000000000005</v>
      </c>
      <c r="E239">
        <v>0</v>
      </c>
      <c r="F239">
        <v>0</v>
      </c>
      <c r="G239">
        <v>16</v>
      </c>
      <c r="H239">
        <v>360.32000000000005</v>
      </c>
      <c r="I239">
        <v>9</v>
      </c>
      <c r="J239">
        <v>220.59</v>
      </c>
    </row>
    <row r="240" spans="1:10" x14ac:dyDescent="0.25">
      <c r="A240" t="s">
        <v>249</v>
      </c>
      <c r="B240" t="s">
        <v>248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21</v>
      </c>
      <c r="J240">
        <v>172.9</v>
      </c>
    </row>
    <row r="241" spans="1:10" x14ac:dyDescent="0.25">
      <c r="A241" t="s">
        <v>251</v>
      </c>
      <c r="B241" t="s">
        <v>250</v>
      </c>
      <c r="C241">
        <v>11</v>
      </c>
      <c r="D241">
        <v>55.180000000000007</v>
      </c>
      <c r="E241">
        <v>0</v>
      </c>
      <c r="F241">
        <v>0</v>
      </c>
      <c r="G241">
        <v>11</v>
      </c>
      <c r="H241">
        <v>55.180000000000007</v>
      </c>
      <c r="I241">
        <v>27</v>
      </c>
      <c r="J241">
        <v>191.08</v>
      </c>
    </row>
    <row r="242" spans="1:10" x14ac:dyDescent="0.25">
      <c r="A242" t="s">
        <v>253</v>
      </c>
      <c r="B242" t="s">
        <v>252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10.57</v>
      </c>
    </row>
    <row r="243" spans="1:10" x14ac:dyDescent="0.25">
      <c r="A243" t="s">
        <v>255</v>
      </c>
      <c r="B243" t="s">
        <v>254</v>
      </c>
      <c r="C243">
        <v>3</v>
      </c>
      <c r="D243">
        <v>135.37</v>
      </c>
      <c r="E243">
        <v>0</v>
      </c>
      <c r="F243">
        <v>0</v>
      </c>
      <c r="G243">
        <v>3</v>
      </c>
      <c r="H243">
        <v>135.37</v>
      </c>
      <c r="I243">
        <v>5</v>
      </c>
      <c r="J243">
        <v>194.29</v>
      </c>
    </row>
    <row r="244" spans="1:10" x14ac:dyDescent="0.25">
      <c r="A244" t="s">
        <v>257</v>
      </c>
      <c r="B244" t="s">
        <v>256</v>
      </c>
      <c r="C244">
        <v>3</v>
      </c>
      <c r="D244">
        <v>47.239999999999995</v>
      </c>
      <c r="E244">
        <v>0</v>
      </c>
      <c r="F244">
        <v>0</v>
      </c>
      <c r="G244">
        <v>3</v>
      </c>
      <c r="H244">
        <v>47.239999999999995</v>
      </c>
      <c r="I244">
        <v>4</v>
      </c>
      <c r="J244">
        <v>45</v>
      </c>
    </row>
    <row r="245" spans="1:10" x14ac:dyDescent="0.25">
      <c r="A245" t="s">
        <v>259</v>
      </c>
      <c r="B245" t="s">
        <v>258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261</v>
      </c>
      <c r="B246" t="s">
        <v>260</v>
      </c>
      <c r="C246">
        <v>8</v>
      </c>
      <c r="D246">
        <v>464.51</v>
      </c>
      <c r="E246">
        <v>0</v>
      </c>
      <c r="F246">
        <v>0</v>
      </c>
      <c r="G246">
        <v>8</v>
      </c>
      <c r="H246">
        <v>464.51</v>
      </c>
      <c r="I246">
        <v>0</v>
      </c>
      <c r="J246">
        <v>0</v>
      </c>
    </row>
    <row r="247" spans="1:10" x14ac:dyDescent="0.25">
      <c r="A247" t="s">
        <v>263</v>
      </c>
      <c r="B247" t="s">
        <v>262</v>
      </c>
      <c r="C247">
        <v>2</v>
      </c>
      <c r="D247">
        <v>35.200000000000003</v>
      </c>
      <c r="E247">
        <v>0</v>
      </c>
      <c r="F247">
        <v>0</v>
      </c>
      <c r="G247">
        <v>2</v>
      </c>
      <c r="H247">
        <v>35.200000000000003</v>
      </c>
      <c r="I247">
        <v>0</v>
      </c>
      <c r="J247">
        <v>0</v>
      </c>
    </row>
    <row r="248" spans="1:10" x14ac:dyDescent="0.25">
      <c r="A248" t="s">
        <v>265</v>
      </c>
      <c r="B248" t="s">
        <v>264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 t="s">
        <v>267</v>
      </c>
      <c r="B249" t="s">
        <v>266</v>
      </c>
      <c r="C249">
        <v>648</v>
      </c>
      <c r="D249">
        <v>6687.3600000000015</v>
      </c>
      <c r="E249">
        <v>0</v>
      </c>
      <c r="F249">
        <v>0</v>
      </c>
      <c r="G249">
        <v>648</v>
      </c>
      <c r="H249">
        <v>6687.3600000000015</v>
      </c>
      <c r="I249">
        <v>4056</v>
      </c>
      <c r="J249">
        <v>33322.03</v>
      </c>
    </row>
    <row r="250" spans="1:10" x14ac:dyDescent="0.25">
      <c r="A250" t="s">
        <v>269</v>
      </c>
      <c r="B250" t="s">
        <v>268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3</v>
      </c>
      <c r="J250">
        <v>168.63</v>
      </c>
    </row>
    <row r="251" spans="1:10" x14ac:dyDescent="0.25">
      <c r="A251" t="s">
        <v>271</v>
      </c>
      <c r="B251" t="s">
        <v>270</v>
      </c>
      <c r="C251">
        <v>9</v>
      </c>
      <c r="D251">
        <v>536.88</v>
      </c>
      <c r="E251">
        <v>0</v>
      </c>
      <c r="F251">
        <v>0</v>
      </c>
      <c r="G251">
        <v>9</v>
      </c>
      <c r="H251">
        <v>536.88</v>
      </c>
      <c r="I251">
        <v>66</v>
      </c>
      <c r="J251">
        <v>4251.6399999999994</v>
      </c>
    </row>
    <row r="252" spans="1:10" x14ac:dyDescent="0.25">
      <c r="A252" t="s">
        <v>273</v>
      </c>
      <c r="B252" t="s">
        <v>272</v>
      </c>
      <c r="C252">
        <v>2</v>
      </c>
      <c r="D252">
        <v>28.38</v>
      </c>
      <c r="E252">
        <v>0</v>
      </c>
      <c r="F252">
        <v>0</v>
      </c>
      <c r="G252">
        <v>2</v>
      </c>
      <c r="H252">
        <v>28.38</v>
      </c>
      <c r="I252">
        <v>0</v>
      </c>
      <c r="J252">
        <v>0</v>
      </c>
    </row>
    <row r="253" spans="1:10" x14ac:dyDescent="0.25">
      <c r="A253" t="s">
        <v>275</v>
      </c>
      <c r="B253" t="s">
        <v>274</v>
      </c>
      <c r="C253">
        <v>3</v>
      </c>
      <c r="D253">
        <v>48.129999999999995</v>
      </c>
      <c r="E253">
        <v>0</v>
      </c>
      <c r="F253">
        <v>0</v>
      </c>
      <c r="G253">
        <v>3</v>
      </c>
      <c r="H253">
        <v>48.129999999999995</v>
      </c>
      <c r="I253">
        <v>5</v>
      </c>
      <c r="J253">
        <v>81.96</v>
      </c>
    </row>
    <row r="254" spans="1:10" x14ac:dyDescent="0.25">
      <c r="A254" t="s">
        <v>277</v>
      </c>
      <c r="B254" t="s">
        <v>276</v>
      </c>
      <c r="C254">
        <v>14</v>
      </c>
      <c r="D254">
        <v>154.4</v>
      </c>
      <c r="E254">
        <v>0</v>
      </c>
      <c r="F254">
        <v>0</v>
      </c>
      <c r="G254">
        <v>14</v>
      </c>
      <c r="H254">
        <v>154.4</v>
      </c>
      <c r="I254">
        <v>0</v>
      </c>
      <c r="J254">
        <v>0</v>
      </c>
    </row>
    <row r="255" spans="1:10" x14ac:dyDescent="0.25">
      <c r="A255" t="s">
        <v>279</v>
      </c>
      <c r="B255" t="s">
        <v>278</v>
      </c>
      <c r="C255">
        <v>9</v>
      </c>
      <c r="D255">
        <v>145.46</v>
      </c>
      <c r="E255">
        <v>0</v>
      </c>
      <c r="F255">
        <v>0</v>
      </c>
      <c r="G255">
        <v>9</v>
      </c>
      <c r="H255">
        <v>145.46</v>
      </c>
      <c r="I255">
        <v>0</v>
      </c>
      <c r="J255">
        <v>0</v>
      </c>
    </row>
    <row r="256" spans="1:10" x14ac:dyDescent="0.25">
      <c r="A256" t="s">
        <v>281</v>
      </c>
      <c r="B256" t="s">
        <v>280</v>
      </c>
      <c r="C256">
        <v>3</v>
      </c>
      <c r="D256">
        <v>18.72</v>
      </c>
      <c r="E256">
        <v>0</v>
      </c>
      <c r="F256">
        <v>0</v>
      </c>
      <c r="G256">
        <v>3</v>
      </c>
      <c r="H256">
        <v>18.72</v>
      </c>
      <c r="I256">
        <v>4</v>
      </c>
      <c r="J256">
        <v>33</v>
      </c>
    </row>
    <row r="257" spans="1:10" x14ac:dyDescent="0.25">
      <c r="A257" t="s">
        <v>283</v>
      </c>
      <c r="B257" t="s">
        <v>282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40</v>
      </c>
      <c r="J257">
        <v>324.39999999999998</v>
      </c>
    </row>
    <row r="258" spans="1:10" x14ac:dyDescent="0.25">
      <c r="A258" t="s">
        <v>714</v>
      </c>
      <c r="B258" t="s">
        <v>715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285</v>
      </c>
      <c r="B259" t="s">
        <v>284</v>
      </c>
      <c r="C259">
        <v>42</v>
      </c>
      <c r="D259">
        <v>608.13</v>
      </c>
      <c r="E259">
        <v>0</v>
      </c>
      <c r="F259">
        <v>0</v>
      </c>
      <c r="G259">
        <v>42</v>
      </c>
      <c r="H259">
        <v>608.13</v>
      </c>
      <c r="I259">
        <v>71</v>
      </c>
      <c r="J259">
        <v>1141.3999999999999</v>
      </c>
    </row>
    <row r="260" spans="1:10" x14ac:dyDescent="0.25">
      <c r="A260" t="s">
        <v>287</v>
      </c>
      <c r="B260" t="s">
        <v>286</v>
      </c>
      <c r="C260">
        <v>4</v>
      </c>
      <c r="D260">
        <v>65.52</v>
      </c>
      <c r="E260">
        <v>0</v>
      </c>
      <c r="F260">
        <v>0</v>
      </c>
      <c r="G260">
        <v>4</v>
      </c>
      <c r="H260">
        <v>65.52</v>
      </c>
      <c r="I260">
        <v>204</v>
      </c>
      <c r="J260">
        <v>3245.7499999999995</v>
      </c>
    </row>
    <row r="261" spans="1:10" x14ac:dyDescent="0.25">
      <c r="A261" t="s">
        <v>289</v>
      </c>
      <c r="B261" t="s">
        <v>288</v>
      </c>
      <c r="C261">
        <v>30</v>
      </c>
      <c r="D261">
        <v>418.83</v>
      </c>
      <c r="E261">
        <v>0</v>
      </c>
      <c r="F261">
        <v>0</v>
      </c>
      <c r="G261">
        <v>30</v>
      </c>
      <c r="H261">
        <v>418.83</v>
      </c>
      <c r="I261">
        <v>183</v>
      </c>
      <c r="J261">
        <v>2226.5799999999995</v>
      </c>
    </row>
    <row r="262" spans="1:10" x14ac:dyDescent="0.25">
      <c r="A262" t="s">
        <v>291</v>
      </c>
      <c r="B262" t="s">
        <v>290</v>
      </c>
      <c r="C262">
        <v>5</v>
      </c>
      <c r="D262">
        <v>112.74000000000001</v>
      </c>
      <c r="E262">
        <v>0</v>
      </c>
      <c r="F262">
        <v>0</v>
      </c>
      <c r="G262">
        <v>5</v>
      </c>
      <c r="H262">
        <v>112.74000000000001</v>
      </c>
      <c r="I262">
        <v>6</v>
      </c>
      <c r="J262">
        <v>148.26</v>
      </c>
    </row>
    <row r="263" spans="1:10" x14ac:dyDescent="0.25">
      <c r="A263" t="s">
        <v>293</v>
      </c>
      <c r="B263" t="s">
        <v>292</v>
      </c>
      <c r="C263">
        <v>343</v>
      </c>
      <c r="D263">
        <v>3486.6300000000006</v>
      </c>
      <c r="E263">
        <v>0</v>
      </c>
      <c r="F263">
        <v>0</v>
      </c>
      <c r="G263">
        <v>343</v>
      </c>
      <c r="H263">
        <v>3486.6300000000006</v>
      </c>
      <c r="I263">
        <v>3244</v>
      </c>
      <c r="J263">
        <v>26543.63</v>
      </c>
    </row>
    <row r="264" spans="1:10" x14ac:dyDescent="0.25">
      <c r="A264" t="s">
        <v>779</v>
      </c>
      <c r="B264" t="s">
        <v>780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295</v>
      </c>
      <c r="B265" t="s">
        <v>294</v>
      </c>
      <c r="C265">
        <v>29</v>
      </c>
      <c r="D265">
        <v>234.67000000000002</v>
      </c>
      <c r="E265">
        <v>0</v>
      </c>
      <c r="F265">
        <v>0</v>
      </c>
      <c r="G265">
        <v>29</v>
      </c>
      <c r="H265">
        <v>234.67000000000002</v>
      </c>
      <c r="I265">
        <v>268</v>
      </c>
      <c r="J265">
        <v>2067.6999999999998</v>
      </c>
    </row>
    <row r="266" spans="1:10" x14ac:dyDescent="0.25">
      <c r="A266" t="s">
        <v>297</v>
      </c>
      <c r="B266" t="s">
        <v>296</v>
      </c>
      <c r="C266">
        <v>1</v>
      </c>
      <c r="D266">
        <v>9.51</v>
      </c>
      <c r="E266">
        <v>0</v>
      </c>
      <c r="F266">
        <v>0</v>
      </c>
      <c r="G266">
        <v>1</v>
      </c>
      <c r="H266">
        <v>9.51</v>
      </c>
      <c r="I266">
        <v>854</v>
      </c>
      <c r="J266">
        <v>11391.91</v>
      </c>
    </row>
    <row r="267" spans="1:10" x14ac:dyDescent="0.25">
      <c r="A267" t="s">
        <v>299</v>
      </c>
      <c r="B267" t="s">
        <v>298</v>
      </c>
      <c r="C267">
        <v>1</v>
      </c>
      <c r="D267">
        <v>16.45</v>
      </c>
      <c r="E267">
        <v>0</v>
      </c>
      <c r="F267">
        <v>0</v>
      </c>
      <c r="G267">
        <v>1</v>
      </c>
      <c r="H267">
        <v>16.45</v>
      </c>
      <c r="I267">
        <v>26</v>
      </c>
      <c r="J267">
        <v>259.92</v>
      </c>
    </row>
    <row r="268" spans="1:10" x14ac:dyDescent="0.25">
      <c r="A268" t="s">
        <v>301</v>
      </c>
      <c r="B268" t="s">
        <v>300</v>
      </c>
      <c r="C268">
        <v>678</v>
      </c>
      <c r="D268">
        <v>8596.59</v>
      </c>
      <c r="E268">
        <v>71</v>
      </c>
      <c r="F268">
        <v>1077.8999999999992</v>
      </c>
      <c r="G268">
        <v>749</v>
      </c>
      <c r="H268">
        <v>9674.49</v>
      </c>
      <c r="I268">
        <v>3859</v>
      </c>
      <c r="J268">
        <v>47676.079999999994</v>
      </c>
    </row>
    <row r="269" spans="1:10" x14ac:dyDescent="0.25">
      <c r="A269" t="s">
        <v>303</v>
      </c>
      <c r="B269" t="s">
        <v>302</v>
      </c>
      <c r="C269">
        <v>24</v>
      </c>
      <c r="D269">
        <v>276.97000000000003</v>
      </c>
      <c r="E269">
        <v>0</v>
      </c>
      <c r="F269">
        <v>0</v>
      </c>
      <c r="G269">
        <v>24</v>
      </c>
      <c r="H269">
        <v>276.97000000000003</v>
      </c>
      <c r="I269">
        <v>13</v>
      </c>
      <c r="J269">
        <v>146.68</v>
      </c>
    </row>
    <row r="270" spans="1:10" x14ac:dyDescent="0.25">
      <c r="A270" t="s">
        <v>305</v>
      </c>
      <c r="B270" t="s">
        <v>304</v>
      </c>
      <c r="C270">
        <v>1</v>
      </c>
      <c r="D270">
        <v>5.42</v>
      </c>
      <c r="E270">
        <v>0</v>
      </c>
      <c r="F270">
        <v>0</v>
      </c>
      <c r="G270">
        <v>1</v>
      </c>
      <c r="H270">
        <v>5.42</v>
      </c>
      <c r="I270">
        <v>1</v>
      </c>
      <c r="J270">
        <v>12.65</v>
      </c>
    </row>
    <row r="271" spans="1:10" x14ac:dyDescent="0.25">
      <c r="A271" t="s">
        <v>307</v>
      </c>
      <c r="B271" t="s">
        <v>306</v>
      </c>
      <c r="C271">
        <v>35</v>
      </c>
      <c r="D271">
        <v>428.14</v>
      </c>
      <c r="E271">
        <v>0</v>
      </c>
      <c r="F271">
        <v>0</v>
      </c>
      <c r="G271">
        <v>35</v>
      </c>
      <c r="H271">
        <v>428.14</v>
      </c>
      <c r="I271">
        <v>47</v>
      </c>
      <c r="J271">
        <v>561.33000000000004</v>
      </c>
    </row>
    <row r="272" spans="1:10" x14ac:dyDescent="0.25">
      <c r="A272" t="s">
        <v>309</v>
      </c>
      <c r="B272" t="s">
        <v>308</v>
      </c>
      <c r="C272">
        <v>2</v>
      </c>
      <c r="D272">
        <v>65.400000000000006</v>
      </c>
      <c r="E272">
        <v>0</v>
      </c>
      <c r="F272">
        <v>0</v>
      </c>
      <c r="G272">
        <v>2</v>
      </c>
      <c r="H272">
        <v>65.400000000000006</v>
      </c>
      <c r="I272">
        <v>0</v>
      </c>
      <c r="J272">
        <v>0</v>
      </c>
    </row>
    <row r="273" spans="1:10" x14ac:dyDescent="0.25">
      <c r="A273" t="s">
        <v>311</v>
      </c>
      <c r="B273" t="s">
        <v>310</v>
      </c>
      <c r="C273">
        <v>5</v>
      </c>
      <c r="D273">
        <v>150.29</v>
      </c>
      <c r="E273">
        <v>8</v>
      </c>
      <c r="F273">
        <v>291.2</v>
      </c>
      <c r="G273">
        <v>13</v>
      </c>
      <c r="H273">
        <v>441.49</v>
      </c>
      <c r="I273">
        <v>220</v>
      </c>
      <c r="J273">
        <v>6861.18</v>
      </c>
    </row>
    <row r="274" spans="1:10" x14ac:dyDescent="0.25">
      <c r="A274" t="s">
        <v>313</v>
      </c>
      <c r="B274" t="s">
        <v>312</v>
      </c>
      <c r="C274">
        <v>22</v>
      </c>
      <c r="D274">
        <v>1103.1299999999999</v>
      </c>
      <c r="E274">
        <v>0</v>
      </c>
      <c r="F274">
        <v>0</v>
      </c>
      <c r="G274">
        <v>22</v>
      </c>
      <c r="H274">
        <v>1103.1299999999999</v>
      </c>
      <c r="I274">
        <v>3</v>
      </c>
      <c r="J274">
        <v>196.47</v>
      </c>
    </row>
    <row r="275" spans="1:10" x14ac:dyDescent="0.25">
      <c r="A275" t="s">
        <v>315</v>
      </c>
      <c r="B275" t="s">
        <v>314</v>
      </c>
      <c r="C275">
        <v>21</v>
      </c>
      <c r="D275">
        <v>2.93</v>
      </c>
      <c r="E275">
        <v>0</v>
      </c>
      <c r="F275">
        <v>0</v>
      </c>
      <c r="G275">
        <v>21</v>
      </c>
      <c r="H275">
        <v>2.93</v>
      </c>
      <c r="I275">
        <v>0</v>
      </c>
      <c r="J275">
        <v>0</v>
      </c>
    </row>
    <row r="276" spans="1:10" x14ac:dyDescent="0.25">
      <c r="A276" t="s">
        <v>317</v>
      </c>
      <c r="B276" t="s">
        <v>316</v>
      </c>
      <c r="C276">
        <v>5</v>
      </c>
      <c r="D276">
        <v>208.96</v>
      </c>
      <c r="E276">
        <v>0</v>
      </c>
      <c r="F276">
        <v>0</v>
      </c>
      <c r="G276">
        <v>5</v>
      </c>
      <c r="H276">
        <v>208.96</v>
      </c>
      <c r="I276">
        <v>17</v>
      </c>
      <c r="J276">
        <v>535.31000000000006</v>
      </c>
    </row>
    <row r="277" spans="1:10" x14ac:dyDescent="0.25">
      <c r="A277" t="s">
        <v>718</v>
      </c>
      <c r="B277" t="s">
        <v>719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7.86</v>
      </c>
    </row>
    <row r="278" spans="1:10" x14ac:dyDescent="0.25">
      <c r="A278" t="s">
        <v>319</v>
      </c>
      <c r="B278" t="s">
        <v>318</v>
      </c>
      <c r="C278">
        <v>243</v>
      </c>
      <c r="D278">
        <v>3443.5699999999997</v>
      </c>
      <c r="E278">
        <v>0</v>
      </c>
      <c r="F278">
        <v>0</v>
      </c>
      <c r="G278">
        <v>243</v>
      </c>
      <c r="H278">
        <v>3443.5699999999997</v>
      </c>
      <c r="I278">
        <v>24</v>
      </c>
      <c r="J278">
        <v>369.42999999999995</v>
      </c>
    </row>
    <row r="279" spans="1:10" x14ac:dyDescent="0.25">
      <c r="A279" t="s">
        <v>321</v>
      </c>
      <c r="B279" t="s">
        <v>320</v>
      </c>
      <c r="C279">
        <v>6</v>
      </c>
      <c r="D279">
        <v>91.74</v>
      </c>
      <c r="E279">
        <v>0</v>
      </c>
      <c r="F279">
        <v>0</v>
      </c>
      <c r="G279">
        <v>6</v>
      </c>
      <c r="H279">
        <v>91.74</v>
      </c>
      <c r="I279">
        <v>5</v>
      </c>
      <c r="J279">
        <v>123.59</v>
      </c>
    </row>
    <row r="280" spans="1:10" x14ac:dyDescent="0.25">
      <c r="A280" t="s">
        <v>323</v>
      </c>
      <c r="B280" t="s">
        <v>322</v>
      </c>
      <c r="C280">
        <v>9</v>
      </c>
      <c r="D280">
        <v>194.04</v>
      </c>
      <c r="E280">
        <v>0</v>
      </c>
      <c r="F280">
        <v>0</v>
      </c>
      <c r="G280">
        <v>9</v>
      </c>
      <c r="H280">
        <v>194.04</v>
      </c>
      <c r="I280">
        <v>41</v>
      </c>
      <c r="J280">
        <v>1357.55</v>
      </c>
    </row>
    <row r="281" spans="1:10" x14ac:dyDescent="0.25">
      <c r="A281" t="s">
        <v>325</v>
      </c>
      <c r="B281" t="s">
        <v>324</v>
      </c>
      <c r="C281">
        <v>79</v>
      </c>
      <c r="D281">
        <v>2302.19</v>
      </c>
      <c r="E281">
        <v>0</v>
      </c>
      <c r="F281">
        <v>0</v>
      </c>
      <c r="G281">
        <v>79</v>
      </c>
      <c r="H281">
        <v>2302.19</v>
      </c>
      <c r="I281">
        <v>166</v>
      </c>
      <c r="J281">
        <v>4824.88</v>
      </c>
    </row>
    <row r="282" spans="1:10" x14ac:dyDescent="0.25">
      <c r="A282" t="s">
        <v>327</v>
      </c>
      <c r="B282" t="s">
        <v>326</v>
      </c>
      <c r="C282">
        <v>1</v>
      </c>
      <c r="D282">
        <v>61.57</v>
      </c>
      <c r="E282">
        <v>0</v>
      </c>
      <c r="F282">
        <v>0</v>
      </c>
      <c r="G282">
        <v>1</v>
      </c>
      <c r="H282">
        <v>61.57</v>
      </c>
      <c r="I282">
        <v>1</v>
      </c>
      <c r="J282">
        <v>56.23</v>
      </c>
    </row>
    <row r="283" spans="1:10" x14ac:dyDescent="0.25">
      <c r="A283" t="s">
        <v>329</v>
      </c>
      <c r="B283" t="s">
        <v>328</v>
      </c>
      <c r="C283">
        <v>188</v>
      </c>
      <c r="D283">
        <v>2349.3199999999997</v>
      </c>
      <c r="E283">
        <v>0</v>
      </c>
      <c r="F283">
        <v>0</v>
      </c>
      <c r="G283">
        <v>188</v>
      </c>
      <c r="H283">
        <v>2349.3199999999997</v>
      </c>
      <c r="I283">
        <v>57</v>
      </c>
      <c r="J283">
        <v>851.27</v>
      </c>
    </row>
    <row r="284" spans="1:10" x14ac:dyDescent="0.25">
      <c r="A284" t="s">
        <v>331</v>
      </c>
      <c r="B284" t="s">
        <v>330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</v>
      </c>
      <c r="J284">
        <v>51.28</v>
      </c>
    </row>
    <row r="285" spans="1:10" x14ac:dyDescent="0.25">
      <c r="A285" t="s">
        <v>720</v>
      </c>
      <c r="B285" t="s">
        <v>721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11</v>
      </c>
      <c r="J285">
        <v>1190.25</v>
      </c>
    </row>
    <row r="286" spans="1:10" x14ac:dyDescent="0.25">
      <c r="A286" t="s">
        <v>333</v>
      </c>
      <c r="B286" t="s">
        <v>332</v>
      </c>
      <c r="C286">
        <v>16</v>
      </c>
      <c r="D286">
        <v>1706.5</v>
      </c>
      <c r="E286">
        <v>0</v>
      </c>
      <c r="F286">
        <v>0</v>
      </c>
      <c r="G286">
        <v>16</v>
      </c>
      <c r="H286">
        <v>1706.5</v>
      </c>
      <c r="I286">
        <v>12</v>
      </c>
      <c r="J286">
        <v>1164.5</v>
      </c>
    </row>
    <row r="287" spans="1:10" x14ac:dyDescent="0.25">
      <c r="A287" t="s">
        <v>335</v>
      </c>
      <c r="B287" t="s">
        <v>334</v>
      </c>
      <c r="C287">
        <v>10</v>
      </c>
      <c r="D287">
        <v>852.7</v>
      </c>
      <c r="E287">
        <v>0</v>
      </c>
      <c r="F287">
        <v>0</v>
      </c>
      <c r="G287">
        <v>10</v>
      </c>
      <c r="H287">
        <v>852.7</v>
      </c>
      <c r="I287">
        <v>20</v>
      </c>
      <c r="J287">
        <v>1474.56</v>
      </c>
    </row>
    <row r="288" spans="1:10" x14ac:dyDescent="0.25">
      <c r="A288" t="s">
        <v>337</v>
      </c>
      <c r="B288" t="s">
        <v>336</v>
      </c>
      <c r="C288">
        <v>1</v>
      </c>
      <c r="D288">
        <v>58.2</v>
      </c>
      <c r="E288">
        <v>0</v>
      </c>
      <c r="F288">
        <v>0</v>
      </c>
      <c r="G288">
        <v>1</v>
      </c>
      <c r="H288">
        <v>58.2</v>
      </c>
      <c r="I288">
        <v>7</v>
      </c>
      <c r="J288">
        <v>401.1</v>
      </c>
    </row>
    <row r="289" spans="1:10" x14ac:dyDescent="0.25">
      <c r="A289" t="s">
        <v>722</v>
      </c>
      <c r="B289" t="s">
        <v>723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t="s">
        <v>339</v>
      </c>
      <c r="B290" t="s">
        <v>338</v>
      </c>
      <c r="C290">
        <v>28</v>
      </c>
      <c r="D290">
        <v>720.15000000000009</v>
      </c>
      <c r="E290">
        <v>0</v>
      </c>
      <c r="F290">
        <v>0</v>
      </c>
      <c r="G290">
        <v>28</v>
      </c>
      <c r="H290">
        <v>720.15000000000009</v>
      </c>
      <c r="I290">
        <v>211</v>
      </c>
      <c r="J290">
        <v>4333.54</v>
      </c>
    </row>
    <row r="291" spans="1:10" x14ac:dyDescent="0.25">
      <c r="A291" t="s">
        <v>341</v>
      </c>
      <c r="B291" t="s">
        <v>340</v>
      </c>
      <c r="C291">
        <v>20</v>
      </c>
      <c r="D291">
        <v>490.2</v>
      </c>
      <c r="E291">
        <v>0</v>
      </c>
      <c r="F291">
        <v>0</v>
      </c>
      <c r="G291">
        <v>20</v>
      </c>
      <c r="H291">
        <v>490.2</v>
      </c>
      <c r="I291">
        <v>54</v>
      </c>
      <c r="J291">
        <v>1323.3999999999999</v>
      </c>
    </row>
    <row r="292" spans="1:10" x14ac:dyDescent="0.25">
      <c r="A292" t="s">
        <v>343</v>
      </c>
      <c r="B292" t="s">
        <v>342</v>
      </c>
      <c r="C292">
        <v>121</v>
      </c>
      <c r="D292">
        <v>2369.2999999999997</v>
      </c>
      <c r="E292">
        <v>0</v>
      </c>
      <c r="F292">
        <v>0</v>
      </c>
      <c r="G292">
        <v>121</v>
      </c>
      <c r="H292">
        <v>2369.2999999999997</v>
      </c>
      <c r="I292">
        <v>179</v>
      </c>
      <c r="J292">
        <v>2927.3399999999997</v>
      </c>
    </row>
    <row r="293" spans="1:10" x14ac:dyDescent="0.25">
      <c r="A293" t="s">
        <v>726</v>
      </c>
      <c r="B293" t="s">
        <v>727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10</v>
      </c>
      <c r="J293">
        <v>1189.24</v>
      </c>
    </row>
    <row r="294" spans="1:10" x14ac:dyDescent="0.25">
      <c r="A294" t="s">
        <v>728</v>
      </c>
      <c r="B294" t="s">
        <v>729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t="s">
        <v>345</v>
      </c>
      <c r="B295" t="s">
        <v>344</v>
      </c>
      <c r="C295">
        <v>1</v>
      </c>
      <c r="D295">
        <v>49.1</v>
      </c>
      <c r="E295">
        <v>0</v>
      </c>
      <c r="F295">
        <v>0</v>
      </c>
      <c r="G295">
        <v>1</v>
      </c>
      <c r="H295">
        <v>49.1</v>
      </c>
      <c r="I295">
        <v>0</v>
      </c>
      <c r="J295">
        <v>0</v>
      </c>
    </row>
    <row r="296" spans="1:10" x14ac:dyDescent="0.25">
      <c r="A296" t="s">
        <v>347</v>
      </c>
      <c r="B296" t="s">
        <v>346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55</v>
      </c>
      <c r="J296">
        <v>1090.33</v>
      </c>
    </row>
    <row r="297" spans="1:10" x14ac:dyDescent="0.25">
      <c r="A297" t="s">
        <v>349</v>
      </c>
      <c r="B297" t="s">
        <v>348</v>
      </c>
      <c r="C297">
        <v>2</v>
      </c>
      <c r="D297">
        <v>12.32</v>
      </c>
      <c r="E297">
        <v>0</v>
      </c>
      <c r="F297">
        <v>0</v>
      </c>
      <c r="G297">
        <v>2</v>
      </c>
      <c r="H297">
        <v>12.32</v>
      </c>
      <c r="I297">
        <v>1</v>
      </c>
      <c r="J297">
        <v>11.83</v>
      </c>
    </row>
    <row r="298" spans="1:10" x14ac:dyDescent="0.25">
      <c r="A298" t="s">
        <v>351</v>
      </c>
      <c r="B298" t="s">
        <v>350</v>
      </c>
      <c r="C298">
        <v>8</v>
      </c>
      <c r="D298">
        <v>115.44</v>
      </c>
      <c r="E298">
        <v>0</v>
      </c>
      <c r="F298">
        <v>0</v>
      </c>
      <c r="G298">
        <v>8</v>
      </c>
      <c r="H298">
        <v>115.44</v>
      </c>
      <c r="I298">
        <v>12</v>
      </c>
      <c r="J298">
        <v>173.94</v>
      </c>
    </row>
    <row r="299" spans="1:10" x14ac:dyDescent="0.25">
      <c r="A299" t="s">
        <v>353</v>
      </c>
      <c r="B299" t="s">
        <v>352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70.88</v>
      </c>
    </row>
    <row r="300" spans="1:10" x14ac:dyDescent="0.25">
      <c r="A300" t="s">
        <v>355</v>
      </c>
      <c r="B300" t="s">
        <v>354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30.37</v>
      </c>
    </row>
    <row r="301" spans="1:10" x14ac:dyDescent="0.25">
      <c r="A301" t="s">
        <v>357</v>
      </c>
      <c r="B301" t="s">
        <v>356</v>
      </c>
      <c r="C301">
        <v>5</v>
      </c>
      <c r="D301">
        <v>425.66999999999996</v>
      </c>
      <c r="E301">
        <v>0</v>
      </c>
      <c r="F301">
        <v>0</v>
      </c>
      <c r="G301">
        <v>5</v>
      </c>
      <c r="H301">
        <v>425.66999999999996</v>
      </c>
      <c r="I301">
        <v>16</v>
      </c>
      <c r="J301">
        <v>1195.8599999999999</v>
      </c>
    </row>
    <row r="302" spans="1:10" x14ac:dyDescent="0.25">
      <c r="A302" t="s">
        <v>359</v>
      </c>
      <c r="B302" t="s">
        <v>358</v>
      </c>
      <c r="C302">
        <v>3</v>
      </c>
      <c r="D302">
        <v>106.26</v>
      </c>
      <c r="E302">
        <v>0</v>
      </c>
      <c r="F302">
        <v>0</v>
      </c>
      <c r="G302">
        <v>3</v>
      </c>
      <c r="H302">
        <v>106.26</v>
      </c>
      <c r="I302">
        <v>0</v>
      </c>
      <c r="J302">
        <v>0</v>
      </c>
    </row>
    <row r="303" spans="1:10" x14ac:dyDescent="0.25">
      <c r="A303" t="s">
        <v>361</v>
      </c>
      <c r="B303" t="s">
        <v>360</v>
      </c>
      <c r="C303">
        <v>110</v>
      </c>
      <c r="D303">
        <v>1527.2000000000003</v>
      </c>
      <c r="E303">
        <v>1</v>
      </c>
      <c r="F303">
        <v>24.9</v>
      </c>
      <c r="G303">
        <v>111</v>
      </c>
      <c r="H303">
        <v>1552.1000000000004</v>
      </c>
      <c r="I303">
        <v>354</v>
      </c>
      <c r="J303">
        <v>5782.91</v>
      </c>
    </row>
    <row r="304" spans="1:10" x14ac:dyDescent="0.25">
      <c r="A304" t="s">
        <v>363</v>
      </c>
      <c r="B304" t="s">
        <v>362</v>
      </c>
      <c r="C304">
        <v>2</v>
      </c>
      <c r="D304">
        <v>21.41</v>
      </c>
      <c r="E304">
        <v>0</v>
      </c>
      <c r="F304">
        <v>0</v>
      </c>
      <c r="G304">
        <v>2</v>
      </c>
      <c r="H304">
        <v>21.41</v>
      </c>
      <c r="I304">
        <v>3</v>
      </c>
      <c r="J304">
        <v>37.090000000000003</v>
      </c>
    </row>
    <row r="305" spans="1:10" x14ac:dyDescent="0.25">
      <c r="A305" t="s">
        <v>365</v>
      </c>
      <c r="B305" t="s">
        <v>364</v>
      </c>
      <c r="C305">
        <v>44</v>
      </c>
      <c r="D305">
        <v>1593.6399999999999</v>
      </c>
      <c r="E305">
        <v>0</v>
      </c>
      <c r="F305">
        <v>0</v>
      </c>
      <c r="G305">
        <v>44</v>
      </c>
      <c r="H305">
        <v>1593.6399999999999</v>
      </c>
      <c r="I305">
        <v>69</v>
      </c>
      <c r="J305">
        <v>2737.92</v>
      </c>
    </row>
    <row r="306" spans="1:10" x14ac:dyDescent="0.25">
      <c r="A306" t="s">
        <v>367</v>
      </c>
      <c r="B306" t="s">
        <v>366</v>
      </c>
      <c r="C306">
        <v>15</v>
      </c>
      <c r="D306">
        <v>379.73999999999995</v>
      </c>
      <c r="E306">
        <v>0</v>
      </c>
      <c r="F306">
        <v>0</v>
      </c>
      <c r="G306">
        <v>15</v>
      </c>
      <c r="H306">
        <v>379.73999999999995</v>
      </c>
      <c r="I306">
        <v>23</v>
      </c>
      <c r="J306">
        <v>567.01</v>
      </c>
    </row>
    <row r="307" spans="1:10" x14ac:dyDescent="0.25">
      <c r="A307" t="s">
        <v>369</v>
      </c>
      <c r="B307" t="s">
        <v>368</v>
      </c>
      <c r="C307">
        <v>520</v>
      </c>
      <c r="D307">
        <v>5611.14</v>
      </c>
      <c r="E307">
        <v>0</v>
      </c>
      <c r="F307">
        <v>0</v>
      </c>
      <c r="G307">
        <v>520</v>
      </c>
      <c r="H307">
        <v>5611.14</v>
      </c>
      <c r="I307">
        <v>2093</v>
      </c>
      <c r="J307">
        <v>17037.66</v>
      </c>
    </row>
    <row r="308" spans="1:10" x14ac:dyDescent="0.25">
      <c r="A308" t="s">
        <v>371</v>
      </c>
      <c r="B308" t="s">
        <v>370</v>
      </c>
      <c r="C308">
        <v>16</v>
      </c>
      <c r="D308">
        <v>526.41</v>
      </c>
      <c r="E308">
        <v>0</v>
      </c>
      <c r="F308">
        <v>0</v>
      </c>
      <c r="G308">
        <v>16</v>
      </c>
      <c r="H308">
        <v>526.41</v>
      </c>
      <c r="I308">
        <v>81</v>
      </c>
      <c r="J308">
        <v>2664.8700000000003</v>
      </c>
    </row>
    <row r="309" spans="1:10" x14ac:dyDescent="0.25">
      <c r="A309" t="s">
        <v>373</v>
      </c>
      <c r="B309" t="s">
        <v>372</v>
      </c>
      <c r="C309">
        <v>4</v>
      </c>
      <c r="D309">
        <v>187.86</v>
      </c>
      <c r="E309">
        <v>0</v>
      </c>
      <c r="F309">
        <v>0</v>
      </c>
      <c r="G309">
        <v>4</v>
      </c>
      <c r="H309">
        <v>187.86</v>
      </c>
      <c r="I309">
        <v>2</v>
      </c>
      <c r="J309">
        <v>97.539999999999992</v>
      </c>
    </row>
    <row r="310" spans="1:10" x14ac:dyDescent="0.25">
      <c r="A310" t="s">
        <v>730</v>
      </c>
      <c r="B310" t="s">
        <v>731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24.92</v>
      </c>
    </row>
    <row r="311" spans="1:10" x14ac:dyDescent="0.25">
      <c r="A311" t="s">
        <v>375</v>
      </c>
      <c r="B311" t="s">
        <v>374</v>
      </c>
      <c r="C311">
        <v>12</v>
      </c>
      <c r="D311">
        <v>236.48000000000002</v>
      </c>
      <c r="E311">
        <v>0</v>
      </c>
      <c r="F311">
        <v>0</v>
      </c>
      <c r="G311">
        <v>12</v>
      </c>
      <c r="H311">
        <v>236.48000000000002</v>
      </c>
      <c r="I311">
        <v>61</v>
      </c>
      <c r="J311">
        <v>1012.73</v>
      </c>
    </row>
    <row r="312" spans="1:10" x14ac:dyDescent="0.25">
      <c r="A312" t="s">
        <v>377</v>
      </c>
      <c r="B312" t="s">
        <v>376</v>
      </c>
      <c r="C312">
        <v>20</v>
      </c>
      <c r="D312">
        <v>366.40999999999997</v>
      </c>
      <c r="E312">
        <v>0</v>
      </c>
      <c r="F312">
        <v>0</v>
      </c>
      <c r="G312">
        <v>20</v>
      </c>
      <c r="H312">
        <v>366.40999999999997</v>
      </c>
      <c r="I312">
        <v>58</v>
      </c>
      <c r="J312">
        <v>961.99</v>
      </c>
    </row>
    <row r="313" spans="1:10" x14ac:dyDescent="0.25">
      <c r="A313" t="s">
        <v>379</v>
      </c>
      <c r="B313" t="s">
        <v>378</v>
      </c>
      <c r="C313">
        <v>32</v>
      </c>
      <c r="D313">
        <v>608.34</v>
      </c>
      <c r="E313">
        <v>14</v>
      </c>
      <c r="F313">
        <v>348.6</v>
      </c>
      <c r="G313">
        <v>46</v>
      </c>
      <c r="H313">
        <v>956.94</v>
      </c>
      <c r="I313">
        <v>232</v>
      </c>
      <c r="J313">
        <v>3824.8900000000003</v>
      </c>
    </row>
    <row r="314" spans="1:10" x14ac:dyDescent="0.25">
      <c r="A314" t="s">
        <v>381</v>
      </c>
      <c r="B314" t="s">
        <v>380</v>
      </c>
      <c r="C314">
        <v>3</v>
      </c>
      <c r="D314">
        <v>123.25999999999999</v>
      </c>
      <c r="E314">
        <v>0</v>
      </c>
      <c r="F314">
        <v>0</v>
      </c>
      <c r="G314">
        <v>3</v>
      </c>
      <c r="H314">
        <v>123.25999999999999</v>
      </c>
      <c r="I314">
        <v>17</v>
      </c>
      <c r="J314">
        <v>692.5</v>
      </c>
    </row>
    <row r="315" spans="1:10" x14ac:dyDescent="0.25">
      <c r="A315" t="s">
        <v>383</v>
      </c>
      <c r="B315" t="s">
        <v>382</v>
      </c>
      <c r="C315">
        <v>10</v>
      </c>
      <c r="D315">
        <v>136.38999999999999</v>
      </c>
      <c r="E315">
        <v>0</v>
      </c>
      <c r="F315">
        <v>0</v>
      </c>
      <c r="G315">
        <v>10</v>
      </c>
      <c r="H315">
        <v>136.38999999999999</v>
      </c>
      <c r="I315">
        <v>5</v>
      </c>
      <c r="J315">
        <v>86.449999999999989</v>
      </c>
    </row>
    <row r="316" spans="1:10" x14ac:dyDescent="0.25">
      <c r="A316" t="s">
        <v>385</v>
      </c>
      <c r="B316" t="s">
        <v>384</v>
      </c>
      <c r="C316">
        <v>114</v>
      </c>
      <c r="D316">
        <v>1866.3</v>
      </c>
      <c r="E316">
        <v>17</v>
      </c>
      <c r="F316">
        <v>418.80999999999989</v>
      </c>
      <c r="G316">
        <v>131</v>
      </c>
      <c r="H316">
        <v>2285.1099999999997</v>
      </c>
      <c r="I316">
        <v>1061</v>
      </c>
      <c r="J316">
        <v>17733.79</v>
      </c>
    </row>
    <row r="317" spans="1:10" x14ac:dyDescent="0.25">
      <c r="A317" t="s">
        <v>387</v>
      </c>
      <c r="B317" t="s">
        <v>386</v>
      </c>
      <c r="C317">
        <v>88</v>
      </c>
      <c r="D317">
        <v>3901.1</v>
      </c>
      <c r="E317">
        <v>0</v>
      </c>
      <c r="F317">
        <v>0</v>
      </c>
      <c r="G317">
        <v>88</v>
      </c>
      <c r="H317">
        <v>3901.1</v>
      </c>
      <c r="I317">
        <v>3</v>
      </c>
      <c r="J317">
        <v>122.7</v>
      </c>
    </row>
    <row r="318" spans="1:10" x14ac:dyDescent="0.25">
      <c r="A318" t="s">
        <v>389</v>
      </c>
      <c r="B318" t="s">
        <v>388</v>
      </c>
      <c r="C318">
        <v>9</v>
      </c>
      <c r="D318">
        <v>72.989999999999995</v>
      </c>
      <c r="E318">
        <v>0</v>
      </c>
      <c r="F318">
        <v>0</v>
      </c>
      <c r="G318">
        <v>9</v>
      </c>
      <c r="H318">
        <v>72.989999999999995</v>
      </c>
      <c r="I318">
        <v>32</v>
      </c>
      <c r="J318">
        <v>261.95999999999998</v>
      </c>
    </row>
    <row r="319" spans="1:10" x14ac:dyDescent="0.25">
      <c r="A319" t="s">
        <v>391</v>
      </c>
      <c r="B319" t="s">
        <v>390</v>
      </c>
      <c r="C319">
        <v>74</v>
      </c>
      <c r="D319">
        <v>6564.6100000000006</v>
      </c>
      <c r="E319">
        <v>0</v>
      </c>
      <c r="F319">
        <v>0</v>
      </c>
      <c r="G319">
        <v>74</v>
      </c>
      <c r="H319">
        <v>6564.6100000000006</v>
      </c>
      <c r="I319">
        <v>13</v>
      </c>
      <c r="J319">
        <v>1278.33</v>
      </c>
    </row>
    <row r="320" spans="1:10" x14ac:dyDescent="0.25">
      <c r="A320" t="s">
        <v>393</v>
      </c>
      <c r="B320" t="s">
        <v>392</v>
      </c>
      <c r="C320">
        <v>4</v>
      </c>
      <c r="D320">
        <v>380.8</v>
      </c>
      <c r="E320">
        <v>0</v>
      </c>
      <c r="F320">
        <v>0</v>
      </c>
      <c r="G320">
        <v>4</v>
      </c>
      <c r="H320">
        <v>380.8</v>
      </c>
      <c r="I320">
        <v>55</v>
      </c>
      <c r="J320">
        <v>4532.2699999999995</v>
      </c>
    </row>
    <row r="321" spans="1:10" x14ac:dyDescent="0.25">
      <c r="A321" t="s">
        <v>395</v>
      </c>
      <c r="B321" t="s">
        <v>394</v>
      </c>
      <c r="C321">
        <v>148</v>
      </c>
      <c r="D321">
        <v>1752.33</v>
      </c>
      <c r="E321">
        <v>0</v>
      </c>
      <c r="F321">
        <v>0</v>
      </c>
      <c r="G321">
        <v>148</v>
      </c>
      <c r="H321">
        <v>1752.33</v>
      </c>
      <c r="I321">
        <v>654</v>
      </c>
      <c r="J321">
        <v>6992</v>
      </c>
    </row>
    <row r="322" spans="1:10" x14ac:dyDescent="0.25">
      <c r="A322" t="s">
        <v>397</v>
      </c>
      <c r="B322" t="s">
        <v>396</v>
      </c>
      <c r="C322">
        <v>1</v>
      </c>
      <c r="D322">
        <v>58.74</v>
      </c>
      <c r="E322">
        <v>0</v>
      </c>
      <c r="F322">
        <v>0</v>
      </c>
      <c r="G322">
        <v>1</v>
      </c>
      <c r="H322">
        <v>58.74</v>
      </c>
      <c r="I322">
        <v>0</v>
      </c>
      <c r="J322">
        <v>0</v>
      </c>
    </row>
    <row r="323" spans="1:10" x14ac:dyDescent="0.25">
      <c r="A323" t="s">
        <v>399</v>
      </c>
      <c r="B323" t="s">
        <v>398</v>
      </c>
      <c r="C323">
        <v>2</v>
      </c>
      <c r="D323">
        <v>88.34</v>
      </c>
      <c r="E323">
        <v>0</v>
      </c>
      <c r="F323">
        <v>0</v>
      </c>
      <c r="G323">
        <v>2</v>
      </c>
      <c r="H323">
        <v>88.34</v>
      </c>
      <c r="I323">
        <v>9</v>
      </c>
      <c r="J323">
        <v>345.89000000000004</v>
      </c>
    </row>
    <row r="324" spans="1:10" x14ac:dyDescent="0.25">
      <c r="A324" t="s">
        <v>401</v>
      </c>
      <c r="B324" t="s">
        <v>400</v>
      </c>
      <c r="C324">
        <v>623</v>
      </c>
      <c r="D324">
        <v>10619.670000000002</v>
      </c>
      <c r="E324">
        <v>0</v>
      </c>
      <c r="F324">
        <v>0</v>
      </c>
      <c r="G324">
        <v>623</v>
      </c>
      <c r="H324">
        <v>10619.670000000002</v>
      </c>
      <c r="I324">
        <v>1718</v>
      </c>
      <c r="J324">
        <v>28242.18</v>
      </c>
    </row>
    <row r="325" spans="1:10" x14ac:dyDescent="0.25">
      <c r="A325" t="s">
        <v>403</v>
      </c>
      <c r="B325" t="s">
        <v>402</v>
      </c>
      <c r="C325">
        <v>2</v>
      </c>
      <c r="D325">
        <v>96.87</v>
      </c>
      <c r="E325">
        <v>0</v>
      </c>
      <c r="F325">
        <v>0</v>
      </c>
      <c r="G325">
        <v>2</v>
      </c>
      <c r="H325">
        <v>96.87</v>
      </c>
      <c r="I325">
        <v>1</v>
      </c>
      <c r="J325">
        <v>31.75</v>
      </c>
    </row>
    <row r="326" spans="1:10" x14ac:dyDescent="0.25">
      <c r="A326" t="s">
        <v>405</v>
      </c>
      <c r="B326" t="s">
        <v>404</v>
      </c>
      <c r="C326">
        <v>1</v>
      </c>
      <c r="D326">
        <v>160.65</v>
      </c>
      <c r="E326">
        <v>0</v>
      </c>
      <c r="F326">
        <v>0</v>
      </c>
      <c r="G326">
        <v>1</v>
      </c>
      <c r="H326">
        <v>160.65</v>
      </c>
      <c r="I326">
        <v>0</v>
      </c>
      <c r="J326">
        <v>0</v>
      </c>
    </row>
    <row r="327" spans="1:10" x14ac:dyDescent="0.25">
      <c r="A327" t="s">
        <v>407</v>
      </c>
      <c r="B327" t="s">
        <v>406</v>
      </c>
      <c r="C327">
        <v>569</v>
      </c>
      <c r="D327">
        <v>2809.4100000000003</v>
      </c>
      <c r="E327">
        <v>0</v>
      </c>
      <c r="F327">
        <v>0</v>
      </c>
      <c r="G327">
        <v>569</v>
      </c>
      <c r="H327">
        <v>2809.4100000000003</v>
      </c>
      <c r="I327">
        <v>686</v>
      </c>
      <c r="J327">
        <v>2945.08</v>
      </c>
    </row>
    <row r="328" spans="1:10" x14ac:dyDescent="0.25">
      <c r="A328" t="s">
        <v>409</v>
      </c>
      <c r="B328" t="s">
        <v>408</v>
      </c>
      <c r="C328">
        <v>144</v>
      </c>
      <c r="D328">
        <v>920.59</v>
      </c>
      <c r="E328">
        <v>0</v>
      </c>
      <c r="F328">
        <v>0</v>
      </c>
      <c r="G328">
        <v>144</v>
      </c>
      <c r="H328">
        <v>920.59</v>
      </c>
      <c r="I328">
        <v>2465</v>
      </c>
      <c r="J328">
        <v>9950.2499999999982</v>
      </c>
    </row>
    <row r="329" spans="1:10" x14ac:dyDescent="0.25">
      <c r="A329" t="s">
        <v>411</v>
      </c>
      <c r="B329" t="s">
        <v>410</v>
      </c>
      <c r="C329">
        <v>9</v>
      </c>
      <c r="D329">
        <v>33.79</v>
      </c>
      <c r="E329">
        <v>0</v>
      </c>
      <c r="F329">
        <v>0</v>
      </c>
      <c r="G329">
        <v>9</v>
      </c>
      <c r="H329">
        <v>33.79</v>
      </c>
      <c r="I329">
        <v>14</v>
      </c>
      <c r="J329">
        <v>94.96</v>
      </c>
    </row>
    <row r="330" spans="1:10" x14ac:dyDescent="0.25">
      <c r="A330" t="s">
        <v>413</v>
      </c>
      <c r="B330" t="s">
        <v>412</v>
      </c>
      <c r="C330">
        <v>1</v>
      </c>
      <c r="D330">
        <v>62.18</v>
      </c>
      <c r="E330">
        <v>0</v>
      </c>
      <c r="F330">
        <v>0</v>
      </c>
      <c r="G330">
        <v>1</v>
      </c>
      <c r="H330">
        <v>62.18</v>
      </c>
      <c r="I330">
        <v>0</v>
      </c>
      <c r="J330">
        <v>0</v>
      </c>
    </row>
    <row r="331" spans="1:10" x14ac:dyDescent="0.25">
      <c r="A331" t="s">
        <v>415</v>
      </c>
      <c r="B331" t="s">
        <v>414</v>
      </c>
      <c r="C331">
        <v>306</v>
      </c>
      <c r="D331">
        <v>3686.1200000000003</v>
      </c>
      <c r="E331">
        <v>0</v>
      </c>
      <c r="F331">
        <v>0</v>
      </c>
      <c r="G331">
        <v>306</v>
      </c>
      <c r="H331">
        <v>3686.1200000000003</v>
      </c>
      <c r="I331">
        <v>1</v>
      </c>
      <c r="J331">
        <v>12.4</v>
      </c>
    </row>
    <row r="332" spans="1:10" x14ac:dyDescent="0.25">
      <c r="A332" t="s">
        <v>417</v>
      </c>
      <c r="B332" t="s">
        <v>416</v>
      </c>
      <c r="C332">
        <v>13</v>
      </c>
      <c r="D332">
        <v>546.92000000000007</v>
      </c>
      <c r="E332">
        <v>0</v>
      </c>
      <c r="F332">
        <v>0</v>
      </c>
      <c r="G332">
        <v>13</v>
      </c>
      <c r="H332">
        <v>546.92000000000007</v>
      </c>
      <c r="I332">
        <v>5</v>
      </c>
      <c r="J332">
        <v>242.62</v>
      </c>
    </row>
    <row r="333" spans="1:10" x14ac:dyDescent="0.25">
      <c r="A333" t="s">
        <v>734</v>
      </c>
      <c r="B333" t="s">
        <v>735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13</v>
      </c>
      <c r="J333">
        <v>52.36</v>
      </c>
    </row>
    <row r="334" spans="1:10" x14ac:dyDescent="0.25">
      <c r="A334" t="s">
        <v>419</v>
      </c>
      <c r="B334" t="s">
        <v>418</v>
      </c>
      <c r="C334">
        <v>264</v>
      </c>
      <c r="D334">
        <v>2285.4</v>
      </c>
      <c r="E334">
        <v>0</v>
      </c>
      <c r="F334">
        <v>0</v>
      </c>
      <c r="G334">
        <v>264</v>
      </c>
      <c r="H334">
        <v>2285.4</v>
      </c>
      <c r="I334">
        <v>0</v>
      </c>
      <c r="J334">
        <v>0</v>
      </c>
    </row>
    <row r="335" spans="1:10" x14ac:dyDescent="0.25">
      <c r="A335" t="s">
        <v>421</v>
      </c>
      <c r="B335" t="s">
        <v>420</v>
      </c>
      <c r="C335">
        <v>22</v>
      </c>
      <c r="D335">
        <v>908.24000000000012</v>
      </c>
      <c r="E335">
        <v>0</v>
      </c>
      <c r="F335">
        <v>0</v>
      </c>
      <c r="G335">
        <v>22</v>
      </c>
      <c r="H335">
        <v>908.24000000000012</v>
      </c>
      <c r="I335">
        <v>0</v>
      </c>
      <c r="J335">
        <v>0</v>
      </c>
    </row>
    <row r="336" spans="1:10" x14ac:dyDescent="0.25">
      <c r="A336" t="s">
        <v>423</v>
      </c>
      <c r="B336" t="s">
        <v>422</v>
      </c>
      <c r="C336">
        <v>35</v>
      </c>
      <c r="D336">
        <v>1273.7199999999998</v>
      </c>
      <c r="E336">
        <v>0</v>
      </c>
      <c r="F336">
        <v>0</v>
      </c>
      <c r="G336">
        <v>35</v>
      </c>
      <c r="H336">
        <v>1273.7199999999998</v>
      </c>
      <c r="I336">
        <v>0</v>
      </c>
      <c r="J336">
        <v>0</v>
      </c>
    </row>
    <row r="337" spans="1:10" x14ac:dyDescent="0.25">
      <c r="A337" t="s">
        <v>425</v>
      </c>
      <c r="B337" t="s">
        <v>424</v>
      </c>
      <c r="C337">
        <v>3</v>
      </c>
      <c r="D337">
        <v>64.400000000000006</v>
      </c>
      <c r="E337">
        <v>0</v>
      </c>
      <c r="F337">
        <v>0</v>
      </c>
      <c r="G337">
        <v>3</v>
      </c>
      <c r="H337">
        <v>64.400000000000006</v>
      </c>
      <c r="I337">
        <v>0</v>
      </c>
      <c r="J337">
        <v>0</v>
      </c>
    </row>
    <row r="338" spans="1:10" x14ac:dyDescent="0.25">
      <c r="A338" t="s">
        <v>427</v>
      </c>
      <c r="B338" t="s">
        <v>426</v>
      </c>
      <c r="C338">
        <v>4</v>
      </c>
      <c r="D338">
        <v>170.14999999999998</v>
      </c>
      <c r="E338">
        <v>0</v>
      </c>
      <c r="F338">
        <v>0</v>
      </c>
      <c r="G338">
        <v>4</v>
      </c>
      <c r="H338">
        <v>170.14999999999998</v>
      </c>
      <c r="I338">
        <v>0</v>
      </c>
      <c r="J338">
        <v>0</v>
      </c>
    </row>
    <row r="339" spans="1:10" x14ac:dyDescent="0.25">
      <c r="A339" t="s">
        <v>429</v>
      </c>
      <c r="B339" t="s">
        <v>428</v>
      </c>
      <c r="C339">
        <v>1</v>
      </c>
      <c r="D339">
        <v>32.369999999999997</v>
      </c>
      <c r="E339">
        <v>0</v>
      </c>
      <c r="F339">
        <v>0</v>
      </c>
      <c r="G339">
        <v>1</v>
      </c>
      <c r="H339">
        <v>32.369999999999997</v>
      </c>
      <c r="I339">
        <v>0</v>
      </c>
      <c r="J339">
        <v>0</v>
      </c>
    </row>
    <row r="340" spans="1:10" x14ac:dyDescent="0.25">
      <c r="A340" t="s">
        <v>431</v>
      </c>
      <c r="B340" t="s">
        <v>430</v>
      </c>
      <c r="C340">
        <v>6</v>
      </c>
      <c r="D340">
        <v>176.59</v>
      </c>
      <c r="E340">
        <v>0</v>
      </c>
      <c r="F340">
        <v>0</v>
      </c>
      <c r="G340">
        <v>6</v>
      </c>
      <c r="H340">
        <v>176.59</v>
      </c>
      <c r="I340">
        <v>0</v>
      </c>
      <c r="J340">
        <v>0</v>
      </c>
    </row>
    <row r="341" spans="1:10" x14ac:dyDescent="0.25">
      <c r="A341" t="s">
        <v>433</v>
      </c>
      <c r="B341" t="s">
        <v>432</v>
      </c>
      <c r="C341">
        <v>2</v>
      </c>
      <c r="D341">
        <v>65.599999999999994</v>
      </c>
      <c r="E341">
        <v>0</v>
      </c>
      <c r="F341">
        <v>0</v>
      </c>
      <c r="G341">
        <v>2</v>
      </c>
      <c r="H341">
        <v>65.599999999999994</v>
      </c>
      <c r="I341">
        <v>0</v>
      </c>
      <c r="J341">
        <v>0</v>
      </c>
    </row>
    <row r="342" spans="1:10" x14ac:dyDescent="0.25">
      <c r="A342" t="s">
        <v>435</v>
      </c>
      <c r="B342" t="s">
        <v>434</v>
      </c>
      <c r="C342">
        <v>2</v>
      </c>
      <c r="D342">
        <v>67.09</v>
      </c>
      <c r="E342">
        <v>0</v>
      </c>
      <c r="F342">
        <v>0</v>
      </c>
      <c r="G342">
        <v>2</v>
      </c>
      <c r="H342">
        <v>67.09</v>
      </c>
      <c r="I342">
        <v>0</v>
      </c>
      <c r="J342">
        <v>0</v>
      </c>
    </row>
    <row r="343" spans="1:10" x14ac:dyDescent="0.25">
      <c r="A343" t="s">
        <v>437</v>
      </c>
      <c r="B343" t="s">
        <v>436</v>
      </c>
      <c r="C343">
        <v>17</v>
      </c>
      <c r="D343">
        <v>315.93</v>
      </c>
      <c r="E343">
        <v>0</v>
      </c>
      <c r="F343">
        <v>0</v>
      </c>
      <c r="G343">
        <v>17</v>
      </c>
      <c r="H343">
        <v>315.93</v>
      </c>
      <c r="I343">
        <v>0</v>
      </c>
      <c r="J343">
        <v>0</v>
      </c>
    </row>
    <row r="344" spans="1:10" x14ac:dyDescent="0.25">
      <c r="A344" t="s">
        <v>439</v>
      </c>
      <c r="B344" t="s">
        <v>438</v>
      </c>
      <c r="C344">
        <v>315</v>
      </c>
      <c r="D344">
        <v>30.99</v>
      </c>
      <c r="E344">
        <v>0</v>
      </c>
      <c r="F344">
        <v>0</v>
      </c>
      <c r="G344">
        <v>315</v>
      </c>
      <c r="H344">
        <v>30.99</v>
      </c>
      <c r="I344">
        <v>0</v>
      </c>
      <c r="J344">
        <v>0</v>
      </c>
    </row>
    <row r="345" spans="1:10" x14ac:dyDescent="0.25">
      <c r="A345" t="s">
        <v>441</v>
      </c>
      <c r="B345" t="s">
        <v>440</v>
      </c>
      <c r="C345">
        <v>4</v>
      </c>
      <c r="D345">
        <v>15.36</v>
      </c>
      <c r="E345">
        <v>0</v>
      </c>
      <c r="F345">
        <v>0</v>
      </c>
      <c r="G345">
        <v>4</v>
      </c>
      <c r="H345">
        <v>15.36</v>
      </c>
      <c r="I345">
        <v>0</v>
      </c>
      <c r="J345">
        <v>0</v>
      </c>
    </row>
    <row r="346" spans="1:10" x14ac:dyDescent="0.25">
      <c r="A346" t="s">
        <v>443</v>
      </c>
      <c r="B346" t="s">
        <v>442</v>
      </c>
      <c r="C346">
        <v>3</v>
      </c>
      <c r="D346">
        <v>400.21</v>
      </c>
      <c r="E346">
        <v>0</v>
      </c>
      <c r="F346">
        <v>0</v>
      </c>
      <c r="G346">
        <v>3</v>
      </c>
      <c r="H346">
        <v>400.21</v>
      </c>
      <c r="I346">
        <v>0</v>
      </c>
      <c r="J346">
        <v>0</v>
      </c>
    </row>
    <row r="347" spans="1:10" x14ac:dyDescent="0.25">
      <c r="A347" t="s">
        <v>445</v>
      </c>
      <c r="B347" t="s">
        <v>444</v>
      </c>
      <c r="C347">
        <v>39</v>
      </c>
      <c r="D347">
        <v>863.03000000000009</v>
      </c>
      <c r="E347">
        <v>0</v>
      </c>
      <c r="F347">
        <v>0</v>
      </c>
      <c r="G347">
        <v>39</v>
      </c>
      <c r="H347">
        <v>863.03000000000009</v>
      </c>
      <c r="I347">
        <v>0</v>
      </c>
      <c r="J347">
        <v>0</v>
      </c>
    </row>
    <row r="348" spans="1:10" x14ac:dyDescent="0.25">
      <c r="A348" t="s">
        <v>447</v>
      </c>
      <c r="B348" t="s">
        <v>446</v>
      </c>
      <c r="C348">
        <v>24</v>
      </c>
      <c r="D348">
        <v>122.81</v>
      </c>
      <c r="E348">
        <v>0</v>
      </c>
      <c r="F348">
        <v>0</v>
      </c>
      <c r="G348">
        <v>24</v>
      </c>
      <c r="H348">
        <v>122.81</v>
      </c>
      <c r="I348">
        <v>0</v>
      </c>
      <c r="J348">
        <v>0</v>
      </c>
    </row>
    <row r="349" spans="1:10" x14ac:dyDescent="0.25">
      <c r="A349" t="s">
        <v>449</v>
      </c>
      <c r="B349" t="s">
        <v>448</v>
      </c>
      <c r="C349">
        <v>18</v>
      </c>
      <c r="D349">
        <v>119.77</v>
      </c>
      <c r="E349">
        <v>0</v>
      </c>
      <c r="F349">
        <v>0</v>
      </c>
      <c r="G349">
        <v>18</v>
      </c>
      <c r="H349">
        <v>119.77</v>
      </c>
      <c r="I349">
        <v>0</v>
      </c>
      <c r="J349">
        <v>0</v>
      </c>
    </row>
    <row r="350" spans="1:10" x14ac:dyDescent="0.25">
      <c r="A350" t="s">
        <v>451</v>
      </c>
      <c r="B350" t="s">
        <v>450</v>
      </c>
      <c r="C350">
        <v>423</v>
      </c>
      <c r="D350">
        <v>2621.3000000000002</v>
      </c>
      <c r="E350">
        <v>0</v>
      </c>
      <c r="F350">
        <v>0</v>
      </c>
      <c r="G350">
        <v>423</v>
      </c>
      <c r="H350">
        <v>2621.3000000000002</v>
      </c>
      <c r="I350">
        <v>0</v>
      </c>
      <c r="J350">
        <v>0</v>
      </c>
    </row>
    <row r="351" spans="1:10" x14ac:dyDescent="0.25">
      <c r="A351" t="s">
        <v>453</v>
      </c>
      <c r="B351" t="s">
        <v>452</v>
      </c>
      <c r="C351">
        <v>93</v>
      </c>
      <c r="D351">
        <v>2805.25</v>
      </c>
      <c r="E351">
        <v>0</v>
      </c>
      <c r="F351">
        <v>0</v>
      </c>
      <c r="G351">
        <v>93</v>
      </c>
      <c r="H351">
        <v>2805.25</v>
      </c>
      <c r="I351">
        <v>0</v>
      </c>
      <c r="J351">
        <v>0</v>
      </c>
    </row>
    <row r="352" spans="1:10" x14ac:dyDescent="0.25">
      <c r="A352" t="s">
        <v>455</v>
      </c>
      <c r="B352" t="s">
        <v>454</v>
      </c>
      <c r="C352">
        <v>234</v>
      </c>
      <c r="D352">
        <v>3595.7999999999997</v>
      </c>
      <c r="E352">
        <v>0</v>
      </c>
      <c r="F352">
        <v>0</v>
      </c>
      <c r="G352">
        <v>234</v>
      </c>
      <c r="H352">
        <v>3595.7999999999997</v>
      </c>
      <c r="I352">
        <v>0</v>
      </c>
      <c r="J352">
        <v>0</v>
      </c>
    </row>
    <row r="353" spans="1:10" x14ac:dyDescent="0.25">
      <c r="A353" t="s">
        <v>457</v>
      </c>
      <c r="B353" t="s">
        <v>456</v>
      </c>
      <c r="C353">
        <v>2</v>
      </c>
      <c r="D353">
        <v>102.32</v>
      </c>
      <c r="E353">
        <v>0</v>
      </c>
      <c r="F353">
        <v>0</v>
      </c>
      <c r="G353">
        <v>2</v>
      </c>
      <c r="H353">
        <v>102.32</v>
      </c>
      <c r="I353">
        <v>0</v>
      </c>
      <c r="J353">
        <v>0</v>
      </c>
    </row>
    <row r="354" spans="1:10" x14ac:dyDescent="0.25">
      <c r="A354" t="s">
        <v>459</v>
      </c>
      <c r="B354" t="s">
        <v>458</v>
      </c>
      <c r="C354">
        <v>21</v>
      </c>
      <c r="D354">
        <v>869.78</v>
      </c>
      <c r="E354">
        <v>0</v>
      </c>
      <c r="F354">
        <v>0</v>
      </c>
      <c r="G354">
        <v>21</v>
      </c>
      <c r="H354">
        <v>869.78</v>
      </c>
      <c r="I354">
        <v>0</v>
      </c>
      <c r="J354">
        <v>0</v>
      </c>
    </row>
    <row r="355" spans="1:10" x14ac:dyDescent="0.25">
      <c r="A355" t="s">
        <v>461</v>
      </c>
      <c r="B355" t="s">
        <v>460</v>
      </c>
      <c r="C355">
        <v>101</v>
      </c>
      <c r="D355">
        <v>1663.64</v>
      </c>
      <c r="E355">
        <v>0</v>
      </c>
      <c r="F355">
        <v>0</v>
      </c>
      <c r="G355">
        <v>101</v>
      </c>
      <c r="H355">
        <v>1663.64</v>
      </c>
      <c r="I355">
        <v>0</v>
      </c>
      <c r="J355">
        <v>0</v>
      </c>
    </row>
    <row r="356" spans="1:10" x14ac:dyDescent="0.25">
      <c r="A356" t="s">
        <v>463</v>
      </c>
      <c r="B356" t="s">
        <v>462</v>
      </c>
      <c r="C356">
        <v>372</v>
      </c>
      <c r="D356">
        <v>6196.29</v>
      </c>
      <c r="E356">
        <v>0</v>
      </c>
      <c r="F356">
        <v>0</v>
      </c>
      <c r="G356">
        <v>372</v>
      </c>
      <c r="H356">
        <v>6196.29</v>
      </c>
      <c r="I356">
        <v>0</v>
      </c>
      <c r="J356">
        <v>0</v>
      </c>
    </row>
    <row r="357" spans="1:10" x14ac:dyDescent="0.25">
      <c r="A357" t="s">
        <v>465</v>
      </c>
      <c r="B357" t="s">
        <v>464</v>
      </c>
      <c r="C357">
        <v>137</v>
      </c>
      <c r="D357">
        <v>2234.4699999999998</v>
      </c>
      <c r="E357">
        <v>0</v>
      </c>
      <c r="F357">
        <v>0</v>
      </c>
      <c r="G357">
        <v>137</v>
      </c>
      <c r="H357">
        <v>2234.4699999999998</v>
      </c>
      <c r="I357">
        <v>0</v>
      </c>
      <c r="J357">
        <v>0</v>
      </c>
    </row>
    <row r="358" spans="1:10" x14ac:dyDescent="0.25">
      <c r="A358" t="s">
        <v>467</v>
      </c>
      <c r="B358" t="s">
        <v>466</v>
      </c>
      <c r="C358">
        <v>3</v>
      </c>
      <c r="D358">
        <v>115.5</v>
      </c>
      <c r="E358">
        <v>0</v>
      </c>
      <c r="F358">
        <v>0</v>
      </c>
      <c r="G358">
        <v>3</v>
      </c>
      <c r="H358">
        <v>115.5</v>
      </c>
      <c r="I358">
        <v>0</v>
      </c>
      <c r="J358">
        <v>0</v>
      </c>
    </row>
    <row r="359" spans="1:10" x14ac:dyDescent="0.25">
      <c r="A359" t="s">
        <v>469</v>
      </c>
      <c r="B359" t="s">
        <v>468</v>
      </c>
      <c r="C359">
        <v>74</v>
      </c>
      <c r="D359">
        <v>2091.16</v>
      </c>
      <c r="E359">
        <v>0</v>
      </c>
      <c r="F359">
        <v>0</v>
      </c>
      <c r="G359">
        <v>74</v>
      </c>
      <c r="H359">
        <v>2091.16</v>
      </c>
      <c r="I359">
        <v>0</v>
      </c>
      <c r="J359">
        <v>0</v>
      </c>
    </row>
    <row r="360" spans="1:10" x14ac:dyDescent="0.25">
      <c r="A360" t="s">
        <v>471</v>
      </c>
      <c r="B360" t="s">
        <v>470</v>
      </c>
      <c r="C360">
        <v>13</v>
      </c>
      <c r="D360">
        <v>191.48999999999998</v>
      </c>
      <c r="E360">
        <v>0</v>
      </c>
      <c r="F360">
        <v>0</v>
      </c>
      <c r="G360">
        <v>13</v>
      </c>
      <c r="H360">
        <v>191.48999999999998</v>
      </c>
      <c r="I360">
        <v>0</v>
      </c>
      <c r="J360">
        <v>0</v>
      </c>
    </row>
    <row r="362" spans="1:10" x14ac:dyDescent="0.25">
      <c r="A362" t="s">
        <v>11</v>
      </c>
      <c r="B362" t="s">
        <v>10</v>
      </c>
      <c r="C362">
        <v>1117</v>
      </c>
      <c r="D362">
        <v>16410.86</v>
      </c>
      <c r="E362">
        <v>1</v>
      </c>
      <c r="F362">
        <v>19.899999999999999</v>
      </c>
      <c r="G362">
        <v>1118</v>
      </c>
      <c r="H362">
        <v>16430.760000000002</v>
      </c>
      <c r="I362">
        <v>31</v>
      </c>
      <c r="J362">
        <v>404.70000000000005</v>
      </c>
    </row>
    <row r="363" spans="1:10" x14ac:dyDescent="0.25">
      <c r="A363" t="s">
        <v>15</v>
      </c>
      <c r="B363" t="s">
        <v>14</v>
      </c>
      <c r="C363">
        <v>2</v>
      </c>
      <c r="D363">
        <v>22.85</v>
      </c>
      <c r="E363">
        <v>0</v>
      </c>
      <c r="F363">
        <v>0</v>
      </c>
      <c r="G363">
        <v>2</v>
      </c>
      <c r="H363">
        <v>22.85</v>
      </c>
      <c r="I363">
        <v>2</v>
      </c>
      <c r="J363">
        <v>35.729999999999997</v>
      </c>
    </row>
    <row r="364" spans="1:10" x14ac:dyDescent="0.25">
      <c r="A364" t="s">
        <v>473</v>
      </c>
      <c r="B364" t="s">
        <v>472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</v>
      </c>
      <c r="J364">
        <v>43.540000000000006</v>
      </c>
    </row>
    <row r="365" spans="1:10" x14ac:dyDescent="0.25">
      <c r="A365" t="s">
        <v>17</v>
      </c>
      <c r="B365" t="s">
        <v>16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</v>
      </c>
      <c r="J365">
        <v>32.58</v>
      </c>
    </row>
    <row r="366" spans="1:10" x14ac:dyDescent="0.25">
      <c r="A366" t="s">
        <v>532</v>
      </c>
      <c r="B366" t="s">
        <v>531</v>
      </c>
      <c r="C366">
        <v>23</v>
      </c>
      <c r="D366">
        <v>131.27000000000001</v>
      </c>
      <c r="E366">
        <v>0</v>
      </c>
      <c r="F366">
        <v>0</v>
      </c>
      <c r="G366">
        <v>23</v>
      </c>
      <c r="H366">
        <v>131.27000000000001</v>
      </c>
      <c r="I366">
        <v>198</v>
      </c>
      <c r="J366">
        <v>1106.56</v>
      </c>
    </row>
    <row r="367" spans="1:10" x14ac:dyDescent="0.25">
      <c r="A367" t="s">
        <v>572</v>
      </c>
      <c r="B367" t="s">
        <v>573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 t="s">
        <v>574</v>
      </c>
      <c r="B368" t="s">
        <v>575</v>
      </c>
      <c r="C368">
        <v>0</v>
      </c>
      <c r="D368">
        <v>0</v>
      </c>
      <c r="E368">
        <v>38</v>
      </c>
      <c r="F368">
        <v>1231.71</v>
      </c>
      <c r="G368">
        <v>38</v>
      </c>
      <c r="H368">
        <v>1231.71</v>
      </c>
      <c r="I368">
        <v>195</v>
      </c>
      <c r="J368">
        <v>4239.5800000000008</v>
      </c>
    </row>
    <row r="369" spans="1:10" x14ac:dyDescent="0.25">
      <c r="A369" t="s">
        <v>576</v>
      </c>
      <c r="B369" t="s">
        <v>577</v>
      </c>
      <c r="C369">
        <v>1</v>
      </c>
      <c r="D369">
        <v>41.24</v>
      </c>
      <c r="E369">
        <v>0</v>
      </c>
      <c r="F369">
        <v>0</v>
      </c>
      <c r="G369">
        <v>1</v>
      </c>
      <c r="H369">
        <v>41.24</v>
      </c>
      <c r="I369">
        <v>0</v>
      </c>
      <c r="J369">
        <v>0</v>
      </c>
    </row>
    <row r="370" spans="1:10" x14ac:dyDescent="0.25">
      <c r="A370" t="s">
        <v>19</v>
      </c>
      <c r="B370" t="s">
        <v>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5</v>
      </c>
      <c r="J370">
        <v>32.25</v>
      </c>
    </row>
    <row r="371" spans="1:10" x14ac:dyDescent="0.25">
      <c r="A371" t="s">
        <v>554</v>
      </c>
      <c r="B371" t="s">
        <v>553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 t="s">
        <v>578</v>
      </c>
      <c r="B372" t="s">
        <v>579</v>
      </c>
      <c r="C372">
        <v>3</v>
      </c>
      <c r="D372">
        <v>61.3</v>
      </c>
      <c r="E372">
        <v>0</v>
      </c>
      <c r="F372">
        <v>0</v>
      </c>
      <c r="G372">
        <v>3</v>
      </c>
      <c r="H372">
        <v>61.3</v>
      </c>
      <c r="I372">
        <v>4</v>
      </c>
      <c r="J372">
        <v>69.7</v>
      </c>
    </row>
    <row r="373" spans="1:10" x14ac:dyDescent="0.25">
      <c r="A373" t="s">
        <v>21</v>
      </c>
      <c r="B373" t="s">
        <v>20</v>
      </c>
      <c r="C373">
        <v>3</v>
      </c>
      <c r="D373">
        <v>73.53</v>
      </c>
      <c r="E373">
        <v>0</v>
      </c>
      <c r="F373">
        <v>0</v>
      </c>
      <c r="G373">
        <v>3</v>
      </c>
      <c r="H373">
        <v>73.53</v>
      </c>
      <c r="I373">
        <v>2</v>
      </c>
      <c r="J373">
        <v>49.02</v>
      </c>
    </row>
    <row r="374" spans="1:10" x14ac:dyDescent="0.25">
      <c r="A374" t="s">
        <v>23</v>
      </c>
      <c r="B374" t="s">
        <v>22</v>
      </c>
      <c r="C374">
        <v>424</v>
      </c>
      <c r="D374">
        <v>7577.95</v>
      </c>
      <c r="E374">
        <v>0</v>
      </c>
      <c r="F374">
        <v>0</v>
      </c>
      <c r="G374">
        <v>424</v>
      </c>
      <c r="H374">
        <v>7577.95</v>
      </c>
      <c r="I374">
        <v>374</v>
      </c>
      <c r="J374">
        <v>6370.16</v>
      </c>
    </row>
    <row r="375" spans="1:10" x14ac:dyDescent="0.25">
      <c r="A375" t="s">
        <v>25</v>
      </c>
      <c r="B375" t="s">
        <v>24</v>
      </c>
      <c r="C375">
        <v>1</v>
      </c>
      <c r="D375">
        <v>27.03</v>
      </c>
      <c r="E375">
        <v>96</v>
      </c>
      <c r="F375">
        <v>2882.4000000000051</v>
      </c>
      <c r="G375">
        <v>97</v>
      </c>
      <c r="H375">
        <v>2909.4300000000053</v>
      </c>
      <c r="I375">
        <v>529</v>
      </c>
      <c r="J375">
        <v>10857.32</v>
      </c>
    </row>
    <row r="376" spans="1:10" x14ac:dyDescent="0.25">
      <c r="A376" t="s">
        <v>534</v>
      </c>
      <c r="B376" t="s">
        <v>533</v>
      </c>
      <c r="C376">
        <v>3</v>
      </c>
      <c r="D376">
        <v>147.35</v>
      </c>
      <c r="E376">
        <v>0</v>
      </c>
      <c r="F376">
        <v>0</v>
      </c>
      <c r="G376">
        <v>3</v>
      </c>
      <c r="H376">
        <v>147.35</v>
      </c>
      <c r="I376">
        <v>1</v>
      </c>
      <c r="J376">
        <v>53.22</v>
      </c>
    </row>
    <row r="377" spans="1:10" x14ac:dyDescent="0.25">
      <c r="A377" t="s">
        <v>580</v>
      </c>
      <c r="B377" t="s">
        <v>581</v>
      </c>
      <c r="C377">
        <v>1</v>
      </c>
      <c r="D377">
        <v>10.57</v>
      </c>
      <c r="E377">
        <v>0</v>
      </c>
      <c r="F377">
        <v>0</v>
      </c>
      <c r="G377">
        <v>1</v>
      </c>
      <c r="H377">
        <v>10.57</v>
      </c>
      <c r="I377">
        <v>3</v>
      </c>
      <c r="J377">
        <v>31.71</v>
      </c>
    </row>
    <row r="378" spans="1:10" x14ac:dyDescent="0.25">
      <c r="A378" t="s">
        <v>582</v>
      </c>
      <c r="B378" t="s">
        <v>583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17.07</v>
      </c>
    </row>
    <row r="379" spans="1:10" x14ac:dyDescent="0.25">
      <c r="A379" t="s">
        <v>584</v>
      </c>
      <c r="B379" t="s">
        <v>585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-3</v>
      </c>
      <c r="J379">
        <v>-28.5</v>
      </c>
    </row>
    <row r="380" spans="1:10" x14ac:dyDescent="0.25">
      <c r="A380" t="s">
        <v>586</v>
      </c>
      <c r="B380" t="s">
        <v>587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20.41</v>
      </c>
    </row>
    <row r="381" spans="1:10" x14ac:dyDescent="0.25">
      <c r="A381" t="s">
        <v>588</v>
      </c>
      <c r="B381" t="s">
        <v>589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34</v>
      </c>
      <c r="J381">
        <v>192.44</v>
      </c>
    </row>
    <row r="382" spans="1:10" x14ac:dyDescent="0.25">
      <c r="A382" t="s">
        <v>29</v>
      </c>
      <c r="B382" t="s">
        <v>28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3.22</v>
      </c>
    </row>
    <row r="383" spans="1:10" x14ac:dyDescent="0.25">
      <c r="A383" t="s">
        <v>31</v>
      </c>
      <c r="B383" t="s">
        <v>30</v>
      </c>
      <c r="C383">
        <v>24</v>
      </c>
      <c r="D383">
        <v>784.8</v>
      </c>
      <c r="E383">
        <v>0</v>
      </c>
      <c r="F383">
        <v>0</v>
      </c>
      <c r="G383">
        <v>24</v>
      </c>
      <c r="H383">
        <v>784.8</v>
      </c>
      <c r="I383">
        <v>103</v>
      </c>
      <c r="J383">
        <v>2946.83</v>
      </c>
    </row>
    <row r="384" spans="1:10" x14ac:dyDescent="0.25">
      <c r="A384" t="s">
        <v>590</v>
      </c>
      <c r="B384" t="s">
        <v>591</v>
      </c>
      <c r="C384">
        <v>1</v>
      </c>
      <c r="D384">
        <v>6.73</v>
      </c>
      <c r="E384">
        <v>0</v>
      </c>
      <c r="F384">
        <v>0</v>
      </c>
      <c r="G384">
        <v>1</v>
      </c>
      <c r="H384">
        <v>6.73</v>
      </c>
      <c r="I384">
        <v>0</v>
      </c>
      <c r="J384">
        <v>0</v>
      </c>
    </row>
    <row r="385" spans="1:10" x14ac:dyDescent="0.25">
      <c r="A385" t="s">
        <v>592</v>
      </c>
      <c r="B385" t="s">
        <v>593</v>
      </c>
      <c r="C385">
        <v>1</v>
      </c>
      <c r="D385">
        <v>4.83</v>
      </c>
      <c r="E385">
        <v>0</v>
      </c>
      <c r="F385">
        <v>0</v>
      </c>
      <c r="G385">
        <v>1</v>
      </c>
      <c r="H385">
        <v>4.83</v>
      </c>
      <c r="I385">
        <v>0</v>
      </c>
      <c r="J385">
        <v>0</v>
      </c>
    </row>
    <row r="386" spans="1:10" x14ac:dyDescent="0.25">
      <c r="A386" t="s">
        <v>594</v>
      </c>
      <c r="B386" t="s">
        <v>595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216.5</v>
      </c>
    </row>
    <row r="387" spans="1:10" x14ac:dyDescent="0.25">
      <c r="A387" t="s">
        <v>596</v>
      </c>
      <c r="B387" t="s">
        <v>597</v>
      </c>
      <c r="C387">
        <v>1</v>
      </c>
      <c r="D387">
        <v>16.309999999999999</v>
      </c>
      <c r="E387">
        <v>0</v>
      </c>
      <c r="F387">
        <v>0</v>
      </c>
      <c r="G387">
        <v>1</v>
      </c>
      <c r="H387">
        <v>16.309999999999999</v>
      </c>
      <c r="I387">
        <v>0</v>
      </c>
      <c r="J387">
        <v>0</v>
      </c>
    </row>
    <row r="388" spans="1:10" x14ac:dyDescent="0.25">
      <c r="A388" t="s">
        <v>33</v>
      </c>
      <c r="B388" t="s">
        <v>32</v>
      </c>
      <c r="C388">
        <v>293</v>
      </c>
      <c r="D388">
        <v>4779.6299999999992</v>
      </c>
      <c r="E388">
        <v>7</v>
      </c>
      <c r="F388">
        <v>155.61000000000001</v>
      </c>
      <c r="G388">
        <v>300</v>
      </c>
      <c r="H388">
        <v>4935.2399999999989</v>
      </c>
      <c r="I388">
        <v>468</v>
      </c>
      <c r="J388">
        <v>7132.71</v>
      </c>
    </row>
    <row r="389" spans="1:10" x14ac:dyDescent="0.25">
      <c r="A389" t="s">
        <v>598</v>
      </c>
      <c r="B389" t="s">
        <v>599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 t="s">
        <v>35</v>
      </c>
      <c r="B390" t="s">
        <v>34</v>
      </c>
      <c r="C390">
        <v>1</v>
      </c>
      <c r="D390">
        <v>9.5399999999999991</v>
      </c>
      <c r="E390">
        <v>0</v>
      </c>
      <c r="F390">
        <v>0</v>
      </c>
      <c r="G390">
        <v>1</v>
      </c>
      <c r="H390">
        <v>9.5399999999999991</v>
      </c>
      <c r="I390">
        <v>0</v>
      </c>
      <c r="J390">
        <v>0</v>
      </c>
    </row>
    <row r="391" spans="1:10" x14ac:dyDescent="0.25">
      <c r="A391" t="s">
        <v>600</v>
      </c>
      <c r="B391" t="s">
        <v>601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16.72</v>
      </c>
    </row>
    <row r="392" spans="1:10" x14ac:dyDescent="0.25">
      <c r="A392" t="s">
        <v>602</v>
      </c>
      <c r="B392" t="s">
        <v>603</v>
      </c>
      <c r="C392">
        <v>2</v>
      </c>
      <c r="D392">
        <v>19.03</v>
      </c>
      <c r="E392">
        <v>0</v>
      </c>
      <c r="F392">
        <v>0</v>
      </c>
      <c r="G392">
        <v>2</v>
      </c>
      <c r="H392">
        <v>19.03</v>
      </c>
      <c r="I392">
        <v>0</v>
      </c>
      <c r="J392">
        <v>0</v>
      </c>
    </row>
    <row r="393" spans="1:10" x14ac:dyDescent="0.25">
      <c r="A393" t="s">
        <v>604</v>
      </c>
      <c r="B393" t="s">
        <v>605</v>
      </c>
      <c r="C393">
        <v>1</v>
      </c>
      <c r="D393">
        <v>11.39</v>
      </c>
      <c r="E393">
        <v>0</v>
      </c>
      <c r="F393">
        <v>0</v>
      </c>
      <c r="G393">
        <v>1</v>
      </c>
      <c r="H393">
        <v>11.39</v>
      </c>
      <c r="I393">
        <v>0</v>
      </c>
      <c r="J393">
        <v>0</v>
      </c>
    </row>
    <row r="394" spans="1:10" x14ac:dyDescent="0.25">
      <c r="A394" t="s">
        <v>37</v>
      </c>
      <c r="B394" t="s">
        <v>36</v>
      </c>
      <c r="C394">
        <v>2</v>
      </c>
      <c r="D394">
        <v>10.81</v>
      </c>
      <c r="E394">
        <v>0</v>
      </c>
      <c r="F394">
        <v>0</v>
      </c>
      <c r="G394">
        <v>2</v>
      </c>
      <c r="H394">
        <v>10.81</v>
      </c>
      <c r="I394">
        <v>0</v>
      </c>
      <c r="J394">
        <v>0</v>
      </c>
    </row>
    <row r="395" spans="1:10" x14ac:dyDescent="0.25">
      <c r="A395" t="s">
        <v>526</v>
      </c>
      <c r="B395" t="s">
        <v>525</v>
      </c>
      <c r="C395">
        <v>11</v>
      </c>
      <c r="D395">
        <v>244.89</v>
      </c>
      <c r="E395">
        <v>0</v>
      </c>
      <c r="F395">
        <v>0</v>
      </c>
      <c r="G395">
        <v>11</v>
      </c>
      <c r="H395">
        <v>244.89</v>
      </c>
      <c r="I395">
        <v>42</v>
      </c>
      <c r="J395">
        <v>878.33</v>
      </c>
    </row>
    <row r="396" spans="1:10" x14ac:dyDescent="0.25">
      <c r="A396" t="s">
        <v>39</v>
      </c>
      <c r="B396" t="s">
        <v>38</v>
      </c>
      <c r="C396">
        <v>1</v>
      </c>
      <c r="D396">
        <v>21.26</v>
      </c>
      <c r="E396">
        <v>5</v>
      </c>
      <c r="F396">
        <v>234.5</v>
      </c>
      <c r="G396">
        <v>6</v>
      </c>
      <c r="H396">
        <v>255.76</v>
      </c>
      <c r="I396">
        <v>2</v>
      </c>
      <c r="J396">
        <v>70.34</v>
      </c>
    </row>
    <row r="397" spans="1:10" x14ac:dyDescent="0.25">
      <c r="A397" t="s">
        <v>41</v>
      </c>
      <c r="B397" t="s">
        <v>40</v>
      </c>
      <c r="C397">
        <v>9</v>
      </c>
      <c r="D397">
        <v>891.66</v>
      </c>
      <c r="E397">
        <v>0</v>
      </c>
      <c r="F397">
        <v>0</v>
      </c>
      <c r="G397">
        <v>9</v>
      </c>
      <c r="H397">
        <v>891.66</v>
      </c>
      <c r="I397">
        <v>7</v>
      </c>
      <c r="J397">
        <v>566.9</v>
      </c>
    </row>
    <row r="398" spans="1:10" x14ac:dyDescent="0.25">
      <c r="A398" t="s">
        <v>606</v>
      </c>
      <c r="B398" t="s">
        <v>607</v>
      </c>
      <c r="C398">
        <v>1</v>
      </c>
      <c r="D398">
        <v>9.1300000000000008</v>
      </c>
      <c r="E398">
        <v>0</v>
      </c>
      <c r="F398">
        <v>0</v>
      </c>
      <c r="G398">
        <v>1</v>
      </c>
      <c r="H398">
        <v>9.1300000000000008</v>
      </c>
      <c r="I398">
        <v>0</v>
      </c>
      <c r="J398">
        <v>0</v>
      </c>
    </row>
    <row r="399" spans="1:10" x14ac:dyDescent="0.25">
      <c r="A399" t="s">
        <v>608</v>
      </c>
      <c r="B399" t="s">
        <v>609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-1</v>
      </c>
      <c r="J399">
        <v>-17.09</v>
      </c>
    </row>
    <row r="400" spans="1:10" x14ac:dyDescent="0.25">
      <c r="A400" t="s">
        <v>508</v>
      </c>
      <c r="B400" t="s">
        <v>507</v>
      </c>
      <c r="C400">
        <v>3</v>
      </c>
      <c r="D400">
        <v>10.220000000000001</v>
      </c>
      <c r="E400">
        <v>0</v>
      </c>
      <c r="F400">
        <v>0</v>
      </c>
      <c r="G400">
        <v>3</v>
      </c>
      <c r="H400">
        <v>10.220000000000001</v>
      </c>
      <c r="I400">
        <v>9</v>
      </c>
      <c r="J400">
        <v>30.95</v>
      </c>
    </row>
    <row r="401" spans="1:10" x14ac:dyDescent="0.25">
      <c r="A401" t="s">
        <v>43</v>
      </c>
      <c r="B401" t="s">
        <v>42</v>
      </c>
      <c r="C401">
        <v>4</v>
      </c>
      <c r="D401">
        <v>66.56</v>
      </c>
      <c r="E401">
        <v>1084</v>
      </c>
      <c r="F401">
        <v>21587.910000000149</v>
      </c>
      <c r="G401">
        <v>1088</v>
      </c>
      <c r="H401">
        <v>21654.47000000015</v>
      </c>
      <c r="I401">
        <v>2309</v>
      </c>
      <c r="J401">
        <v>31490.19</v>
      </c>
    </row>
    <row r="402" spans="1:10" x14ac:dyDescent="0.25">
      <c r="A402" t="s">
        <v>504</v>
      </c>
      <c r="B402" t="s">
        <v>503</v>
      </c>
      <c r="C402">
        <v>13</v>
      </c>
      <c r="D402">
        <v>50.63</v>
      </c>
      <c r="E402">
        <v>0</v>
      </c>
      <c r="F402">
        <v>0</v>
      </c>
      <c r="G402">
        <v>13</v>
      </c>
      <c r="H402">
        <v>50.63</v>
      </c>
      <c r="I402">
        <v>2</v>
      </c>
      <c r="J402">
        <v>11.51</v>
      </c>
    </row>
    <row r="403" spans="1:10" x14ac:dyDescent="0.25">
      <c r="A403" t="s">
        <v>610</v>
      </c>
      <c r="B403" t="s">
        <v>611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30</v>
      </c>
      <c r="J403">
        <v>203.06999999999996</v>
      </c>
    </row>
    <row r="404" spans="1:10" x14ac:dyDescent="0.25">
      <c r="A404" t="s">
        <v>45</v>
      </c>
      <c r="B404" t="s">
        <v>44</v>
      </c>
      <c r="C404">
        <v>5</v>
      </c>
      <c r="D404">
        <v>29.95</v>
      </c>
      <c r="E404">
        <v>0</v>
      </c>
      <c r="F404">
        <v>0</v>
      </c>
      <c r="G404">
        <v>5</v>
      </c>
      <c r="H404">
        <v>29.95</v>
      </c>
      <c r="I404">
        <v>1</v>
      </c>
      <c r="J404">
        <v>5.46</v>
      </c>
    </row>
    <row r="405" spans="1:10" x14ac:dyDescent="0.25">
      <c r="A405" t="s">
        <v>612</v>
      </c>
      <c r="B405" t="s">
        <v>613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18.29</v>
      </c>
    </row>
    <row r="406" spans="1:10" x14ac:dyDescent="0.25">
      <c r="A406" t="s">
        <v>614</v>
      </c>
      <c r="B406" t="s">
        <v>615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18.93</v>
      </c>
    </row>
    <row r="407" spans="1:10" x14ac:dyDescent="0.25">
      <c r="A407" t="s">
        <v>47</v>
      </c>
      <c r="B407" t="s">
        <v>46</v>
      </c>
      <c r="C407">
        <v>5</v>
      </c>
      <c r="D407">
        <v>145.4</v>
      </c>
      <c r="E407">
        <v>346</v>
      </c>
      <c r="F407">
        <v>12658.719999999917</v>
      </c>
      <c r="G407">
        <v>351</v>
      </c>
      <c r="H407">
        <v>12804.119999999917</v>
      </c>
      <c r="I407">
        <v>677</v>
      </c>
      <c r="J407">
        <v>21012.58</v>
      </c>
    </row>
    <row r="408" spans="1:10" x14ac:dyDescent="0.25">
      <c r="A408" t="s">
        <v>512</v>
      </c>
      <c r="B408" t="s">
        <v>511</v>
      </c>
      <c r="C408">
        <v>69</v>
      </c>
      <c r="D408">
        <v>1416.1100000000001</v>
      </c>
      <c r="E408">
        <v>0</v>
      </c>
      <c r="F408">
        <v>0</v>
      </c>
      <c r="G408">
        <v>69</v>
      </c>
      <c r="H408">
        <v>1416.1100000000001</v>
      </c>
      <c r="I408">
        <v>71</v>
      </c>
      <c r="J408">
        <v>1552.3899999999999</v>
      </c>
    </row>
    <row r="409" spans="1:10" x14ac:dyDescent="0.25">
      <c r="A409" t="s">
        <v>616</v>
      </c>
      <c r="B409" t="s">
        <v>617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 t="s">
        <v>618</v>
      </c>
      <c r="B410" t="s">
        <v>619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12</v>
      </c>
      <c r="J410">
        <v>341.40000000000003</v>
      </c>
    </row>
    <row r="411" spans="1:10" x14ac:dyDescent="0.25">
      <c r="A411" t="s">
        <v>492</v>
      </c>
      <c r="B411" t="s">
        <v>491</v>
      </c>
      <c r="C411">
        <v>0</v>
      </c>
      <c r="D411">
        <v>0</v>
      </c>
      <c r="E411">
        <v>31</v>
      </c>
      <c r="F411">
        <v>1446.9000000000005</v>
      </c>
      <c r="G411">
        <v>31</v>
      </c>
      <c r="H411">
        <v>1446.9000000000005</v>
      </c>
      <c r="I411">
        <v>228</v>
      </c>
      <c r="J411">
        <v>6544.37</v>
      </c>
    </row>
    <row r="412" spans="1:10" x14ac:dyDescent="0.25">
      <c r="A412" t="s">
        <v>620</v>
      </c>
      <c r="B412" t="s">
        <v>621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18.489999999999998</v>
      </c>
    </row>
    <row r="413" spans="1:10" x14ac:dyDescent="0.25">
      <c r="A413" t="s">
        <v>556</v>
      </c>
      <c r="B413" t="s">
        <v>555</v>
      </c>
      <c r="C413">
        <v>10</v>
      </c>
      <c r="D413">
        <v>36.22</v>
      </c>
      <c r="E413">
        <v>0</v>
      </c>
      <c r="F413">
        <v>0</v>
      </c>
      <c r="G413">
        <v>10</v>
      </c>
      <c r="H413">
        <v>36.22</v>
      </c>
      <c r="I413">
        <v>0</v>
      </c>
      <c r="J413">
        <v>0</v>
      </c>
    </row>
    <row r="414" spans="1:10" x14ac:dyDescent="0.25">
      <c r="A414" t="s">
        <v>622</v>
      </c>
      <c r="B414" t="s">
        <v>623</v>
      </c>
      <c r="C414">
        <v>1</v>
      </c>
      <c r="D414">
        <v>20.92</v>
      </c>
      <c r="E414">
        <v>0</v>
      </c>
      <c r="F414">
        <v>0</v>
      </c>
      <c r="G414">
        <v>1</v>
      </c>
      <c r="H414">
        <v>20.92</v>
      </c>
      <c r="I414">
        <v>-1</v>
      </c>
      <c r="J414">
        <v>-15.29</v>
      </c>
    </row>
    <row r="415" spans="1:10" x14ac:dyDescent="0.25">
      <c r="A415" t="s">
        <v>624</v>
      </c>
      <c r="B415" t="s">
        <v>625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25</v>
      </c>
      <c r="J415">
        <v>224.77</v>
      </c>
    </row>
    <row r="416" spans="1:10" x14ac:dyDescent="0.25">
      <c r="A416" t="s">
        <v>626</v>
      </c>
      <c r="B416" t="s">
        <v>627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89</v>
      </c>
      <c r="J416">
        <v>748.81000000000006</v>
      </c>
    </row>
    <row r="417" spans="1:10" x14ac:dyDescent="0.25">
      <c r="A417" t="s">
        <v>628</v>
      </c>
      <c r="B417" t="s">
        <v>629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25">
      <c r="A418" t="s">
        <v>630</v>
      </c>
      <c r="B418" t="s">
        <v>631</v>
      </c>
      <c r="C418">
        <v>1</v>
      </c>
      <c r="D418">
        <v>36.58</v>
      </c>
      <c r="E418">
        <v>0</v>
      </c>
      <c r="F418">
        <v>0</v>
      </c>
      <c r="G418">
        <v>1</v>
      </c>
      <c r="H418">
        <v>36.58</v>
      </c>
      <c r="I418">
        <v>0</v>
      </c>
      <c r="J418">
        <v>0</v>
      </c>
    </row>
    <row r="419" spans="1:10" x14ac:dyDescent="0.25">
      <c r="A419" t="s">
        <v>49</v>
      </c>
      <c r="B419" t="s">
        <v>48</v>
      </c>
      <c r="C419">
        <v>2</v>
      </c>
      <c r="D419">
        <v>25.04</v>
      </c>
      <c r="E419">
        <v>0</v>
      </c>
      <c r="F419">
        <v>0</v>
      </c>
      <c r="G419">
        <v>2</v>
      </c>
      <c r="H419">
        <v>25.04</v>
      </c>
      <c r="I419">
        <v>5</v>
      </c>
      <c r="J419">
        <v>56.77</v>
      </c>
    </row>
    <row r="420" spans="1:10" x14ac:dyDescent="0.25">
      <c r="A420" t="s">
        <v>51</v>
      </c>
      <c r="B420" t="s">
        <v>50</v>
      </c>
      <c r="C420">
        <v>8</v>
      </c>
      <c r="D420">
        <v>105.87</v>
      </c>
      <c r="E420">
        <v>0</v>
      </c>
      <c r="F420">
        <v>0</v>
      </c>
      <c r="G420">
        <v>8</v>
      </c>
      <c r="H420">
        <v>105.87</v>
      </c>
      <c r="I420">
        <v>10</v>
      </c>
      <c r="J420">
        <v>153.44999999999999</v>
      </c>
    </row>
    <row r="421" spans="1:10" x14ac:dyDescent="0.25">
      <c r="A421" t="s">
        <v>524</v>
      </c>
      <c r="B421" t="s">
        <v>523</v>
      </c>
      <c r="C421">
        <v>4</v>
      </c>
      <c r="D421">
        <v>15.41</v>
      </c>
      <c r="E421">
        <v>0</v>
      </c>
      <c r="F421">
        <v>0</v>
      </c>
      <c r="G421">
        <v>4</v>
      </c>
      <c r="H421">
        <v>15.41</v>
      </c>
      <c r="I421">
        <v>17</v>
      </c>
      <c r="J421">
        <v>64.22</v>
      </c>
    </row>
    <row r="422" spans="1:10" x14ac:dyDescent="0.25">
      <c r="A422" t="s">
        <v>498</v>
      </c>
      <c r="B422" t="s">
        <v>497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 t="s">
        <v>55</v>
      </c>
      <c r="B423" t="s">
        <v>54</v>
      </c>
      <c r="C423">
        <v>199</v>
      </c>
      <c r="D423">
        <v>5568.49</v>
      </c>
      <c r="E423">
        <v>3</v>
      </c>
      <c r="F423">
        <v>49.9</v>
      </c>
      <c r="G423">
        <v>202</v>
      </c>
      <c r="H423">
        <v>5618.3899999999994</v>
      </c>
      <c r="I423">
        <v>196</v>
      </c>
      <c r="J423">
        <v>5302.56</v>
      </c>
    </row>
    <row r="424" spans="1:10" x14ac:dyDescent="0.25">
      <c r="A424" t="s">
        <v>57</v>
      </c>
      <c r="B424" t="s">
        <v>56</v>
      </c>
      <c r="C424">
        <v>4</v>
      </c>
      <c r="D424">
        <v>135.73000000000002</v>
      </c>
      <c r="E424">
        <v>32</v>
      </c>
      <c r="F424">
        <v>1606.8000000000006</v>
      </c>
      <c r="G424">
        <v>36</v>
      </c>
      <c r="H424">
        <v>1742.5300000000007</v>
      </c>
      <c r="I424">
        <v>60</v>
      </c>
      <c r="J424">
        <v>2486.71</v>
      </c>
    </row>
    <row r="425" spans="1:10" x14ac:dyDescent="0.25">
      <c r="A425" t="s">
        <v>538</v>
      </c>
      <c r="B425" t="s">
        <v>537</v>
      </c>
      <c r="C425">
        <v>33</v>
      </c>
      <c r="D425">
        <v>1917.99</v>
      </c>
      <c r="E425">
        <v>0</v>
      </c>
      <c r="F425">
        <v>0</v>
      </c>
      <c r="G425">
        <v>33</v>
      </c>
      <c r="H425">
        <v>1917.99</v>
      </c>
      <c r="I425">
        <v>64</v>
      </c>
      <c r="J425">
        <v>3716.2400000000002</v>
      </c>
    </row>
    <row r="426" spans="1:10" x14ac:dyDescent="0.25">
      <c r="A426" t="s">
        <v>506</v>
      </c>
      <c r="B426" t="s">
        <v>505</v>
      </c>
      <c r="C426">
        <v>2</v>
      </c>
      <c r="D426">
        <v>47.22</v>
      </c>
      <c r="E426">
        <v>0</v>
      </c>
      <c r="F426">
        <v>0</v>
      </c>
      <c r="G426">
        <v>2</v>
      </c>
      <c r="H426">
        <v>47.22</v>
      </c>
      <c r="I426">
        <v>0</v>
      </c>
      <c r="J426">
        <v>0</v>
      </c>
    </row>
    <row r="427" spans="1:10" x14ac:dyDescent="0.25">
      <c r="A427" t="s">
        <v>632</v>
      </c>
      <c r="B427" t="s">
        <v>633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-1</v>
      </c>
      <c r="J427">
        <v>-10.84</v>
      </c>
    </row>
    <row r="428" spans="1:10" x14ac:dyDescent="0.25">
      <c r="A428" t="s">
        <v>634</v>
      </c>
      <c r="B428" t="s">
        <v>635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22.42</v>
      </c>
    </row>
    <row r="429" spans="1:10" x14ac:dyDescent="0.25">
      <c r="A429" t="s">
        <v>636</v>
      </c>
      <c r="B429" t="s">
        <v>637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8</v>
      </c>
      <c r="J429">
        <v>809.04</v>
      </c>
    </row>
    <row r="430" spans="1:10" x14ac:dyDescent="0.25">
      <c r="A430" t="s">
        <v>59</v>
      </c>
      <c r="B430" t="s">
        <v>58</v>
      </c>
      <c r="C430">
        <v>37</v>
      </c>
      <c r="D430">
        <v>2906.57</v>
      </c>
      <c r="E430">
        <v>0</v>
      </c>
      <c r="F430">
        <v>0</v>
      </c>
      <c r="G430">
        <v>37</v>
      </c>
      <c r="H430">
        <v>2906.57</v>
      </c>
      <c r="I430">
        <v>60</v>
      </c>
      <c r="J430">
        <v>4280.8900000000003</v>
      </c>
    </row>
    <row r="431" spans="1:10" x14ac:dyDescent="0.25">
      <c r="A431" t="s">
        <v>500</v>
      </c>
      <c r="B431" t="s">
        <v>499</v>
      </c>
      <c r="C431">
        <v>1</v>
      </c>
      <c r="D431">
        <v>24.92</v>
      </c>
      <c r="E431">
        <v>606</v>
      </c>
      <c r="F431">
        <v>19967.610000000033</v>
      </c>
      <c r="G431">
        <v>607</v>
      </c>
      <c r="H431">
        <v>19992.530000000032</v>
      </c>
      <c r="I431">
        <v>872</v>
      </c>
      <c r="J431">
        <v>22779.27</v>
      </c>
    </row>
    <row r="432" spans="1:10" x14ac:dyDescent="0.25">
      <c r="A432" t="s">
        <v>540</v>
      </c>
      <c r="B432" t="s">
        <v>539</v>
      </c>
      <c r="C432">
        <v>8</v>
      </c>
      <c r="D432">
        <v>266</v>
      </c>
      <c r="E432">
        <v>25</v>
      </c>
      <c r="F432">
        <v>950.49999999999966</v>
      </c>
      <c r="G432">
        <v>33</v>
      </c>
      <c r="H432">
        <v>1216.4999999999995</v>
      </c>
      <c r="I432">
        <v>10</v>
      </c>
      <c r="J432">
        <v>349.2</v>
      </c>
    </row>
    <row r="433" spans="1:10" x14ac:dyDescent="0.25">
      <c r="A433" t="s">
        <v>61</v>
      </c>
      <c r="B433" t="s">
        <v>60</v>
      </c>
      <c r="C433">
        <v>3</v>
      </c>
      <c r="D433">
        <v>59.91</v>
      </c>
      <c r="E433">
        <v>0</v>
      </c>
      <c r="F433">
        <v>0</v>
      </c>
      <c r="G433">
        <v>3</v>
      </c>
      <c r="H433">
        <v>59.91</v>
      </c>
      <c r="I433">
        <v>-1</v>
      </c>
      <c r="J433">
        <v>-14.75</v>
      </c>
    </row>
    <row r="434" spans="1:10" x14ac:dyDescent="0.25">
      <c r="A434" t="s">
        <v>63</v>
      </c>
      <c r="B434" t="s">
        <v>62</v>
      </c>
      <c r="C434">
        <v>8</v>
      </c>
      <c r="D434">
        <v>187.22</v>
      </c>
      <c r="E434">
        <v>0</v>
      </c>
      <c r="F434">
        <v>0</v>
      </c>
      <c r="G434">
        <v>8</v>
      </c>
      <c r="H434">
        <v>187.22</v>
      </c>
      <c r="I434">
        <v>20</v>
      </c>
      <c r="J434">
        <v>422.81</v>
      </c>
    </row>
    <row r="435" spans="1:10" x14ac:dyDescent="0.25">
      <c r="A435" t="s">
        <v>65</v>
      </c>
      <c r="B435" t="s">
        <v>64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26.89</v>
      </c>
    </row>
    <row r="436" spans="1:10" x14ac:dyDescent="0.25">
      <c r="A436" t="s">
        <v>67</v>
      </c>
      <c r="B436" t="s">
        <v>66</v>
      </c>
      <c r="C436">
        <v>10</v>
      </c>
      <c r="D436">
        <v>318.14</v>
      </c>
      <c r="E436">
        <v>0</v>
      </c>
      <c r="F436">
        <v>0</v>
      </c>
      <c r="G436">
        <v>10</v>
      </c>
      <c r="H436">
        <v>318.14</v>
      </c>
      <c r="I436">
        <v>3</v>
      </c>
      <c r="J436">
        <v>108.38999999999999</v>
      </c>
    </row>
    <row r="437" spans="1:10" x14ac:dyDescent="0.25">
      <c r="A437" t="s">
        <v>638</v>
      </c>
      <c r="B437" t="s">
        <v>639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 t="s">
        <v>69</v>
      </c>
      <c r="B438" t="s">
        <v>68</v>
      </c>
      <c r="C438">
        <v>9</v>
      </c>
      <c r="D438">
        <v>287.16999999999996</v>
      </c>
      <c r="E438">
        <v>5</v>
      </c>
      <c r="F438">
        <v>197.86</v>
      </c>
      <c r="G438">
        <v>14</v>
      </c>
      <c r="H438">
        <v>485.03</v>
      </c>
      <c r="I438">
        <v>24</v>
      </c>
      <c r="J438">
        <v>699.71</v>
      </c>
    </row>
    <row r="439" spans="1:10" x14ac:dyDescent="0.25">
      <c r="A439" t="s">
        <v>71</v>
      </c>
      <c r="B439" t="s">
        <v>70</v>
      </c>
      <c r="C439">
        <v>6</v>
      </c>
      <c r="D439">
        <v>149.54</v>
      </c>
      <c r="E439">
        <v>0</v>
      </c>
      <c r="F439">
        <v>0</v>
      </c>
      <c r="G439">
        <v>6</v>
      </c>
      <c r="H439">
        <v>149.54</v>
      </c>
      <c r="I439">
        <v>4</v>
      </c>
      <c r="J439">
        <v>74</v>
      </c>
    </row>
    <row r="440" spans="1:10" x14ac:dyDescent="0.25">
      <c r="A440" t="s">
        <v>640</v>
      </c>
      <c r="B440" t="s">
        <v>641</v>
      </c>
      <c r="C440">
        <v>1</v>
      </c>
      <c r="D440">
        <v>20.41</v>
      </c>
      <c r="E440">
        <v>0</v>
      </c>
      <c r="F440">
        <v>0</v>
      </c>
      <c r="G440">
        <v>1</v>
      </c>
      <c r="H440">
        <v>20.41</v>
      </c>
      <c r="I440">
        <v>0</v>
      </c>
      <c r="J440">
        <v>0</v>
      </c>
    </row>
    <row r="441" spans="1:10" x14ac:dyDescent="0.25">
      <c r="A441" t="s">
        <v>518</v>
      </c>
      <c r="B441" t="s">
        <v>517</v>
      </c>
      <c r="C441">
        <v>5</v>
      </c>
      <c r="D441">
        <v>102.22</v>
      </c>
      <c r="E441">
        <v>145</v>
      </c>
      <c r="F441">
        <v>3650.5000000000086</v>
      </c>
      <c r="G441">
        <v>150</v>
      </c>
      <c r="H441">
        <v>3752.7200000000084</v>
      </c>
      <c r="I441">
        <v>407</v>
      </c>
      <c r="J441">
        <v>8225.59</v>
      </c>
    </row>
    <row r="442" spans="1:10" x14ac:dyDescent="0.25">
      <c r="A442" t="s">
        <v>73</v>
      </c>
      <c r="B442" t="s">
        <v>72</v>
      </c>
      <c r="C442">
        <v>21</v>
      </c>
      <c r="D442">
        <v>1025.54</v>
      </c>
      <c r="E442">
        <v>0</v>
      </c>
      <c r="F442">
        <v>0</v>
      </c>
      <c r="G442">
        <v>21</v>
      </c>
      <c r="H442">
        <v>1025.54</v>
      </c>
      <c r="I442">
        <v>14</v>
      </c>
      <c r="J442">
        <v>808.78</v>
      </c>
    </row>
    <row r="443" spans="1:10" x14ac:dyDescent="0.25">
      <c r="A443" t="s">
        <v>75</v>
      </c>
      <c r="B443" t="s">
        <v>74</v>
      </c>
      <c r="C443">
        <v>1</v>
      </c>
      <c r="D443">
        <v>37.46</v>
      </c>
      <c r="E443">
        <v>0</v>
      </c>
      <c r="F443">
        <v>0</v>
      </c>
      <c r="G443">
        <v>1</v>
      </c>
      <c r="H443">
        <v>37.46</v>
      </c>
      <c r="I443">
        <v>0</v>
      </c>
      <c r="J443">
        <v>0</v>
      </c>
    </row>
    <row r="444" spans="1:10" x14ac:dyDescent="0.25">
      <c r="A444" t="s">
        <v>542</v>
      </c>
      <c r="B444" t="s">
        <v>541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6.68</v>
      </c>
    </row>
    <row r="445" spans="1:10" x14ac:dyDescent="0.25">
      <c r="A445" t="s">
        <v>570</v>
      </c>
      <c r="B445" t="s">
        <v>569</v>
      </c>
      <c r="C445">
        <v>6</v>
      </c>
      <c r="D445">
        <v>247.44</v>
      </c>
      <c r="E445">
        <v>0</v>
      </c>
      <c r="F445">
        <v>0</v>
      </c>
      <c r="G445">
        <v>6</v>
      </c>
      <c r="H445">
        <v>247.44</v>
      </c>
      <c r="I445">
        <v>6</v>
      </c>
      <c r="J445">
        <v>265.89</v>
      </c>
    </row>
    <row r="446" spans="1:10" x14ac:dyDescent="0.25">
      <c r="A446" t="s">
        <v>642</v>
      </c>
      <c r="B446" t="s">
        <v>643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 t="s">
        <v>528</v>
      </c>
      <c r="B447" t="s">
        <v>527</v>
      </c>
      <c r="C447">
        <v>16</v>
      </c>
      <c r="D447">
        <v>667.13</v>
      </c>
      <c r="E447">
        <v>22</v>
      </c>
      <c r="F447">
        <v>1084.7999999999997</v>
      </c>
      <c r="G447">
        <v>38</v>
      </c>
      <c r="H447">
        <v>1751.9299999999998</v>
      </c>
      <c r="I447">
        <v>163</v>
      </c>
      <c r="J447">
        <v>6724.18</v>
      </c>
    </row>
    <row r="448" spans="1:10" x14ac:dyDescent="0.25">
      <c r="A448" t="s">
        <v>77</v>
      </c>
      <c r="B448" t="s">
        <v>76</v>
      </c>
      <c r="C448">
        <v>121</v>
      </c>
      <c r="D448">
        <v>1441.72</v>
      </c>
      <c r="E448">
        <v>0</v>
      </c>
      <c r="F448">
        <v>0</v>
      </c>
      <c r="G448">
        <v>121</v>
      </c>
      <c r="H448">
        <v>1441.72</v>
      </c>
      <c r="I448">
        <v>8</v>
      </c>
      <c r="J448">
        <v>79.73</v>
      </c>
    </row>
    <row r="449" spans="1:10" x14ac:dyDescent="0.25">
      <c r="A449" t="s">
        <v>644</v>
      </c>
      <c r="B449" t="s">
        <v>645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14</v>
      </c>
      <c r="J449">
        <v>71.680000000000007</v>
      </c>
    </row>
    <row r="450" spans="1:10" x14ac:dyDescent="0.25">
      <c r="A450" t="s">
        <v>79</v>
      </c>
      <c r="B450" t="s">
        <v>78</v>
      </c>
      <c r="C450">
        <v>85</v>
      </c>
      <c r="D450">
        <v>1190.5999999999999</v>
      </c>
      <c r="E450">
        <v>0</v>
      </c>
      <c r="F450">
        <v>0</v>
      </c>
      <c r="G450">
        <v>85</v>
      </c>
      <c r="H450">
        <v>1190.5999999999999</v>
      </c>
      <c r="I450">
        <v>183</v>
      </c>
      <c r="J450">
        <v>2633.0299999999997</v>
      </c>
    </row>
    <row r="451" spans="1:10" x14ac:dyDescent="0.25">
      <c r="A451" t="s">
        <v>81</v>
      </c>
      <c r="B451" t="s">
        <v>80</v>
      </c>
      <c r="C451">
        <v>18</v>
      </c>
      <c r="D451">
        <v>781.58</v>
      </c>
      <c r="E451">
        <v>0</v>
      </c>
      <c r="F451">
        <v>0</v>
      </c>
      <c r="G451">
        <v>18</v>
      </c>
      <c r="H451">
        <v>781.58</v>
      </c>
      <c r="I451">
        <v>339</v>
      </c>
      <c r="J451">
        <v>11109.66</v>
      </c>
    </row>
    <row r="452" spans="1:10" x14ac:dyDescent="0.25">
      <c r="A452" t="s">
        <v>646</v>
      </c>
      <c r="B452" t="s">
        <v>647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 t="s">
        <v>83</v>
      </c>
      <c r="B453" t="s">
        <v>82</v>
      </c>
      <c r="C453">
        <v>1</v>
      </c>
      <c r="D453">
        <v>117.41</v>
      </c>
      <c r="E453">
        <v>0</v>
      </c>
      <c r="F453">
        <v>0</v>
      </c>
      <c r="G453">
        <v>1</v>
      </c>
      <c r="H453">
        <v>117.41</v>
      </c>
      <c r="I453">
        <v>0</v>
      </c>
      <c r="J453">
        <v>0</v>
      </c>
    </row>
    <row r="454" spans="1:10" x14ac:dyDescent="0.25">
      <c r="A454" t="s">
        <v>85</v>
      </c>
      <c r="B454" t="s">
        <v>84</v>
      </c>
      <c r="C454">
        <v>28</v>
      </c>
      <c r="D454">
        <v>1709.64</v>
      </c>
      <c r="E454">
        <v>0</v>
      </c>
      <c r="F454">
        <v>0</v>
      </c>
      <c r="G454">
        <v>28</v>
      </c>
      <c r="H454">
        <v>1709.64</v>
      </c>
      <c r="I454">
        <v>39</v>
      </c>
      <c r="J454">
        <v>1931.85</v>
      </c>
    </row>
    <row r="455" spans="1:10" x14ac:dyDescent="0.25">
      <c r="A455" t="s">
        <v>494</v>
      </c>
      <c r="B455" t="s">
        <v>493</v>
      </c>
      <c r="C455">
        <v>3</v>
      </c>
      <c r="D455">
        <v>93.34</v>
      </c>
      <c r="E455">
        <v>14</v>
      </c>
      <c r="F455">
        <v>578.5999999999998</v>
      </c>
      <c r="G455">
        <v>17</v>
      </c>
      <c r="H455">
        <v>671.93999999999983</v>
      </c>
      <c r="I455">
        <v>95</v>
      </c>
      <c r="J455">
        <v>2881.4900000000002</v>
      </c>
    </row>
    <row r="456" spans="1:10" x14ac:dyDescent="0.25">
      <c r="A456" t="s">
        <v>87</v>
      </c>
      <c r="B456" t="s">
        <v>86</v>
      </c>
      <c r="C456">
        <v>47</v>
      </c>
      <c r="D456">
        <v>573.23</v>
      </c>
      <c r="E456">
        <v>0</v>
      </c>
      <c r="F456">
        <v>0</v>
      </c>
      <c r="G456">
        <v>47</v>
      </c>
      <c r="H456">
        <v>573.23</v>
      </c>
      <c r="I456">
        <v>17</v>
      </c>
      <c r="J456">
        <v>177.32999999999998</v>
      </c>
    </row>
    <row r="457" spans="1:10" x14ac:dyDescent="0.25">
      <c r="A457" t="s">
        <v>89</v>
      </c>
      <c r="B457" t="s">
        <v>88</v>
      </c>
      <c r="C457">
        <v>1</v>
      </c>
      <c r="D457">
        <v>55.84</v>
      </c>
      <c r="E457">
        <v>0</v>
      </c>
      <c r="F457">
        <v>0</v>
      </c>
      <c r="G457">
        <v>1</v>
      </c>
      <c r="H457">
        <v>55.84</v>
      </c>
      <c r="I457">
        <v>0</v>
      </c>
      <c r="J457">
        <v>0</v>
      </c>
    </row>
    <row r="458" spans="1:10" x14ac:dyDescent="0.25">
      <c r="A458" t="s">
        <v>648</v>
      </c>
      <c r="B458" t="s">
        <v>649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-3</v>
      </c>
      <c r="J458">
        <v>-24.33</v>
      </c>
    </row>
    <row r="459" spans="1:10" x14ac:dyDescent="0.25">
      <c r="A459" t="s">
        <v>650</v>
      </c>
      <c r="B459" t="s">
        <v>651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t="s">
        <v>91</v>
      </c>
      <c r="B460" t="s">
        <v>90</v>
      </c>
      <c r="C460">
        <v>2</v>
      </c>
      <c r="D460">
        <v>49.42</v>
      </c>
      <c r="E460">
        <v>0</v>
      </c>
      <c r="F460">
        <v>0</v>
      </c>
      <c r="G460">
        <v>2</v>
      </c>
      <c r="H460">
        <v>49.42</v>
      </c>
      <c r="I460">
        <v>1</v>
      </c>
      <c r="J460">
        <v>14.14</v>
      </c>
    </row>
    <row r="461" spans="1:10" x14ac:dyDescent="0.25">
      <c r="A461" t="s">
        <v>93</v>
      </c>
      <c r="B461" t="s">
        <v>92</v>
      </c>
      <c r="C461">
        <v>10</v>
      </c>
      <c r="D461">
        <v>42.480000000000004</v>
      </c>
      <c r="E461">
        <v>0</v>
      </c>
      <c r="F461">
        <v>0</v>
      </c>
      <c r="G461">
        <v>10</v>
      </c>
      <c r="H461">
        <v>42.480000000000004</v>
      </c>
      <c r="I461">
        <v>0</v>
      </c>
      <c r="J461">
        <v>0</v>
      </c>
    </row>
    <row r="462" spans="1:10" x14ac:dyDescent="0.25">
      <c r="A462" t="s">
        <v>95</v>
      </c>
      <c r="B462" t="s">
        <v>94</v>
      </c>
      <c r="C462">
        <v>1</v>
      </c>
      <c r="D462">
        <v>28.84</v>
      </c>
      <c r="E462">
        <v>0</v>
      </c>
      <c r="F462">
        <v>0</v>
      </c>
      <c r="G462">
        <v>1</v>
      </c>
      <c r="H462">
        <v>28.84</v>
      </c>
      <c r="I462">
        <v>0</v>
      </c>
      <c r="J462">
        <v>0</v>
      </c>
    </row>
    <row r="463" spans="1:10" x14ac:dyDescent="0.25">
      <c r="A463" t="s">
        <v>97</v>
      </c>
      <c r="B463" t="s">
        <v>96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36.46</v>
      </c>
    </row>
    <row r="464" spans="1:10" x14ac:dyDescent="0.25">
      <c r="A464" t="s">
        <v>99</v>
      </c>
      <c r="B464" t="s">
        <v>98</v>
      </c>
      <c r="C464">
        <v>1</v>
      </c>
      <c r="D464">
        <v>41.93</v>
      </c>
      <c r="E464">
        <v>0</v>
      </c>
      <c r="F464">
        <v>0</v>
      </c>
      <c r="G464">
        <v>1</v>
      </c>
      <c r="H464">
        <v>41.93</v>
      </c>
      <c r="I464">
        <v>18</v>
      </c>
      <c r="J464">
        <v>740.31999999999994</v>
      </c>
    </row>
    <row r="465" spans="1:10" x14ac:dyDescent="0.25">
      <c r="A465" t="s">
        <v>101</v>
      </c>
      <c r="B465" t="s">
        <v>100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4.0199999999999996</v>
      </c>
    </row>
    <row r="466" spans="1:10" x14ac:dyDescent="0.25">
      <c r="A466" t="s">
        <v>103</v>
      </c>
      <c r="B466" t="s">
        <v>102</v>
      </c>
      <c r="C466">
        <v>0</v>
      </c>
      <c r="D466">
        <v>0</v>
      </c>
      <c r="E466">
        <v>21</v>
      </c>
      <c r="F466">
        <v>607.89999999999975</v>
      </c>
      <c r="G466">
        <v>21</v>
      </c>
      <c r="H466">
        <v>607.89999999999975</v>
      </c>
      <c r="I466">
        <v>31</v>
      </c>
      <c r="J466">
        <v>756.86</v>
      </c>
    </row>
    <row r="467" spans="1:10" x14ac:dyDescent="0.25">
      <c r="A467" t="s">
        <v>652</v>
      </c>
      <c r="B467" t="s">
        <v>653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 t="s">
        <v>654</v>
      </c>
      <c r="B468" t="s">
        <v>655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 t="s">
        <v>510</v>
      </c>
      <c r="B469" t="s">
        <v>509</v>
      </c>
      <c r="C469">
        <v>134</v>
      </c>
      <c r="D469">
        <v>1996.1299999999999</v>
      </c>
      <c r="E469">
        <v>0</v>
      </c>
      <c r="F469">
        <v>0</v>
      </c>
      <c r="G469">
        <v>134</v>
      </c>
      <c r="H469">
        <v>1996.1299999999999</v>
      </c>
      <c r="I469">
        <v>20</v>
      </c>
      <c r="J469">
        <v>287</v>
      </c>
    </row>
    <row r="470" spans="1:10" x14ac:dyDescent="0.25">
      <c r="A470" t="s">
        <v>656</v>
      </c>
      <c r="B470" t="s">
        <v>657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2</v>
      </c>
      <c r="J470">
        <v>139.11000000000001</v>
      </c>
    </row>
    <row r="471" spans="1:10" x14ac:dyDescent="0.25">
      <c r="A471" t="s">
        <v>479</v>
      </c>
      <c r="B471" t="s">
        <v>478</v>
      </c>
      <c r="C471">
        <v>22</v>
      </c>
      <c r="D471">
        <v>495.66</v>
      </c>
      <c r="E471">
        <v>0</v>
      </c>
      <c r="F471">
        <v>0</v>
      </c>
      <c r="G471">
        <v>22</v>
      </c>
      <c r="H471">
        <v>495.66</v>
      </c>
      <c r="I471">
        <v>113</v>
      </c>
      <c r="J471">
        <v>2230.52</v>
      </c>
    </row>
    <row r="472" spans="1:10" x14ac:dyDescent="0.25">
      <c r="A472" t="s">
        <v>105</v>
      </c>
      <c r="B472" t="s">
        <v>104</v>
      </c>
      <c r="C472">
        <v>27</v>
      </c>
      <c r="D472">
        <v>672.84</v>
      </c>
      <c r="E472">
        <v>0</v>
      </c>
      <c r="F472">
        <v>0</v>
      </c>
      <c r="G472">
        <v>27</v>
      </c>
      <c r="H472">
        <v>672.84</v>
      </c>
      <c r="I472">
        <v>0</v>
      </c>
      <c r="J472">
        <v>0</v>
      </c>
    </row>
    <row r="473" spans="1:10" x14ac:dyDescent="0.25">
      <c r="A473" t="s">
        <v>480</v>
      </c>
      <c r="B473" t="s">
        <v>478</v>
      </c>
      <c r="C473">
        <v>-14</v>
      </c>
      <c r="D473">
        <v>-161.38</v>
      </c>
      <c r="E473">
        <v>191</v>
      </c>
      <c r="F473">
        <v>2840.5200000000091</v>
      </c>
      <c r="G473">
        <v>177</v>
      </c>
      <c r="H473">
        <v>2679.140000000009</v>
      </c>
      <c r="I473">
        <v>236</v>
      </c>
      <c r="J473">
        <v>2488.2199999999998</v>
      </c>
    </row>
    <row r="474" spans="1:10" x14ac:dyDescent="0.25">
      <c r="A474" t="s">
        <v>658</v>
      </c>
      <c r="B474" t="s">
        <v>659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32.979999999999997</v>
      </c>
    </row>
    <row r="475" spans="1:10" x14ac:dyDescent="0.25">
      <c r="A475" t="s">
        <v>107</v>
      </c>
      <c r="B475" t="s">
        <v>106</v>
      </c>
      <c r="C475">
        <v>4</v>
      </c>
      <c r="D475">
        <v>67.67</v>
      </c>
      <c r="E475">
        <v>0</v>
      </c>
      <c r="F475">
        <v>0</v>
      </c>
      <c r="G475">
        <v>4</v>
      </c>
      <c r="H475">
        <v>67.67</v>
      </c>
      <c r="I475">
        <v>3</v>
      </c>
      <c r="J475">
        <v>71.39</v>
      </c>
    </row>
    <row r="476" spans="1:10" x14ac:dyDescent="0.25">
      <c r="A476" t="s">
        <v>109</v>
      </c>
      <c r="B476" t="s">
        <v>108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4</v>
      </c>
      <c r="J476">
        <v>232.54000000000002</v>
      </c>
    </row>
    <row r="477" spans="1:10" x14ac:dyDescent="0.25">
      <c r="A477" t="s">
        <v>111</v>
      </c>
      <c r="B477" t="s">
        <v>110</v>
      </c>
      <c r="C477">
        <v>625</v>
      </c>
      <c r="D477">
        <v>7845.6999999999989</v>
      </c>
      <c r="E477">
        <v>0</v>
      </c>
      <c r="F477">
        <v>0</v>
      </c>
      <c r="G477">
        <v>625</v>
      </c>
      <c r="H477">
        <v>7845.6999999999989</v>
      </c>
      <c r="I477">
        <v>272</v>
      </c>
      <c r="J477">
        <v>3345.17</v>
      </c>
    </row>
    <row r="478" spans="1:10" x14ac:dyDescent="0.25">
      <c r="A478" t="s">
        <v>477</v>
      </c>
      <c r="B478" t="s">
        <v>476</v>
      </c>
      <c r="C478">
        <v>26</v>
      </c>
      <c r="D478">
        <v>674.39</v>
      </c>
      <c r="E478">
        <v>861</v>
      </c>
      <c r="F478">
        <v>28528.140000000447</v>
      </c>
      <c r="G478">
        <v>887</v>
      </c>
      <c r="H478">
        <v>29202.530000000446</v>
      </c>
      <c r="I478">
        <v>365</v>
      </c>
      <c r="J478">
        <v>11245.48</v>
      </c>
    </row>
    <row r="479" spans="1:10" x14ac:dyDescent="0.25">
      <c r="A479" t="s">
        <v>660</v>
      </c>
      <c r="B479" t="s">
        <v>661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 t="s">
        <v>662</v>
      </c>
      <c r="B480" t="s">
        <v>663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 t="s">
        <v>664</v>
      </c>
      <c r="B481" t="s">
        <v>665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 t="s">
        <v>490</v>
      </c>
      <c r="B482" t="s">
        <v>489</v>
      </c>
      <c r="C482">
        <v>10</v>
      </c>
      <c r="D482">
        <v>406.4</v>
      </c>
      <c r="E482">
        <v>9</v>
      </c>
      <c r="F482">
        <v>435.09999999999991</v>
      </c>
      <c r="G482">
        <v>19</v>
      </c>
      <c r="H482">
        <v>841.49999999999989</v>
      </c>
      <c r="I482">
        <v>158</v>
      </c>
      <c r="J482">
        <v>6173.9000000000005</v>
      </c>
    </row>
    <row r="483" spans="1:10" x14ac:dyDescent="0.25">
      <c r="A483" t="s">
        <v>522</v>
      </c>
      <c r="B483" t="s">
        <v>521</v>
      </c>
      <c r="C483">
        <v>32</v>
      </c>
      <c r="D483">
        <v>1367.57</v>
      </c>
      <c r="E483">
        <v>10</v>
      </c>
      <c r="F483">
        <v>598.99999999999989</v>
      </c>
      <c r="G483">
        <v>42</v>
      </c>
      <c r="H483">
        <v>1966.5699999999997</v>
      </c>
      <c r="I483">
        <v>49</v>
      </c>
      <c r="J483">
        <v>2276.1400000000003</v>
      </c>
    </row>
    <row r="484" spans="1:10" x14ac:dyDescent="0.25">
      <c r="A484" t="s">
        <v>666</v>
      </c>
      <c r="B484" t="s">
        <v>667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 t="s">
        <v>113</v>
      </c>
      <c r="B485" t="s">
        <v>112</v>
      </c>
      <c r="C485">
        <v>5</v>
      </c>
      <c r="D485">
        <v>77.509999999999991</v>
      </c>
      <c r="E485">
        <v>0</v>
      </c>
      <c r="F485">
        <v>0</v>
      </c>
      <c r="G485">
        <v>5</v>
      </c>
      <c r="H485">
        <v>77.509999999999991</v>
      </c>
      <c r="I485">
        <v>2</v>
      </c>
      <c r="J485">
        <v>25.54</v>
      </c>
    </row>
    <row r="486" spans="1:10" x14ac:dyDescent="0.25">
      <c r="A486" t="s">
        <v>115</v>
      </c>
      <c r="B486" t="s">
        <v>114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 t="s">
        <v>544</v>
      </c>
      <c r="B487" t="s">
        <v>543</v>
      </c>
      <c r="C487">
        <v>72</v>
      </c>
      <c r="D487">
        <v>1517.58</v>
      </c>
      <c r="E487">
        <v>0</v>
      </c>
      <c r="F487">
        <v>0</v>
      </c>
      <c r="G487">
        <v>72</v>
      </c>
      <c r="H487">
        <v>1517.58</v>
      </c>
      <c r="I487">
        <v>371</v>
      </c>
      <c r="J487">
        <v>7623.04</v>
      </c>
    </row>
    <row r="488" spans="1:10" x14ac:dyDescent="0.25">
      <c r="A488" t="s">
        <v>119</v>
      </c>
      <c r="B488" t="s">
        <v>118</v>
      </c>
      <c r="C488">
        <v>6</v>
      </c>
      <c r="D488">
        <v>125.03</v>
      </c>
      <c r="E488">
        <v>0</v>
      </c>
      <c r="F488">
        <v>0</v>
      </c>
      <c r="G488">
        <v>6</v>
      </c>
      <c r="H488">
        <v>125.03</v>
      </c>
      <c r="I488">
        <v>3</v>
      </c>
      <c r="J488">
        <v>61.44</v>
      </c>
    </row>
    <row r="489" spans="1:10" x14ac:dyDescent="0.25">
      <c r="A489" t="s">
        <v>668</v>
      </c>
      <c r="B489" t="s">
        <v>669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5</v>
      </c>
      <c r="J489">
        <v>127.44</v>
      </c>
    </row>
    <row r="490" spans="1:10" x14ac:dyDescent="0.25">
      <c r="A490" t="s">
        <v>546</v>
      </c>
      <c r="B490" t="s">
        <v>545</v>
      </c>
      <c r="C490">
        <v>25</v>
      </c>
      <c r="D490">
        <v>206.18</v>
      </c>
      <c r="E490">
        <v>0</v>
      </c>
      <c r="F490">
        <v>0</v>
      </c>
      <c r="G490">
        <v>25</v>
      </c>
      <c r="H490">
        <v>206.18</v>
      </c>
      <c r="I490">
        <v>83</v>
      </c>
      <c r="J490">
        <v>682.5100000000001</v>
      </c>
    </row>
    <row r="491" spans="1:10" x14ac:dyDescent="0.25">
      <c r="A491" t="s">
        <v>670</v>
      </c>
      <c r="B491" t="s">
        <v>671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-1</v>
      </c>
      <c r="J491">
        <v>-8.25</v>
      </c>
    </row>
    <row r="492" spans="1:10" x14ac:dyDescent="0.25">
      <c r="A492" t="s">
        <v>488</v>
      </c>
      <c r="B492" t="s">
        <v>487</v>
      </c>
      <c r="C492">
        <v>10</v>
      </c>
      <c r="D492">
        <v>157.86000000000001</v>
      </c>
      <c r="E492">
        <v>0</v>
      </c>
      <c r="F492">
        <v>0</v>
      </c>
      <c r="G492">
        <v>10</v>
      </c>
      <c r="H492">
        <v>157.86000000000001</v>
      </c>
      <c r="I492">
        <v>5</v>
      </c>
      <c r="J492">
        <v>143.41</v>
      </c>
    </row>
    <row r="493" spans="1:10" x14ac:dyDescent="0.25">
      <c r="A493" t="s">
        <v>672</v>
      </c>
      <c r="B493" t="s">
        <v>673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16.23</v>
      </c>
    </row>
    <row r="494" spans="1:10" x14ac:dyDescent="0.25">
      <c r="A494" t="s">
        <v>502</v>
      </c>
      <c r="B494" t="s">
        <v>501</v>
      </c>
      <c r="C494">
        <v>2</v>
      </c>
      <c r="D494">
        <v>134.53</v>
      </c>
      <c r="E494">
        <v>0</v>
      </c>
      <c r="F494">
        <v>0</v>
      </c>
      <c r="G494">
        <v>2</v>
      </c>
      <c r="H494">
        <v>134.53</v>
      </c>
      <c r="I494">
        <v>4</v>
      </c>
      <c r="J494">
        <v>395.46000000000004</v>
      </c>
    </row>
    <row r="495" spans="1:10" x14ac:dyDescent="0.25">
      <c r="A495" t="s">
        <v>530</v>
      </c>
      <c r="B495" t="s">
        <v>529</v>
      </c>
      <c r="C495">
        <v>2</v>
      </c>
      <c r="D495">
        <v>71.349999999999994</v>
      </c>
      <c r="E495">
        <v>0</v>
      </c>
      <c r="F495">
        <v>0</v>
      </c>
      <c r="G495">
        <v>2</v>
      </c>
      <c r="H495">
        <v>71.349999999999994</v>
      </c>
      <c r="I495">
        <v>10</v>
      </c>
      <c r="J495">
        <v>584.64</v>
      </c>
    </row>
    <row r="496" spans="1:10" x14ac:dyDescent="0.25">
      <c r="A496" t="s">
        <v>674</v>
      </c>
      <c r="B496" t="s">
        <v>675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-2</v>
      </c>
      <c r="J496">
        <v>-21.14</v>
      </c>
    </row>
    <row r="497" spans="1:10" x14ac:dyDescent="0.25">
      <c r="A497" t="s">
        <v>516</v>
      </c>
      <c r="B497" t="s">
        <v>515</v>
      </c>
      <c r="C497">
        <v>385</v>
      </c>
      <c r="D497">
        <v>5403.64</v>
      </c>
      <c r="E497">
        <v>0</v>
      </c>
      <c r="F497">
        <v>0</v>
      </c>
      <c r="G497">
        <v>385</v>
      </c>
      <c r="H497">
        <v>5403.64</v>
      </c>
      <c r="I497">
        <v>88</v>
      </c>
      <c r="J497">
        <v>1397.3799999999999</v>
      </c>
    </row>
    <row r="498" spans="1:10" x14ac:dyDescent="0.25">
      <c r="A498" t="s">
        <v>475</v>
      </c>
      <c r="B498" t="s">
        <v>474</v>
      </c>
      <c r="C498">
        <v>1</v>
      </c>
      <c r="D498">
        <v>20.75</v>
      </c>
      <c r="E498">
        <v>0</v>
      </c>
      <c r="F498">
        <v>0</v>
      </c>
      <c r="G498">
        <v>1</v>
      </c>
      <c r="H498">
        <v>20.75</v>
      </c>
      <c r="I498">
        <v>18</v>
      </c>
      <c r="J498">
        <v>233.76</v>
      </c>
    </row>
    <row r="499" spans="1:10" x14ac:dyDescent="0.25">
      <c r="A499" t="s">
        <v>123</v>
      </c>
      <c r="B499" t="s">
        <v>122</v>
      </c>
      <c r="C499">
        <v>64</v>
      </c>
      <c r="D499">
        <v>1720.3100000000002</v>
      </c>
      <c r="E499">
        <v>3</v>
      </c>
      <c r="F499">
        <v>124.69999999999999</v>
      </c>
      <c r="G499">
        <v>67</v>
      </c>
      <c r="H499">
        <v>1845.0100000000002</v>
      </c>
      <c r="I499">
        <v>88</v>
      </c>
      <c r="J499">
        <v>2170.61</v>
      </c>
    </row>
    <row r="500" spans="1:10" x14ac:dyDescent="0.25">
      <c r="A500" t="s">
        <v>125</v>
      </c>
      <c r="B500" t="s">
        <v>124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756</v>
      </c>
      <c r="J500">
        <v>9423.25</v>
      </c>
    </row>
    <row r="501" spans="1:10" x14ac:dyDescent="0.25">
      <c r="A501" t="s">
        <v>560</v>
      </c>
      <c r="B501" t="s">
        <v>559</v>
      </c>
      <c r="C501">
        <v>53</v>
      </c>
      <c r="D501">
        <v>590.80999999999995</v>
      </c>
      <c r="E501">
        <v>0</v>
      </c>
      <c r="F501">
        <v>0</v>
      </c>
      <c r="G501">
        <v>53</v>
      </c>
      <c r="H501">
        <v>590.80999999999995</v>
      </c>
      <c r="I501">
        <v>60</v>
      </c>
      <c r="J501">
        <v>635.33000000000004</v>
      </c>
    </row>
    <row r="502" spans="1:10" x14ac:dyDescent="0.25">
      <c r="A502" t="s">
        <v>496</v>
      </c>
      <c r="B502" t="s">
        <v>495</v>
      </c>
      <c r="C502">
        <v>7</v>
      </c>
      <c r="D502">
        <v>174.86</v>
      </c>
      <c r="E502">
        <v>0</v>
      </c>
      <c r="F502">
        <v>0</v>
      </c>
      <c r="G502">
        <v>7</v>
      </c>
      <c r="H502">
        <v>174.86</v>
      </c>
      <c r="I502">
        <v>4</v>
      </c>
      <c r="J502">
        <v>103.25</v>
      </c>
    </row>
    <row r="503" spans="1:10" x14ac:dyDescent="0.25">
      <c r="A503" t="s">
        <v>514</v>
      </c>
      <c r="B503" t="s">
        <v>513</v>
      </c>
      <c r="C503">
        <v>1</v>
      </c>
      <c r="D503">
        <v>24.41</v>
      </c>
      <c r="E503">
        <v>0</v>
      </c>
      <c r="F503">
        <v>13.03</v>
      </c>
      <c r="G503">
        <v>1</v>
      </c>
      <c r="H503">
        <v>37.44</v>
      </c>
      <c r="I503">
        <v>0</v>
      </c>
      <c r="J503">
        <v>0</v>
      </c>
    </row>
    <row r="504" spans="1:10" x14ac:dyDescent="0.25">
      <c r="A504" t="s">
        <v>676</v>
      </c>
      <c r="B504" t="s">
        <v>677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4</v>
      </c>
      <c r="J504">
        <v>43.88</v>
      </c>
    </row>
    <row r="505" spans="1:10" x14ac:dyDescent="0.25">
      <c r="A505" t="s">
        <v>678</v>
      </c>
      <c r="B505" t="s">
        <v>679</v>
      </c>
      <c r="C505">
        <v>-1</v>
      </c>
      <c r="D505">
        <v>-4.3600000000000003</v>
      </c>
      <c r="E505">
        <v>0</v>
      </c>
      <c r="F505">
        <v>0</v>
      </c>
      <c r="G505">
        <v>-1</v>
      </c>
      <c r="H505">
        <v>-4.3600000000000003</v>
      </c>
      <c r="I505">
        <v>0</v>
      </c>
      <c r="J505">
        <v>0</v>
      </c>
    </row>
    <row r="506" spans="1:10" x14ac:dyDescent="0.25">
      <c r="A506" t="s">
        <v>562</v>
      </c>
      <c r="B506" t="s">
        <v>561</v>
      </c>
      <c r="C506">
        <v>16</v>
      </c>
      <c r="D506">
        <v>79.660000000000011</v>
      </c>
      <c r="E506">
        <v>0</v>
      </c>
      <c r="F506">
        <v>0</v>
      </c>
      <c r="G506">
        <v>16</v>
      </c>
      <c r="H506">
        <v>79.660000000000011</v>
      </c>
      <c r="I506">
        <v>11</v>
      </c>
      <c r="J506">
        <v>89.21</v>
      </c>
    </row>
    <row r="507" spans="1:10" x14ac:dyDescent="0.25">
      <c r="A507" t="s">
        <v>127</v>
      </c>
      <c r="B507" t="s">
        <v>126</v>
      </c>
      <c r="C507">
        <v>30</v>
      </c>
      <c r="D507">
        <v>710.61</v>
      </c>
      <c r="E507">
        <v>134</v>
      </c>
      <c r="F507">
        <v>3998.6000000000031</v>
      </c>
      <c r="G507">
        <v>164</v>
      </c>
      <c r="H507">
        <v>4709.2100000000028</v>
      </c>
      <c r="I507">
        <v>391</v>
      </c>
      <c r="J507">
        <v>8449.1099999999988</v>
      </c>
    </row>
    <row r="508" spans="1:10" x14ac:dyDescent="0.25">
      <c r="A508" t="s">
        <v>680</v>
      </c>
      <c r="B508" t="s">
        <v>681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-1</v>
      </c>
      <c r="J508">
        <v>-24.61</v>
      </c>
    </row>
    <row r="509" spans="1:10" x14ac:dyDescent="0.25">
      <c r="A509" t="s">
        <v>482</v>
      </c>
      <c r="B509" t="s">
        <v>481</v>
      </c>
      <c r="C509">
        <v>27</v>
      </c>
      <c r="D509">
        <v>1070.5</v>
      </c>
      <c r="E509">
        <v>6</v>
      </c>
      <c r="F509">
        <v>359.4</v>
      </c>
      <c r="G509">
        <v>33</v>
      </c>
      <c r="H509">
        <v>1429.9</v>
      </c>
      <c r="I509">
        <v>13</v>
      </c>
      <c r="J509">
        <v>590.26</v>
      </c>
    </row>
    <row r="510" spans="1:10" x14ac:dyDescent="0.25">
      <c r="A510" t="s">
        <v>682</v>
      </c>
      <c r="B510" t="s">
        <v>683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</v>
      </c>
      <c r="J510">
        <v>182.25</v>
      </c>
    </row>
    <row r="511" spans="1:10" x14ac:dyDescent="0.25">
      <c r="A511" t="s">
        <v>129</v>
      </c>
      <c r="B511" t="s">
        <v>128</v>
      </c>
      <c r="C511">
        <v>1</v>
      </c>
      <c r="D511">
        <v>144.38999999999999</v>
      </c>
      <c r="E511">
        <v>0</v>
      </c>
      <c r="F511">
        <v>0</v>
      </c>
      <c r="G511">
        <v>1</v>
      </c>
      <c r="H511">
        <v>144.38999999999999</v>
      </c>
      <c r="I511">
        <v>0</v>
      </c>
      <c r="J511">
        <v>0</v>
      </c>
    </row>
    <row r="512" spans="1:10" x14ac:dyDescent="0.25">
      <c r="A512" t="s">
        <v>684</v>
      </c>
      <c r="B512" t="s">
        <v>685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 t="s">
        <v>548</v>
      </c>
      <c r="B513" t="s">
        <v>547</v>
      </c>
      <c r="C513">
        <v>11</v>
      </c>
      <c r="D513">
        <v>217.01</v>
      </c>
      <c r="E513">
        <v>0</v>
      </c>
      <c r="F513">
        <v>0</v>
      </c>
      <c r="G513">
        <v>11</v>
      </c>
      <c r="H513">
        <v>217.01</v>
      </c>
      <c r="I513">
        <v>17</v>
      </c>
      <c r="J513">
        <v>334.23</v>
      </c>
    </row>
    <row r="514" spans="1:10" x14ac:dyDescent="0.25">
      <c r="A514" t="s">
        <v>131</v>
      </c>
      <c r="B514" t="s">
        <v>130</v>
      </c>
      <c r="C514">
        <v>1</v>
      </c>
      <c r="D514">
        <v>37.729999999999997</v>
      </c>
      <c r="E514">
        <v>0</v>
      </c>
      <c r="F514">
        <v>0</v>
      </c>
      <c r="G514">
        <v>1</v>
      </c>
      <c r="H514">
        <v>37.729999999999997</v>
      </c>
      <c r="I514">
        <v>1</v>
      </c>
      <c r="J514">
        <v>25.64</v>
      </c>
    </row>
    <row r="515" spans="1:10" x14ac:dyDescent="0.25">
      <c r="A515" t="s">
        <v>564</v>
      </c>
      <c r="B515" t="s">
        <v>563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 t="s">
        <v>686</v>
      </c>
      <c r="B516" t="s">
        <v>687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25.13</v>
      </c>
    </row>
    <row r="517" spans="1:10" x14ac:dyDescent="0.25">
      <c r="A517" t="s">
        <v>566</v>
      </c>
      <c r="B517" t="s">
        <v>565</v>
      </c>
      <c r="C517">
        <v>1</v>
      </c>
      <c r="D517">
        <v>65.75</v>
      </c>
      <c r="E517">
        <v>35</v>
      </c>
      <c r="F517">
        <v>2930.2000000000016</v>
      </c>
      <c r="G517">
        <v>36</v>
      </c>
      <c r="H517">
        <v>2995.9500000000016</v>
      </c>
      <c r="I517">
        <v>18</v>
      </c>
      <c r="J517">
        <v>1141.69</v>
      </c>
    </row>
    <row r="518" spans="1:10" x14ac:dyDescent="0.25">
      <c r="A518" t="s">
        <v>133</v>
      </c>
      <c r="B518" t="s">
        <v>132</v>
      </c>
      <c r="C518">
        <v>19</v>
      </c>
      <c r="D518">
        <v>804.77</v>
      </c>
      <c r="E518">
        <v>1</v>
      </c>
      <c r="F518">
        <v>49.9</v>
      </c>
      <c r="G518">
        <v>20</v>
      </c>
      <c r="H518">
        <v>854.67</v>
      </c>
      <c r="I518">
        <v>41</v>
      </c>
      <c r="J518">
        <v>1678.34</v>
      </c>
    </row>
    <row r="519" spans="1:10" x14ac:dyDescent="0.25">
      <c r="A519" t="s">
        <v>135</v>
      </c>
      <c r="B519" t="s">
        <v>134</v>
      </c>
      <c r="C519">
        <v>10</v>
      </c>
      <c r="D519">
        <v>232.31</v>
      </c>
      <c r="E519">
        <v>0</v>
      </c>
      <c r="F519">
        <v>0</v>
      </c>
      <c r="G519">
        <v>10</v>
      </c>
      <c r="H519">
        <v>232.31</v>
      </c>
      <c r="I519">
        <v>21</v>
      </c>
      <c r="J519">
        <v>507.54999999999995</v>
      </c>
    </row>
    <row r="520" spans="1:10" x14ac:dyDescent="0.25">
      <c r="A520" t="s">
        <v>520</v>
      </c>
      <c r="B520" t="s">
        <v>519</v>
      </c>
      <c r="C520">
        <v>-6</v>
      </c>
      <c r="D520">
        <v>-377.07</v>
      </c>
      <c r="E520">
        <v>0</v>
      </c>
      <c r="F520">
        <v>0</v>
      </c>
      <c r="G520">
        <v>-6</v>
      </c>
      <c r="H520">
        <v>-377.07</v>
      </c>
      <c r="I520">
        <v>108</v>
      </c>
      <c r="J520">
        <v>6713.9900000000007</v>
      </c>
    </row>
    <row r="521" spans="1:10" x14ac:dyDescent="0.25">
      <c r="A521" t="s">
        <v>688</v>
      </c>
      <c r="B521" t="s">
        <v>689</v>
      </c>
      <c r="C521">
        <v>2</v>
      </c>
      <c r="D521">
        <v>89.36</v>
      </c>
      <c r="E521">
        <v>0</v>
      </c>
      <c r="F521">
        <v>0</v>
      </c>
      <c r="G521">
        <v>2</v>
      </c>
      <c r="H521">
        <v>89.36</v>
      </c>
      <c r="I521">
        <v>1</v>
      </c>
      <c r="J521">
        <v>37.85</v>
      </c>
    </row>
    <row r="522" spans="1:10" x14ac:dyDescent="0.25">
      <c r="A522" t="s">
        <v>137</v>
      </c>
      <c r="B522" t="s">
        <v>136</v>
      </c>
      <c r="C522">
        <v>83</v>
      </c>
      <c r="D522">
        <v>4496.8599999999997</v>
      </c>
      <c r="E522">
        <v>0</v>
      </c>
      <c r="F522">
        <v>0</v>
      </c>
      <c r="G522">
        <v>83</v>
      </c>
      <c r="H522">
        <v>4496.8599999999997</v>
      </c>
      <c r="I522">
        <v>24</v>
      </c>
      <c r="J522">
        <v>1408.14</v>
      </c>
    </row>
    <row r="523" spans="1:10" x14ac:dyDescent="0.25">
      <c r="A523" t="s">
        <v>139</v>
      </c>
      <c r="B523" t="s">
        <v>138</v>
      </c>
      <c r="C523">
        <v>690</v>
      </c>
      <c r="D523">
        <v>8741.9499999999989</v>
      </c>
      <c r="E523">
        <v>0</v>
      </c>
      <c r="F523">
        <v>0</v>
      </c>
      <c r="G523">
        <v>690</v>
      </c>
      <c r="H523">
        <v>8741.9499999999989</v>
      </c>
      <c r="I523">
        <v>2876</v>
      </c>
      <c r="J523">
        <v>35288.75</v>
      </c>
    </row>
    <row r="524" spans="1:10" x14ac:dyDescent="0.25">
      <c r="A524" t="s">
        <v>690</v>
      </c>
      <c r="B524" t="s">
        <v>691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-1</v>
      </c>
      <c r="J524">
        <v>-12.06</v>
      </c>
    </row>
    <row r="525" spans="1:10" x14ac:dyDescent="0.25">
      <c r="A525" t="s">
        <v>484</v>
      </c>
      <c r="B525" t="s">
        <v>483</v>
      </c>
      <c r="C525">
        <v>5</v>
      </c>
      <c r="D525">
        <v>112.43</v>
      </c>
      <c r="E525">
        <v>0</v>
      </c>
      <c r="F525">
        <v>0</v>
      </c>
      <c r="G525">
        <v>5</v>
      </c>
      <c r="H525">
        <v>112.43</v>
      </c>
      <c r="I525">
        <v>9</v>
      </c>
      <c r="J525">
        <v>171.89</v>
      </c>
    </row>
    <row r="526" spans="1:10" x14ac:dyDescent="0.25">
      <c r="A526" t="s">
        <v>692</v>
      </c>
      <c r="B526" t="s">
        <v>693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4</v>
      </c>
      <c r="J526">
        <v>68.81</v>
      </c>
    </row>
    <row r="527" spans="1:10" x14ac:dyDescent="0.25">
      <c r="A527" t="s">
        <v>141</v>
      </c>
      <c r="B527" t="s">
        <v>140</v>
      </c>
      <c r="C527">
        <v>2</v>
      </c>
      <c r="D527">
        <v>93.86</v>
      </c>
      <c r="E527">
        <v>87</v>
      </c>
      <c r="F527">
        <v>5321.2999999999965</v>
      </c>
      <c r="G527">
        <v>89</v>
      </c>
      <c r="H527">
        <v>5415.1599999999962</v>
      </c>
      <c r="I527">
        <v>64</v>
      </c>
      <c r="J527">
        <v>3480.39</v>
      </c>
    </row>
    <row r="528" spans="1:10" x14ac:dyDescent="0.25">
      <c r="A528" t="s">
        <v>143</v>
      </c>
      <c r="B528" t="s">
        <v>142</v>
      </c>
      <c r="C528">
        <v>0</v>
      </c>
      <c r="D528">
        <v>0</v>
      </c>
      <c r="E528">
        <v>73</v>
      </c>
      <c r="F528">
        <v>2222.700000000003</v>
      </c>
      <c r="G528">
        <v>73</v>
      </c>
      <c r="H528">
        <v>2222.700000000003</v>
      </c>
      <c r="I528">
        <v>726</v>
      </c>
      <c r="J528">
        <v>15494.38</v>
      </c>
    </row>
    <row r="529" spans="1:10" x14ac:dyDescent="0.25">
      <c r="A529" t="s">
        <v>145</v>
      </c>
      <c r="B529" t="s">
        <v>144</v>
      </c>
      <c r="C529">
        <v>13</v>
      </c>
      <c r="D529">
        <v>327.82000000000005</v>
      </c>
      <c r="E529">
        <v>0</v>
      </c>
      <c r="F529">
        <v>0</v>
      </c>
      <c r="G529">
        <v>13</v>
      </c>
      <c r="H529">
        <v>327.82000000000005</v>
      </c>
      <c r="I529">
        <v>140</v>
      </c>
      <c r="J529">
        <v>3463.11</v>
      </c>
    </row>
    <row r="530" spans="1:10" x14ac:dyDescent="0.25">
      <c r="A530" t="s">
        <v>694</v>
      </c>
      <c r="B530" t="s">
        <v>695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 t="s">
        <v>147</v>
      </c>
      <c r="B531" t="s">
        <v>146</v>
      </c>
      <c r="C531">
        <v>7</v>
      </c>
      <c r="D531">
        <v>34.369999999999997</v>
      </c>
      <c r="E531">
        <v>0</v>
      </c>
      <c r="F531">
        <v>0</v>
      </c>
      <c r="G531">
        <v>7</v>
      </c>
      <c r="H531">
        <v>34.369999999999997</v>
      </c>
      <c r="I531">
        <v>38</v>
      </c>
      <c r="J531">
        <v>213.74</v>
      </c>
    </row>
    <row r="532" spans="1:10" x14ac:dyDescent="0.25">
      <c r="A532" t="s">
        <v>149</v>
      </c>
      <c r="B532" t="s">
        <v>148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88</v>
      </c>
      <c r="J532">
        <v>558.48</v>
      </c>
    </row>
    <row r="533" spans="1:10" x14ac:dyDescent="0.25">
      <c r="A533" t="s">
        <v>550</v>
      </c>
      <c r="B533" t="s">
        <v>549</v>
      </c>
      <c r="C533">
        <v>33</v>
      </c>
      <c r="D533">
        <v>217.78</v>
      </c>
      <c r="E533">
        <v>0</v>
      </c>
      <c r="F533">
        <v>0</v>
      </c>
      <c r="G533">
        <v>33</v>
      </c>
      <c r="H533">
        <v>217.78</v>
      </c>
      <c r="I533">
        <v>160</v>
      </c>
      <c r="J533">
        <v>588.86999999999989</v>
      </c>
    </row>
    <row r="534" spans="1:10" x14ac:dyDescent="0.25">
      <c r="A534" t="s">
        <v>151</v>
      </c>
      <c r="B534" t="s">
        <v>150</v>
      </c>
      <c r="C534">
        <v>70</v>
      </c>
      <c r="D534">
        <v>461.08</v>
      </c>
      <c r="E534">
        <v>0</v>
      </c>
      <c r="F534">
        <v>0</v>
      </c>
      <c r="G534">
        <v>70</v>
      </c>
      <c r="H534">
        <v>461.08</v>
      </c>
      <c r="I534">
        <v>377</v>
      </c>
      <c r="J534">
        <v>1404.6100000000001</v>
      </c>
    </row>
    <row r="535" spans="1:10" x14ac:dyDescent="0.25">
      <c r="A535" t="s">
        <v>153</v>
      </c>
      <c r="B535" t="s">
        <v>152</v>
      </c>
      <c r="C535">
        <v>152</v>
      </c>
      <c r="D535">
        <v>920.81</v>
      </c>
      <c r="E535">
        <v>0</v>
      </c>
      <c r="F535">
        <v>0</v>
      </c>
      <c r="G535">
        <v>152</v>
      </c>
      <c r="H535">
        <v>920.81</v>
      </c>
      <c r="I535">
        <v>306</v>
      </c>
      <c r="J535">
        <v>1158.3800000000001</v>
      </c>
    </row>
    <row r="536" spans="1:10" x14ac:dyDescent="0.25">
      <c r="A536" t="s">
        <v>486</v>
      </c>
      <c r="B536" t="s">
        <v>485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 t="s">
        <v>568</v>
      </c>
      <c r="B537" t="s">
        <v>567</v>
      </c>
      <c r="C537">
        <v>60</v>
      </c>
      <c r="D537">
        <v>813.98</v>
      </c>
      <c r="E537">
        <v>0</v>
      </c>
      <c r="F537">
        <v>0</v>
      </c>
      <c r="G537">
        <v>60</v>
      </c>
      <c r="H537">
        <v>813.98</v>
      </c>
      <c r="I537">
        <v>33</v>
      </c>
      <c r="J537">
        <v>499.25</v>
      </c>
    </row>
    <row r="538" spans="1:10" x14ac:dyDescent="0.25">
      <c r="A538" t="s">
        <v>155</v>
      </c>
      <c r="B538" t="s">
        <v>154</v>
      </c>
      <c r="C538">
        <v>3</v>
      </c>
      <c r="D538">
        <v>21.44</v>
      </c>
      <c r="E538">
        <v>0</v>
      </c>
      <c r="F538">
        <v>0</v>
      </c>
      <c r="G538">
        <v>3</v>
      </c>
      <c r="H538">
        <v>21.44</v>
      </c>
      <c r="I538">
        <v>0</v>
      </c>
      <c r="J538">
        <v>0</v>
      </c>
    </row>
    <row r="539" spans="1:10" x14ac:dyDescent="0.25">
      <c r="A539" t="s">
        <v>696</v>
      </c>
      <c r="B539" t="s">
        <v>697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76</v>
      </c>
      <c r="J539">
        <v>1250.6099999999999</v>
      </c>
    </row>
    <row r="540" spans="1:10" x14ac:dyDescent="0.25">
      <c r="A540" t="s">
        <v>552</v>
      </c>
      <c r="B540" t="s">
        <v>551</v>
      </c>
      <c r="C540">
        <v>19</v>
      </c>
      <c r="D540">
        <v>469.98</v>
      </c>
      <c r="E540">
        <v>0</v>
      </c>
      <c r="F540">
        <v>0</v>
      </c>
      <c r="G540">
        <v>19</v>
      </c>
      <c r="H540">
        <v>469.98</v>
      </c>
      <c r="I540">
        <v>74</v>
      </c>
      <c r="J540">
        <v>1897.0900000000001</v>
      </c>
    </row>
    <row r="541" spans="1:10" x14ac:dyDescent="0.25">
      <c r="A541" t="s">
        <v>157</v>
      </c>
      <c r="B541" t="s">
        <v>156</v>
      </c>
      <c r="C541">
        <v>9</v>
      </c>
      <c r="D541">
        <v>150.66</v>
      </c>
      <c r="E541">
        <v>0</v>
      </c>
      <c r="F541">
        <v>0</v>
      </c>
      <c r="G541">
        <v>9</v>
      </c>
      <c r="H541">
        <v>150.66</v>
      </c>
      <c r="I541">
        <v>0</v>
      </c>
      <c r="J541">
        <v>0</v>
      </c>
    </row>
    <row r="542" spans="1:10" x14ac:dyDescent="0.25">
      <c r="A542" t="s">
        <v>159</v>
      </c>
      <c r="B542" t="s">
        <v>158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 t="s">
        <v>161</v>
      </c>
      <c r="B543" t="s">
        <v>160</v>
      </c>
      <c r="C543">
        <v>78</v>
      </c>
      <c r="D543">
        <v>493.87</v>
      </c>
      <c r="E543">
        <v>0</v>
      </c>
      <c r="F543">
        <v>0</v>
      </c>
      <c r="G543">
        <v>78</v>
      </c>
      <c r="H543">
        <v>493.87</v>
      </c>
      <c r="I543">
        <v>142</v>
      </c>
      <c r="J543">
        <v>990.1</v>
      </c>
    </row>
    <row r="544" spans="1:10" x14ac:dyDescent="0.25">
      <c r="A544" t="s">
        <v>163</v>
      </c>
      <c r="B544" t="s">
        <v>162</v>
      </c>
      <c r="C544">
        <v>56</v>
      </c>
      <c r="D544">
        <v>749.87</v>
      </c>
      <c r="E544">
        <v>0</v>
      </c>
      <c r="F544">
        <v>0</v>
      </c>
      <c r="G544">
        <v>56</v>
      </c>
      <c r="H544">
        <v>749.87</v>
      </c>
      <c r="I544">
        <v>1210</v>
      </c>
      <c r="J544">
        <v>15320.529999999999</v>
      </c>
    </row>
    <row r="545" spans="1:10" x14ac:dyDescent="0.25">
      <c r="A545" t="s">
        <v>165</v>
      </c>
      <c r="B545" t="s">
        <v>164</v>
      </c>
      <c r="C545">
        <v>10</v>
      </c>
      <c r="D545">
        <v>233.17</v>
      </c>
      <c r="E545">
        <v>0</v>
      </c>
      <c r="F545">
        <v>0</v>
      </c>
      <c r="G545">
        <v>10</v>
      </c>
      <c r="H545">
        <v>233.17</v>
      </c>
      <c r="I545">
        <v>0</v>
      </c>
      <c r="J545">
        <v>0</v>
      </c>
    </row>
    <row r="546" spans="1:10" x14ac:dyDescent="0.25">
      <c r="A546" t="s">
        <v>167</v>
      </c>
      <c r="B546" t="s">
        <v>166</v>
      </c>
      <c r="C546">
        <v>21</v>
      </c>
      <c r="D546">
        <v>140.03</v>
      </c>
      <c r="E546">
        <v>0</v>
      </c>
      <c r="F546">
        <v>0</v>
      </c>
      <c r="G546">
        <v>21</v>
      </c>
      <c r="H546">
        <v>140.03</v>
      </c>
      <c r="I546">
        <v>150</v>
      </c>
      <c r="J546">
        <v>726</v>
      </c>
    </row>
    <row r="547" spans="1:10" x14ac:dyDescent="0.25">
      <c r="A547" t="s">
        <v>698</v>
      </c>
      <c r="B547" t="s">
        <v>699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137</v>
      </c>
      <c r="J547">
        <v>4259.4399999999996</v>
      </c>
    </row>
    <row r="548" spans="1:10" x14ac:dyDescent="0.25">
      <c r="A548" t="s">
        <v>169</v>
      </c>
      <c r="B548" t="s">
        <v>168</v>
      </c>
      <c r="C548">
        <v>20</v>
      </c>
      <c r="D548">
        <v>109.43</v>
      </c>
      <c r="E548">
        <v>0</v>
      </c>
      <c r="F548">
        <v>0</v>
      </c>
      <c r="G548">
        <v>20</v>
      </c>
      <c r="H548">
        <v>109.43</v>
      </c>
      <c r="I548">
        <v>4</v>
      </c>
      <c r="J548">
        <v>46.72</v>
      </c>
    </row>
    <row r="549" spans="1:10" x14ac:dyDescent="0.25">
      <c r="A549" t="s">
        <v>171</v>
      </c>
      <c r="B549" t="s">
        <v>170</v>
      </c>
      <c r="C549">
        <v>274</v>
      </c>
      <c r="D549">
        <v>4102.46</v>
      </c>
      <c r="E549">
        <v>0</v>
      </c>
      <c r="F549">
        <v>0</v>
      </c>
      <c r="G549">
        <v>274</v>
      </c>
      <c r="H549">
        <v>4102.46</v>
      </c>
      <c r="I549">
        <v>425</v>
      </c>
      <c r="J549">
        <v>6561.29</v>
      </c>
    </row>
    <row r="550" spans="1:10" x14ac:dyDescent="0.25">
      <c r="A550" t="s">
        <v>173</v>
      </c>
      <c r="B550" t="s">
        <v>172</v>
      </c>
      <c r="C550">
        <v>10</v>
      </c>
      <c r="D550">
        <v>217.60000000000002</v>
      </c>
      <c r="E550">
        <v>0</v>
      </c>
      <c r="F550">
        <v>0</v>
      </c>
      <c r="G550">
        <v>10</v>
      </c>
      <c r="H550">
        <v>217.60000000000002</v>
      </c>
      <c r="I550">
        <v>0</v>
      </c>
      <c r="J550">
        <v>0</v>
      </c>
    </row>
    <row r="551" spans="1:10" x14ac:dyDescent="0.25">
      <c r="A551" t="s">
        <v>700</v>
      </c>
      <c r="B551" t="s">
        <v>701</v>
      </c>
      <c r="C551">
        <v>-1</v>
      </c>
      <c r="D551">
        <v>-32.700000000000003</v>
      </c>
      <c r="E551">
        <v>0</v>
      </c>
      <c r="F551">
        <v>0</v>
      </c>
      <c r="G551">
        <v>-1</v>
      </c>
      <c r="H551">
        <v>-32.700000000000003</v>
      </c>
      <c r="I551">
        <v>0</v>
      </c>
      <c r="J551">
        <v>0</v>
      </c>
    </row>
    <row r="552" spans="1:10" x14ac:dyDescent="0.25">
      <c r="A552" t="s">
        <v>175</v>
      </c>
      <c r="B552" t="s">
        <v>174</v>
      </c>
      <c r="C552">
        <v>4</v>
      </c>
      <c r="D552">
        <v>78.739999999999995</v>
      </c>
      <c r="E552">
        <v>0</v>
      </c>
      <c r="F552">
        <v>0</v>
      </c>
      <c r="G552">
        <v>4</v>
      </c>
      <c r="H552">
        <v>78.739999999999995</v>
      </c>
      <c r="I552">
        <v>0</v>
      </c>
      <c r="J552">
        <v>0</v>
      </c>
    </row>
    <row r="553" spans="1:10" x14ac:dyDescent="0.25">
      <c r="A553" t="s">
        <v>702</v>
      </c>
      <c r="B553" t="s">
        <v>703</v>
      </c>
      <c r="C553">
        <v>2</v>
      </c>
      <c r="D553">
        <v>61.62</v>
      </c>
      <c r="E553">
        <v>0</v>
      </c>
      <c r="F553">
        <v>0</v>
      </c>
      <c r="G553">
        <v>2</v>
      </c>
      <c r="H553">
        <v>61.62</v>
      </c>
      <c r="I553">
        <v>0</v>
      </c>
      <c r="J553">
        <v>0</v>
      </c>
    </row>
    <row r="554" spans="1:10" x14ac:dyDescent="0.25">
      <c r="A554" t="s">
        <v>177</v>
      </c>
      <c r="B554" t="s">
        <v>176</v>
      </c>
      <c r="C554">
        <v>7</v>
      </c>
      <c r="D554">
        <v>372.15999999999997</v>
      </c>
      <c r="E554">
        <v>0</v>
      </c>
      <c r="F554">
        <v>0</v>
      </c>
      <c r="G554">
        <v>7</v>
      </c>
      <c r="H554">
        <v>372.15999999999997</v>
      </c>
      <c r="I554">
        <v>0</v>
      </c>
      <c r="J554">
        <v>0</v>
      </c>
    </row>
    <row r="555" spans="1:10" x14ac:dyDescent="0.25">
      <c r="A555" t="s">
        <v>181</v>
      </c>
      <c r="B555" t="s">
        <v>180</v>
      </c>
      <c r="C555">
        <v>39</v>
      </c>
      <c r="D555">
        <v>477.21000000000004</v>
      </c>
      <c r="E555">
        <v>0</v>
      </c>
      <c r="F555">
        <v>0</v>
      </c>
      <c r="G555">
        <v>39</v>
      </c>
      <c r="H555">
        <v>477.21000000000004</v>
      </c>
      <c r="I555">
        <v>136</v>
      </c>
      <c r="J555">
        <v>1442.49</v>
      </c>
    </row>
    <row r="556" spans="1:10" x14ac:dyDescent="0.25">
      <c r="A556" t="s">
        <v>183</v>
      </c>
      <c r="B556" t="s">
        <v>182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22</v>
      </c>
      <c r="J556">
        <v>567.49</v>
      </c>
    </row>
    <row r="557" spans="1:10" x14ac:dyDescent="0.25">
      <c r="A557" t="s">
        <v>704</v>
      </c>
      <c r="B557" t="s">
        <v>705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9</v>
      </c>
      <c r="J557">
        <v>196.97000000000003</v>
      </c>
    </row>
    <row r="558" spans="1:10" x14ac:dyDescent="0.25">
      <c r="A558" t="s">
        <v>706</v>
      </c>
      <c r="B558" t="s">
        <v>707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</v>
      </c>
      <c r="J558">
        <v>12.18</v>
      </c>
    </row>
    <row r="559" spans="1:10" x14ac:dyDescent="0.25">
      <c r="A559" t="s">
        <v>185</v>
      </c>
      <c r="B559" t="s">
        <v>184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698</v>
      </c>
      <c r="J559">
        <v>8570.57</v>
      </c>
    </row>
    <row r="560" spans="1:10" x14ac:dyDescent="0.25">
      <c r="A560" t="s">
        <v>187</v>
      </c>
      <c r="B560" t="s">
        <v>186</v>
      </c>
      <c r="C560">
        <v>17</v>
      </c>
      <c r="D560">
        <v>545.94000000000005</v>
      </c>
      <c r="E560">
        <v>0</v>
      </c>
      <c r="F560">
        <v>0</v>
      </c>
      <c r="G560">
        <v>17</v>
      </c>
      <c r="H560">
        <v>545.94000000000005</v>
      </c>
      <c r="I560">
        <v>6</v>
      </c>
      <c r="J560">
        <v>216.83</v>
      </c>
    </row>
    <row r="561" spans="1:10" x14ac:dyDescent="0.25">
      <c r="A561" t="s">
        <v>708</v>
      </c>
      <c r="B561" t="s">
        <v>709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 t="s">
        <v>189</v>
      </c>
      <c r="B562" t="s">
        <v>188</v>
      </c>
      <c r="C562">
        <v>9</v>
      </c>
      <c r="D562">
        <v>136.44</v>
      </c>
      <c r="E562">
        <v>0</v>
      </c>
      <c r="F562">
        <v>0</v>
      </c>
      <c r="G562">
        <v>9</v>
      </c>
      <c r="H562">
        <v>136.44</v>
      </c>
      <c r="I562">
        <v>91</v>
      </c>
      <c r="J562">
        <v>833.06999999999994</v>
      </c>
    </row>
    <row r="563" spans="1:10" x14ac:dyDescent="0.25">
      <c r="A563" t="s">
        <v>191</v>
      </c>
      <c r="B563" t="s">
        <v>190</v>
      </c>
      <c r="C563">
        <v>3</v>
      </c>
      <c r="D563">
        <v>66.710000000000008</v>
      </c>
      <c r="E563">
        <v>0</v>
      </c>
      <c r="F563">
        <v>0</v>
      </c>
      <c r="G563">
        <v>3</v>
      </c>
      <c r="H563">
        <v>66.710000000000008</v>
      </c>
      <c r="I563">
        <v>7</v>
      </c>
      <c r="J563">
        <v>105.35</v>
      </c>
    </row>
    <row r="564" spans="1:10" x14ac:dyDescent="0.25">
      <c r="A564" t="s">
        <v>193</v>
      </c>
      <c r="B564" t="s">
        <v>192</v>
      </c>
      <c r="C564">
        <v>6</v>
      </c>
      <c r="D564">
        <v>58.67</v>
      </c>
      <c r="E564">
        <v>0</v>
      </c>
      <c r="F564">
        <v>0</v>
      </c>
      <c r="G564">
        <v>6</v>
      </c>
      <c r="H564">
        <v>58.67</v>
      </c>
      <c r="I564">
        <v>4</v>
      </c>
      <c r="J564">
        <v>41.63</v>
      </c>
    </row>
    <row r="565" spans="1:10" x14ac:dyDescent="0.25">
      <c r="A565" t="s">
        <v>195</v>
      </c>
      <c r="B565" t="s">
        <v>194</v>
      </c>
      <c r="C565">
        <v>16</v>
      </c>
      <c r="D565">
        <v>334.38</v>
      </c>
      <c r="E565">
        <v>0</v>
      </c>
      <c r="F565">
        <v>0</v>
      </c>
      <c r="G565">
        <v>16</v>
      </c>
      <c r="H565">
        <v>334.38</v>
      </c>
      <c r="I565">
        <v>3</v>
      </c>
      <c r="J565">
        <v>66.69</v>
      </c>
    </row>
    <row r="566" spans="1:10" x14ac:dyDescent="0.25">
      <c r="A566" t="s">
        <v>197</v>
      </c>
      <c r="B566" t="s">
        <v>196</v>
      </c>
      <c r="C566">
        <v>0</v>
      </c>
      <c r="D566">
        <v>-0.59</v>
      </c>
      <c r="E566">
        <v>0</v>
      </c>
      <c r="F566">
        <v>0</v>
      </c>
      <c r="G566">
        <v>0</v>
      </c>
      <c r="H566">
        <v>-0.59</v>
      </c>
      <c r="I566">
        <v>2</v>
      </c>
      <c r="J566">
        <v>24.73</v>
      </c>
    </row>
    <row r="567" spans="1:10" x14ac:dyDescent="0.25">
      <c r="A567" t="s">
        <v>199</v>
      </c>
      <c r="B567" t="s">
        <v>198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80.17</v>
      </c>
    </row>
    <row r="568" spans="1:10" x14ac:dyDescent="0.25">
      <c r="A568" t="s">
        <v>201</v>
      </c>
      <c r="B568" t="s">
        <v>200</v>
      </c>
      <c r="C568">
        <v>100</v>
      </c>
      <c r="D568">
        <v>2782.5499999999993</v>
      </c>
      <c r="E568">
        <v>2</v>
      </c>
      <c r="F568">
        <v>69.8</v>
      </c>
      <c r="G568">
        <v>102</v>
      </c>
      <c r="H568">
        <v>2852.3499999999995</v>
      </c>
      <c r="I568">
        <v>95</v>
      </c>
      <c r="J568">
        <v>2961.8600000000006</v>
      </c>
    </row>
    <row r="569" spans="1:10" x14ac:dyDescent="0.25">
      <c r="A569" t="s">
        <v>203</v>
      </c>
      <c r="B569" t="s">
        <v>202</v>
      </c>
      <c r="C569">
        <v>2</v>
      </c>
      <c r="D569">
        <v>55.74</v>
      </c>
      <c r="E569">
        <v>0</v>
      </c>
      <c r="F569">
        <v>0</v>
      </c>
      <c r="G569">
        <v>2</v>
      </c>
      <c r="H569">
        <v>55.74</v>
      </c>
      <c r="I569">
        <v>10</v>
      </c>
      <c r="J569">
        <v>322.71000000000004</v>
      </c>
    </row>
    <row r="570" spans="1:10" x14ac:dyDescent="0.25">
      <c r="A570" t="s">
        <v>205</v>
      </c>
      <c r="B570" t="s">
        <v>204</v>
      </c>
      <c r="C570">
        <v>3</v>
      </c>
      <c r="D570">
        <v>30.13</v>
      </c>
      <c r="E570">
        <v>0</v>
      </c>
      <c r="F570">
        <v>0</v>
      </c>
      <c r="G570">
        <v>3</v>
      </c>
      <c r="H570">
        <v>30.13</v>
      </c>
      <c r="I570">
        <v>28</v>
      </c>
      <c r="J570">
        <v>351.76</v>
      </c>
    </row>
    <row r="571" spans="1:10" x14ac:dyDescent="0.25">
      <c r="A571" t="s">
        <v>207</v>
      </c>
      <c r="B571" t="s">
        <v>206</v>
      </c>
      <c r="C571">
        <v>89</v>
      </c>
      <c r="D571">
        <v>1531.78</v>
      </c>
      <c r="E571">
        <v>0</v>
      </c>
      <c r="F571">
        <v>0</v>
      </c>
      <c r="G571">
        <v>89</v>
      </c>
      <c r="H571">
        <v>1531.78</v>
      </c>
      <c r="I571">
        <v>174</v>
      </c>
      <c r="J571">
        <v>3189.4100000000003</v>
      </c>
    </row>
    <row r="572" spans="1:10" x14ac:dyDescent="0.25">
      <c r="A572" t="s">
        <v>209</v>
      </c>
      <c r="B572" t="s">
        <v>208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 t="s">
        <v>211</v>
      </c>
      <c r="B573" t="s">
        <v>210</v>
      </c>
      <c r="C573">
        <v>70</v>
      </c>
      <c r="D573">
        <v>1146.53</v>
      </c>
      <c r="E573">
        <v>1</v>
      </c>
      <c r="F573">
        <v>26.9</v>
      </c>
      <c r="G573">
        <v>71</v>
      </c>
      <c r="H573">
        <v>1173.43</v>
      </c>
      <c r="I573">
        <v>364</v>
      </c>
      <c r="J573">
        <v>6173.15</v>
      </c>
    </row>
    <row r="574" spans="1:10" x14ac:dyDescent="0.25">
      <c r="A574" t="s">
        <v>213</v>
      </c>
      <c r="B574" t="s">
        <v>212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 t="s">
        <v>215</v>
      </c>
      <c r="B575" t="s">
        <v>214</v>
      </c>
      <c r="C575">
        <v>38</v>
      </c>
      <c r="D575">
        <v>631.57000000000005</v>
      </c>
      <c r="E575">
        <v>0</v>
      </c>
      <c r="F575">
        <v>0</v>
      </c>
      <c r="G575">
        <v>38</v>
      </c>
      <c r="H575">
        <v>631.57000000000005</v>
      </c>
      <c r="I575">
        <v>12</v>
      </c>
      <c r="J575">
        <v>224.63000000000002</v>
      </c>
    </row>
    <row r="576" spans="1:10" x14ac:dyDescent="0.25">
      <c r="A576" t="s">
        <v>217</v>
      </c>
      <c r="B576" t="s">
        <v>216</v>
      </c>
      <c r="C576">
        <v>88</v>
      </c>
      <c r="D576">
        <v>1204.26</v>
      </c>
      <c r="E576">
        <v>38</v>
      </c>
      <c r="F576">
        <v>780.19999999999959</v>
      </c>
      <c r="G576">
        <v>126</v>
      </c>
      <c r="H576">
        <v>1984.4599999999996</v>
      </c>
      <c r="I576">
        <v>1292</v>
      </c>
      <c r="J576">
        <v>22103.05</v>
      </c>
    </row>
    <row r="577" spans="1:10" x14ac:dyDescent="0.25">
      <c r="A577" t="s">
        <v>219</v>
      </c>
      <c r="B577" t="s">
        <v>218</v>
      </c>
      <c r="C577">
        <v>77</v>
      </c>
      <c r="D577">
        <v>819.22</v>
      </c>
      <c r="E577">
        <v>0</v>
      </c>
      <c r="F577">
        <v>0</v>
      </c>
      <c r="G577">
        <v>77</v>
      </c>
      <c r="H577">
        <v>819.22</v>
      </c>
      <c r="I577">
        <v>91</v>
      </c>
      <c r="J577">
        <v>1282.54</v>
      </c>
    </row>
    <row r="578" spans="1:10" x14ac:dyDescent="0.25">
      <c r="A578" t="s">
        <v>221</v>
      </c>
      <c r="B578" t="s">
        <v>220</v>
      </c>
      <c r="C578">
        <v>5</v>
      </c>
      <c r="D578">
        <v>65.400000000000006</v>
      </c>
      <c r="E578">
        <v>0</v>
      </c>
      <c r="F578">
        <v>0</v>
      </c>
      <c r="G578">
        <v>5</v>
      </c>
      <c r="H578">
        <v>65.400000000000006</v>
      </c>
      <c r="I578">
        <v>28</v>
      </c>
      <c r="J578">
        <v>356.43</v>
      </c>
    </row>
    <row r="579" spans="1:10" x14ac:dyDescent="0.25">
      <c r="A579" t="s">
        <v>710</v>
      </c>
      <c r="B579" t="s">
        <v>711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21</v>
      </c>
      <c r="J579">
        <v>261.49</v>
      </c>
    </row>
    <row r="580" spans="1:10" x14ac:dyDescent="0.25">
      <c r="A580" t="s">
        <v>712</v>
      </c>
      <c r="B580" t="s">
        <v>713</v>
      </c>
      <c r="C580">
        <v>0</v>
      </c>
      <c r="D580">
        <v>0</v>
      </c>
      <c r="E580">
        <v>170</v>
      </c>
      <c r="F580">
        <v>6882.9999999999854</v>
      </c>
      <c r="G580">
        <v>170</v>
      </c>
      <c r="H580">
        <v>6882.9999999999854</v>
      </c>
      <c r="I580">
        <v>75</v>
      </c>
      <c r="J580">
        <v>2186.69</v>
      </c>
    </row>
    <row r="581" spans="1:10" x14ac:dyDescent="0.25">
      <c r="A581" t="s">
        <v>223</v>
      </c>
      <c r="B581" t="s">
        <v>222</v>
      </c>
      <c r="C581">
        <v>2</v>
      </c>
      <c r="D581">
        <v>24.6</v>
      </c>
      <c r="E581">
        <v>173</v>
      </c>
      <c r="F581">
        <v>2866.7500000000045</v>
      </c>
      <c r="G581">
        <v>175</v>
      </c>
      <c r="H581">
        <v>2891.3500000000045</v>
      </c>
      <c r="I581">
        <v>636</v>
      </c>
      <c r="J581">
        <v>5569.4800000000005</v>
      </c>
    </row>
    <row r="582" spans="1:10" x14ac:dyDescent="0.25">
      <c r="A582" t="s">
        <v>225</v>
      </c>
      <c r="B582" t="s">
        <v>224</v>
      </c>
      <c r="C582">
        <v>189</v>
      </c>
      <c r="D582">
        <v>1643.77</v>
      </c>
      <c r="E582">
        <v>0</v>
      </c>
      <c r="F582">
        <v>0</v>
      </c>
      <c r="G582">
        <v>189</v>
      </c>
      <c r="H582">
        <v>1643.77</v>
      </c>
      <c r="I582">
        <v>979</v>
      </c>
      <c r="J582">
        <v>7321.8799999999992</v>
      </c>
    </row>
    <row r="583" spans="1:10" x14ac:dyDescent="0.25">
      <c r="A583" t="s">
        <v>227</v>
      </c>
      <c r="B583" t="s">
        <v>226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74</v>
      </c>
      <c r="J583">
        <v>703.88</v>
      </c>
    </row>
    <row r="584" spans="1:10" x14ac:dyDescent="0.25">
      <c r="A584" t="s">
        <v>229</v>
      </c>
      <c r="B584" t="s">
        <v>228</v>
      </c>
      <c r="C584">
        <v>1</v>
      </c>
      <c r="D584">
        <v>31.37</v>
      </c>
      <c r="E584">
        <v>8</v>
      </c>
      <c r="F584">
        <v>319.2</v>
      </c>
      <c r="G584">
        <v>9</v>
      </c>
      <c r="H584">
        <v>350.57</v>
      </c>
      <c r="I584">
        <v>31</v>
      </c>
      <c r="J584">
        <v>844.67000000000007</v>
      </c>
    </row>
    <row r="585" spans="1:10" x14ac:dyDescent="0.25">
      <c r="A585" t="s">
        <v>231</v>
      </c>
      <c r="B585" t="s">
        <v>230</v>
      </c>
      <c r="C585">
        <v>8</v>
      </c>
      <c r="D585">
        <v>349.1</v>
      </c>
      <c r="E585">
        <v>0</v>
      </c>
      <c r="F585">
        <v>0</v>
      </c>
      <c r="G585">
        <v>8</v>
      </c>
      <c r="H585">
        <v>349.1</v>
      </c>
      <c r="I585">
        <v>127</v>
      </c>
      <c r="J585">
        <v>5893.16</v>
      </c>
    </row>
    <row r="586" spans="1:10" x14ac:dyDescent="0.25">
      <c r="A586" t="s">
        <v>233</v>
      </c>
      <c r="B586" t="s">
        <v>232</v>
      </c>
      <c r="C586">
        <v>53</v>
      </c>
      <c r="D586">
        <v>3187.48</v>
      </c>
      <c r="E586">
        <v>0</v>
      </c>
      <c r="F586">
        <v>0</v>
      </c>
      <c r="G586">
        <v>53</v>
      </c>
      <c r="H586">
        <v>3187.48</v>
      </c>
      <c r="I586">
        <v>130</v>
      </c>
      <c r="J586">
        <v>6391.27</v>
      </c>
    </row>
    <row r="587" spans="1:10" x14ac:dyDescent="0.25">
      <c r="A587" t="s">
        <v>235</v>
      </c>
      <c r="B587" t="s">
        <v>234</v>
      </c>
      <c r="C587">
        <v>4</v>
      </c>
      <c r="D587">
        <v>20</v>
      </c>
      <c r="E587">
        <v>0</v>
      </c>
      <c r="F587">
        <v>0</v>
      </c>
      <c r="G587">
        <v>4</v>
      </c>
      <c r="H587">
        <v>20</v>
      </c>
      <c r="I587">
        <v>11</v>
      </c>
      <c r="J587">
        <v>44.22</v>
      </c>
    </row>
    <row r="588" spans="1:10" x14ac:dyDescent="0.25">
      <c r="A588" t="s">
        <v>237</v>
      </c>
      <c r="B588" t="s">
        <v>236</v>
      </c>
      <c r="C588">
        <v>9</v>
      </c>
      <c r="D588">
        <v>147.75</v>
      </c>
      <c r="E588">
        <v>0</v>
      </c>
      <c r="F588">
        <v>0</v>
      </c>
      <c r="G588">
        <v>9</v>
      </c>
      <c r="H588">
        <v>147.75</v>
      </c>
      <c r="I588">
        <v>5</v>
      </c>
      <c r="J588">
        <v>86.259999999999991</v>
      </c>
    </row>
    <row r="589" spans="1:10" x14ac:dyDescent="0.25">
      <c r="A589" t="s">
        <v>239</v>
      </c>
      <c r="B589" t="s">
        <v>238</v>
      </c>
      <c r="C589">
        <v>1</v>
      </c>
      <c r="D589">
        <v>57.77</v>
      </c>
      <c r="E589">
        <v>32</v>
      </c>
      <c r="F589">
        <v>2637.2000000000012</v>
      </c>
      <c r="G589">
        <v>33</v>
      </c>
      <c r="H589">
        <v>2694.9700000000012</v>
      </c>
      <c r="I589">
        <v>120</v>
      </c>
      <c r="J589">
        <v>8103.88</v>
      </c>
    </row>
    <row r="590" spans="1:10" x14ac:dyDescent="0.25">
      <c r="A590" t="s">
        <v>241</v>
      </c>
      <c r="B590" t="s">
        <v>240</v>
      </c>
      <c r="C590">
        <v>4</v>
      </c>
      <c r="D590">
        <v>86.039999999999992</v>
      </c>
      <c r="E590">
        <v>0</v>
      </c>
      <c r="F590">
        <v>0</v>
      </c>
      <c r="G590">
        <v>4</v>
      </c>
      <c r="H590">
        <v>86.039999999999992</v>
      </c>
      <c r="I590">
        <v>3</v>
      </c>
      <c r="J590">
        <v>87.59</v>
      </c>
    </row>
    <row r="591" spans="1:10" x14ac:dyDescent="0.25">
      <c r="A591" t="s">
        <v>243</v>
      </c>
      <c r="B591" t="s">
        <v>242</v>
      </c>
      <c r="C591">
        <v>35</v>
      </c>
      <c r="D591">
        <v>396.36999999999989</v>
      </c>
      <c r="E591">
        <v>0</v>
      </c>
      <c r="F591">
        <v>0</v>
      </c>
      <c r="G591">
        <v>35</v>
      </c>
      <c r="H591">
        <v>396.36999999999989</v>
      </c>
      <c r="I591">
        <v>162</v>
      </c>
      <c r="J591">
        <v>1985.02</v>
      </c>
    </row>
    <row r="592" spans="1:10" x14ac:dyDescent="0.25">
      <c r="A592" t="s">
        <v>245</v>
      </c>
      <c r="B592" t="s">
        <v>244</v>
      </c>
      <c r="C592">
        <v>2</v>
      </c>
      <c r="D592">
        <v>46.32</v>
      </c>
      <c r="E592">
        <v>0</v>
      </c>
      <c r="F592">
        <v>0</v>
      </c>
      <c r="G592">
        <v>2</v>
      </c>
      <c r="H592">
        <v>46.32</v>
      </c>
      <c r="I592">
        <v>19</v>
      </c>
      <c r="J592">
        <v>547.96</v>
      </c>
    </row>
    <row r="593" spans="1:10" x14ac:dyDescent="0.25">
      <c r="A593" t="s">
        <v>247</v>
      </c>
      <c r="B593" t="s">
        <v>246</v>
      </c>
      <c r="C593">
        <v>14</v>
      </c>
      <c r="D593">
        <v>304.30000000000007</v>
      </c>
      <c r="E593">
        <v>0</v>
      </c>
      <c r="F593">
        <v>0</v>
      </c>
      <c r="G593">
        <v>14</v>
      </c>
      <c r="H593">
        <v>304.30000000000007</v>
      </c>
      <c r="I593">
        <v>12</v>
      </c>
      <c r="J593">
        <v>266.54000000000002</v>
      </c>
    </row>
    <row r="594" spans="1:10" x14ac:dyDescent="0.25">
      <c r="A594" t="s">
        <v>249</v>
      </c>
      <c r="B594" t="s">
        <v>248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17</v>
      </c>
      <c r="J594">
        <v>139.9</v>
      </c>
    </row>
    <row r="595" spans="1:10" x14ac:dyDescent="0.25">
      <c r="A595" t="s">
        <v>251</v>
      </c>
      <c r="B595" t="s">
        <v>250</v>
      </c>
      <c r="C595">
        <v>1</v>
      </c>
      <c r="D595">
        <v>5.5</v>
      </c>
      <c r="E595">
        <v>0</v>
      </c>
      <c r="F595">
        <v>0</v>
      </c>
      <c r="G595">
        <v>1</v>
      </c>
      <c r="H595">
        <v>5.5</v>
      </c>
      <c r="I595">
        <v>17</v>
      </c>
      <c r="J595">
        <v>119.85000000000001</v>
      </c>
    </row>
    <row r="596" spans="1:10" x14ac:dyDescent="0.25">
      <c r="A596" t="s">
        <v>253</v>
      </c>
      <c r="B596" t="s">
        <v>252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 t="s">
        <v>255</v>
      </c>
      <c r="B597" t="s">
        <v>254</v>
      </c>
      <c r="C597">
        <v>1</v>
      </c>
      <c r="D597">
        <v>61.38</v>
      </c>
      <c r="E597">
        <v>0</v>
      </c>
      <c r="F597">
        <v>0</v>
      </c>
      <c r="G597">
        <v>1</v>
      </c>
      <c r="H597">
        <v>61.38</v>
      </c>
      <c r="I597">
        <v>2</v>
      </c>
      <c r="J597">
        <v>83.08</v>
      </c>
    </row>
    <row r="598" spans="1:10" x14ac:dyDescent="0.25">
      <c r="A598" t="s">
        <v>257</v>
      </c>
      <c r="B598" t="s">
        <v>256</v>
      </c>
      <c r="C598">
        <v>3</v>
      </c>
      <c r="D598">
        <v>41.75</v>
      </c>
      <c r="E598">
        <v>0</v>
      </c>
      <c r="F598">
        <v>0</v>
      </c>
      <c r="G598">
        <v>3</v>
      </c>
      <c r="H598">
        <v>41.75</v>
      </c>
      <c r="I598">
        <v>3</v>
      </c>
      <c r="J598">
        <v>27.27</v>
      </c>
    </row>
    <row r="599" spans="1:10" x14ac:dyDescent="0.25">
      <c r="A599" t="s">
        <v>259</v>
      </c>
      <c r="B599" t="s">
        <v>258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 t="s">
        <v>261</v>
      </c>
      <c r="B600" t="s">
        <v>260</v>
      </c>
      <c r="C600">
        <v>7</v>
      </c>
      <c r="D600">
        <v>393.90999999999997</v>
      </c>
      <c r="E600">
        <v>0</v>
      </c>
      <c r="F600">
        <v>0</v>
      </c>
      <c r="G600">
        <v>7</v>
      </c>
      <c r="H600">
        <v>393.90999999999997</v>
      </c>
      <c r="I600">
        <v>0</v>
      </c>
      <c r="J600">
        <v>0</v>
      </c>
    </row>
    <row r="601" spans="1:10" x14ac:dyDescent="0.25">
      <c r="A601" t="s">
        <v>263</v>
      </c>
      <c r="B601" t="s">
        <v>262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t="s">
        <v>267</v>
      </c>
      <c r="B602" t="s">
        <v>266</v>
      </c>
      <c r="C602">
        <v>555</v>
      </c>
      <c r="D602">
        <v>6138.84</v>
      </c>
      <c r="E602">
        <v>0</v>
      </c>
      <c r="F602">
        <v>0</v>
      </c>
      <c r="G602">
        <v>555</v>
      </c>
      <c r="H602">
        <v>6138.84</v>
      </c>
      <c r="I602">
        <v>2634</v>
      </c>
      <c r="J602">
        <v>21633.789999999997</v>
      </c>
    </row>
    <row r="603" spans="1:10" x14ac:dyDescent="0.25">
      <c r="A603" t="s">
        <v>269</v>
      </c>
      <c r="B603" t="s">
        <v>268</v>
      </c>
      <c r="C603">
        <v>6</v>
      </c>
      <c r="D603">
        <v>223.68</v>
      </c>
      <c r="E603">
        <v>0</v>
      </c>
      <c r="F603">
        <v>0</v>
      </c>
      <c r="G603">
        <v>6</v>
      </c>
      <c r="H603">
        <v>223.68</v>
      </c>
      <c r="I603">
        <v>6</v>
      </c>
      <c r="J603">
        <v>236.64</v>
      </c>
    </row>
    <row r="604" spans="1:10" x14ac:dyDescent="0.25">
      <c r="A604" t="s">
        <v>271</v>
      </c>
      <c r="B604" t="s">
        <v>270</v>
      </c>
      <c r="C604">
        <v>7</v>
      </c>
      <c r="D604">
        <v>413.49</v>
      </c>
      <c r="E604">
        <v>0</v>
      </c>
      <c r="F604">
        <v>0</v>
      </c>
      <c r="G604">
        <v>7</v>
      </c>
      <c r="H604">
        <v>413.49</v>
      </c>
      <c r="I604">
        <v>72</v>
      </c>
      <c r="J604">
        <v>4725.07</v>
      </c>
    </row>
    <row r="605" spans="1:10" x14ac:dyDescent="0.25">
      <c r="A605" t="s">
        <v>273</v>
      </c>
      <c r="B605" t="s">
        <v>272</v>
      </c>
      <c r="C605">
        <v>5</v>
      </c>
      <c r="D605">
        <v>49.09</v>
      </c>
      <c r="E605">
        <v>0</v>
      </c>
      <c r="F605">
        <v>0</v>
      </c>
      <c r="G605">
        <v>5</v>
      </c>
      <c r="H605">
        <v>49.09</v>
      </c>
      <c r="I605">
        <v>1</v>
      </c>
      <c r="J605">
        <v>20.41</v>
      </c>
    </row>
    <row r="606" spans="1:10" x14ac:dyDescent="0.25">
      <c r="A606" t="s">
        <v>275</v>
      </c>
      <c r="B606" t="s">
        <v>274</v>
      </c>
      <c r="C606">
        <v>6</v>
      </c>
      <c r="D606">
        <v>97.52</v>
      </c>
      <c r="E606">
        <v>0</v>
      </c>
      <c r="F606">
        <v>0</v>
      </c>
      <c r="G606">
        <v>6</v>
      </c>
      <c r="H606">
        <v>97.52</v>
      </c>
      <c r="I606">
        <v>8</v>
      </c>
      <c r="J606">
        <v>130.9</v>
      </c>
    </row>
    <row r="607" spans="1:10" x14ac:dyDescent="0.25">
      <c r="A607" t="s">
        <v>277</v>
      </c>
      <c r="B607" t="s">
        <v>276</v>
      </c>
      <c r="C607">
        <v>10</v>
      </c>
      <c r="D607">
        <v>100.5</v>
      </c>
      <c r="E607">
        <v>0</v>
      </c>
      <c r="F607">
        <v>0</v>
      </c>
      <c r="G607">
        <v>10</v>
      </c>
      <c r="H607">
        <v>100.5</v>
      </c>
      <c r="I607">
        <v>0</v>
      </c>
      <c r="J607">
        <v>0</v>
      </c>
    </row>
    <row r="608" spans="1:10" x14ac:dyDescent="0.25">
      <c r="A608" t="s">
        <v>279</v>
      </c>
      <c r="B608" t="s">
        <v>278</v>
      </c>
      <c r="C608">
        <v>14</v>
      </c>
      <c r="D608">
        <v>56.129999999999995</v>
      </c>
      <c r="E608">
        <v>0</v>
      </c>
      <c r="F608">
        <v>0</v>
      </c>
      <c r="G608">
        <v>14</v>
      </c>
      <c r="H608">
        <v>56.129999999999995</v>
      </c>
      <c r="I608">
        <v>4</v>
      </c>
      <c r="J608">
        <v>48.84</v>
      </c>
    </row>
    <row r="609" spans="1:10" x14ac:dyDescent="0.25">
      <c r="A609" t="s">
        <v>281</v>
      </c>
      <c r="B609" t="s">
        <v>280</v>
      </c>
      <c r="C609">
        <v>2</v>
      </c>
      <c r="D609">
        <v>10.46</v>
      </c>
      <c r="E609">
        <v>0</v>
      </c>
      <c r="F609">
        <v>0</v>
      </c>
      <c r="G609">
        <v>2</v>
      </c>
      <c r="H609">
        <v>10.46</v>
      </c>
      <c r="I609">
        <v>2</v>
      </c>
      <c r="J609">
        <v>16.5</v>
      </c>
    </row>
    <row r="610" spans="1:10" x14ac:dyDescent="0.25">
      <c r="A610" t="s">
        <v>283</v>
      </c>
      <c r="B610" t="s">
        <v>282</v>
      </c>
      <c r="C610">
        <v>2</v>
      </c>
      <c r="D610">
        <v>16.38</v>
      </c>
      <c r="E610">
        <v>0</v>
      </c>
      <c r="F610">
        <v>0</v>
      </c>
      <c r="G610">
        <v>2</v>
      </c>
      <c r="H610">
        <v>16.38</v>
      </c>
      <c r="I610">
        <v>8</v>
      </c>
      <c r="J610">
        <v>64.88</v>
      </c>
    </row>
    <row r="611" spans="1:10" x14ac:dyDescent="0.25">
      <c r="A611" t="s">
        <v>714</v>
      </c>
      <c r="B611" t="s">
        <v>715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8.11</v>
      </c>
    </row>
    <row r="612" spans="1:10" x14ac:dyDescent="0.25">
      <c r="A612" t="s">
        <v>285</v>
      </c>
      <c r="B612" t="s">
        <v>284</v>
      </c>
      <c r="C612">
        <v>29</v>
      </c>
      <c r="D612">
        <v>435.96</v>
      </c>
      <c r="E612">
        <v>0</v>
      </c>
      <c r="F612">
        <v>0</v>
      </c>
      <c r="G612">
        <v>29</v>
      </c>
      <c r="H612">
        <v>435.96</v>
      </c>
      <c r="I612">
        <v>75</v>
      </c>
      <c r="J612">
        <v>1097.83</v>
      </c>
    </row>
    <row r="613" spans="1:10" x14ac:dyDescent="0.25">
      <c r="A613" t="s">
        <v>716</v>
      </c>
      <c r="B613" t="s">
        <v>717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 t="s">
        <v>287</v>
      </c>
      <c r="B614" t="s">
        <v>286</v>
      </c>
      <c r="C614">
        <v>56</v>
      </c>
      <c r="D614">
        <v>917.12999999999988</v>
      </c>
      <c r="E614">
        <v>0</v>
      </c>
      <c r="F614">
        <v>0</v>
      </c>
      <c r="G614">
        <v>56</v>
      </c>
      <c r="H614">
        <v>917.12999999999988</v>
      </c>
      <c r="I614">
        <v>301</v>
      </c>
      <c r="J614">
        <v>4808.84</v>
      </c>
    </row>
    <row r="615" spans="1:10" x14ac:dyDescent="0.25">
      <c r="A615" t="s">
        <v>289</v>
      </c>
      <c r="B615" t="s">
        <v>288</v>
      </c>
      <c r="C615">
        <v>42</v>
      </c>
      <c r="D615">
        <v>582.29000000000008</v>
      </c>
      <c r="E615">
        <v>0</v>
      </c>
      <c r="F615">
        <v>0</v>
      </c>
      <c r="G615">
        <v>42</v>
      </c>
      <c r="H615">
        <v>582.29000000000008</v>
      </c>
      <c r="I615">
        <v>116</v>
      </c>
      <c r="J615">
        <v>1393.46</v>
      </c>
    </row>
    <row r="616" spans="1:10" x14ac:dyDescent="0.25">
      <c r="A616" t="s">
        <v>291</v>
      </c>
      <c r="B616" t="s">
        <v>290</v>
      </c>
      <c r="C616">
        <v>1</v>
      </c>
      <c r="D616">
        <v>23.97</v>
      </c>
      <c r="E616">
        <v>0</v>
      </c>
      <c r="F616">
        <v>0</v>
      </c>
      <c r="G616">
        <v>1</v>
      </c>
      <c r="H616">
        <v>23.97</v>
      </c>
      <c r="I616">
        <v>9</v>
      </c>
      <c r="J616">
        <v>219.35</v>
      </c>
    </row>
    <row r="617" spans="1:10" x14ac:dyDescent="0.25">
      <c r="A617" t="s">
        <v>293</v>
      </c>
      <c r="B617" t="s">
        <v>292</v>
      </c>
      <c r="C617">
        <v>197</v>
      </c>
      <c r="D617">
        <v>2298.13</v>
      </c>
      <c r="E617">
        <v>0</v>
      </c>
      <c r="F617">
        <v>0</v>
      </c>
      <c r="G617">
        <v>197</v>
      </c>
      <c r="H617">
        <v>2298.13</v>
      </c>
      <c r="I617">
        <v>3119</v>
      </c>
      <c r="J617">
        <v>25558.510000000002</v>
      </c>
    </row>
    <row r="618" spans="1:10" x14ac:dyDescent="0.25">
      <c r="A618" t="s">
        <v>295</v>
      </c>
      <c r="B618" t="s">
        <v>294</v>
      </c>
      <c r="C618">
        <v>35</v>
      </c>
      <c r="D618">
        <v>299.51</v>
      </c>
      <c r="E618">
        <v>0</v>
      </c>
      <c r="F618">
        <v>0</v>
      </c>
      <c r="G618">
        <v>35</v>
      </c>
      <c r="H618">
        <v>299.51</v>
      </c>
      <c r="I618">
        <v>192</v>
      </c>
      <c r="J618">
        <v>1417.45</v>
      </c>
    </row>
    <row r="619" spans="1:10" x14ac:dyDescent="0.25">
      <c r="A619" t="s">
        <v>297</v>
      </c>
      <c r="B619" t="s">
        <v>296</v>
      </c>
      <c r="C619">
        <v>1</v>
      </c>
      <c r="D619">
        <v>16.45</v>
      </c>
      <c r="E619">
        <v>0</v>
      </c>
      <c r="F619">
        <v>0</v>
      </c>
      <c r="G619">
        <v>1</v>
      </c>
      <c r="H619">
        <v>16.45</v>
      </c>
      <c r="I619">
        <v>838</v>
      </c>
      <c r="J619">
        <v>11277.480000000001</v>
      </c>
    </row>
    <row r="620" spans="1:10" x14ac:dyDescent="0.25">
      <c r="A620" t="s">
        <v>299</v>
      </c>
      <c r="B620" t="s">
        <v>298</v>
      </c>
      <c r="C620">
        <v>5</v>
      </c>
      <c r="D620">
        <v>68.650000000000006</v>
      </c>
      <c r="E620">
        <v>0</v>
      </c>
      <c r="F620">
        <v>0</v>
      </c>
      <c r="G620">
        <v>5</v>
      </c>
      <c r="H620">
        <v>68.650000000000006</v>
      </c>
      <c r="I620">
        <v>73</v>
      </c>
      <c r="J620">
        <v>710.32</v>
      </c>
    </row>
    <row r="621" spans="1:10" x14ac:dyDescent="0.25">
      <c r="A621" t="s">
        <v>301</v>
      </c>
      <c r="B621" t="s">
        <v>300</v>
      </c>
      <c r="C621">
        <v>250</v>
      </c>
      <c r="D621">
        <v>3151.84</v>
      </c>
      <c r="E621">
        <v>142</v>
      </c>
      <c r="F621">
        <v>2091.8000000000052</v>
      </c>
      <c r="G621">
        <v>392</v>
      </c>
      <c r="H621">
        <v>5243.6400000000049</v>
      </c>
      <c r="I621">
        <v>3250</v>
      </c>
      <c r="J621">
        <v>38706.119999999995</v>
      </c>
    </row>
    <row r="622" spans="1:10" x14ac:dyDescent="0.25">
      <c r="A622" t="s">
        <v>303</v>
      </c>
      <c r="B622" t="s">
        <v>302</v>
      </c>
      <c r="C622">
        <v>2</v>
      </c>
      <c r="D622">
        <v>28.26</v>
      </c>
      <c r="E622">
        <v>0</v>
      </c>
      <c r="F622">
        <v>0</v>
      </c>
      <c r="G622">
        <v>2</v>
      </c>
      <c r="H622">
        <v>28.26</v>
      </c>
      <c r="I622">
        <v>11</v>
      </c>
      <c r="J622">
        <v>115.22</v>
      </c>
    </row>
    <row r="623" spans="1:10" x14ac:dyDescent="0.25">
      <c r="A623" t="s">
        <v>305</v>
      </c>
      <c r="B623" t="s">
        <v>304</v>
      </c>
      <c r="C623">
        <v>14</v>
      </c>
      <c r="D623">
        <v>57.29</v>
      </c>
      <c r="E623">
        <v>0</v>
      </c>
      <c r="F623">
        <v>0</v>
      </c>
      <c r="G623">
        <v>14</v>
      </c>
      <c r="H623">
        <v>57.29</v>
      </c>
      <c r="I623">
        <v>1</v>
      </c>
      <c r="J623">
        <v>9.73</v>
      </c>
    </row>
    <row r="624" spans="1:10" x14ac:dyDescent="0.25">
      <c r="A624" t="s">
        <v>307</v>
      </c>
      <c r="B624" t="s">
        <v>306</v>
      </c>
      <c r="C624">
        <v>54</v>
      </c>
      <c r="D624">
        <v>664.1</v>
      </c>
      <c r="E624">
        <v>0</v>
      </c>
      <c r="F624">
        <v>0</v>
      </c>
      <c r="G624">
        <v>54</v>
      </c>
      <c r="H624">
        <v>664.1</v>
      </c>
      <c r="I624">
        <v>54</v>
      </c>
      <c r="J624">
        <v>625.80999999999995</v>
      </c>
    </row>
    <row r="625" spans="1:10" x14ac:dyDescent="0.25">
      <c r="A625" t="s">
        <v>309</v>
      </c>
      <c r="B625" t="s">
        <v>308</v>
      </c>
      <c r="C625">
        <v>3</v>
      </c>
      <c r="D625">
        <v>88.7</v>
      </c>
      <c r="E625">
        <v>0</v>
      </c>
      <c r="F625">
        <v>0</v>
      </c>
      <c r="G625">
        <v>3</v>
      </c>
      <c r="H625">
        <v>88.7</v>
      </c>
      <c r="I625">
        <v>0</v>
      </c>
      <c r="J625">
        <v>0</v>
      </c>
    </row>
    <row r="626" spans="1:10" x14ac:dyDescent="0.25">
      <c r="A626" t="s">
        <v>311</v>
      </c>
      <c r="B626" t="s">
        <v>310</v>
      </c>
      <c r="C626">
        <v>78</v>
      </c>
      <c r="D626">
        <v>2332.1799999999998</v>
      </c>
      <c r="E626">
        <v>2</v>
      </c>
      <c r="F626">
        <v>75.8</v>
      </c>
      <c r="G626">
        <v>80</v>
      </c>
      <c r="H626">
        <v>2407.98</v>
      </c>
      <c r="I626">
        <v>220</v>
      </c>
      <c r="J626">
        <v>6864.66</v>
      </c>
    </row>
    <row r="627" spans="1:10" x14ac:dyDescent="0.25">
      <c r="A627" t="s">
        <v>313</v>
      </c>
      <c r="B627" t="s">
        <v>312</v>
      </c>
      <c r="C627">
        <v>10</v>
      </c>
      <c r="D627">
        <v>642.61</v>
      </c>
      <c r="E627">
        <v>0</v>
      </c>
      <c r="F627">
        <v>0</v>
      </c>
      <c r="G627">
        <v>10</v>
      </c>
      <c r="H627">
        <v>642.61</v>
      </c>
      <c r="I627">
        <v>1</v>
      </c>
      <c r="J627">
        <v>65.489999999999995</v>
      </c>
    </row>
    <row r="628" spans="1:10" x14ac:dyDescent="0.25">
      <c r="A628" t="s">
        <v>315</v>
      </c>
      <c r="B628" t="s">
        <v>314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4.0199999999999996</v>
      </c>
    </row>
    <row r="629" spans="1:10" x14ac:dyDescent="0.25">
      <c r="A629" t="s">
        <v>317</v>
      </c>
      <c r="B629" t="s">
        <v>316</v>
      </c>
      <c r="C629">
        <v>2</v>
      </c>
      <c r="D629">
        <v>83.86</v>
      </c>
      <c r="E629">
        <v>0</v>
      </c>
      <c r="F629">
        <v>0</v>
      </c>
      <c r="G629">
        <v>2</v>
      </c>
      <c r="H629">
        <v>83.86</v>
      </c>
      <c r="I629">
        <v>27</v>
      </c>
      <c r="J629">
        <v>721.87999999999988</v>
      </c>
    </row>
    <row r="630" spans="1:10" x14ac:dyDescent="0.25">
      <c r="A630" t="s">
        <v>718</v>
      </c>
      <c r="B630" t="s">
        <v>719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 t="s">
        <v>319</v>
      </c>
      <c r="B631" t="s">
        <v>318</v>
      </c>
      <c r="C631">
        <v>292</v>
      </c>
      <c r="D631">
        <v>4099.2800000000007</v>
      </c>
      <c r="E631">
        <v>0</v>
      </c>
      <c r="F631">
        <v>0</v>
      </c>
      <c r="G631">
        <v>292</v>
      </c>
      <c r="H631">
        <v>4099.2800000000007</v>
      </c>
      <c r="I631">
        <v>4</v>
      </c>
      <c r="J631">
        <v>58.55</v>
      </c>
    </row>
    <row r="632" spans="1:10" x14ac:dyDescent="0.25">
      <c r="A632" t="s">
        <v>321</v>
      </c>
      <c r="B632" t="s">
        <v>320</v>
      </c>
      <c r="C632">
        <v>7</v>
      </c>
      <c r="D632">
        <v>131.05000000000001</v>
      </c>
      <c r="E632">
        <v>0</v>
      </c>
      <c r="F632">
        <v>0</v>
      </c>
      <c r="G632">
        <v>7</v>
      </c>
      <c r="H632">
        <v>131.05000000000001</v>
      </c>
      <c r="I632">
        <v>1</v>
      </c>
      <c r="J632">
        <v>23.1</v>
      </c>
    </row>
    <row r="633" spans="1:10" x14ac:dyDescent="0.25">
      <c r="A633" t="s">
        <v>323</v>
      </c>
      <c r="B633" t="s">
        <v>322</v>
      </c>
      <c r="C633">
        <v>4</v>
      </c>
      <c r="D633">
        <v>112.76</v>
      </c>
      <c r="E633">
        <v>0</v>
      </c>
      <c r="F633">
        <v>0</v>
      </c>
      <c r="G633">
        <v>4</v>
      </c>
      <c r="H633">
        <v>112.76</v>
      </c>
      <c r="I633">
        <v>10</v>
      </c>
      <c r="J633">
        <v>333.09000000000003</v>
      </c>
    </row>
    <row r="634" spans="1:10" x14ac:dyDescent="0.25">
      <c r="A634" t="s">
        <v>325</v>
      </c>
      <c r="B634" t="s">
        <v>324</v>
      </c>
      <c r="C634">
        <v>106</v>
      </c>
      <c r="D634">
        <v>3110.6400000000003</v>
      </c>
      <c r="E634">
        <v>0</v>
      </c>
      <c r="F634">
        <v>0</v>
      </c>
      <c r="G634">
        <v>106</v>
      </c>
      <c r="H634">
        <v>3110.6400000000003</v>
      </c>
      <c r="I634">
        <v>175</v>
      </c>
      <c r="J634">
        <v>5047.88</v>
      </c>
    </row>
    <row r="635" spans="1:10" x14ac:dyDescent="0.25">
      <c r="A635" t="s">
        <v>327</v>
      </c>
      <c r="B635" t="s">
        <v>326</v>
      </c>
      <c r="C635">
        <v>3</v>
      </c>
      <c r="D635">
        <v>171.9</v>
      </c>
      <c r="E635">
        <v>0</v>
      </c>
      <c r="F635">
        <v>0</v>
      </c>
      <c r="G635">
        <v>3</v>
      </c>
      <c r="H635">
        <v>171.9</v>
      </c>
      <c r="I635">
        <v>0</v>
      </c>
      <c r="J635">
        <v>0</v>
      </c>
    </row>
    <row r="636" spans="1:10" x14ac:dyDescent="0.25">
      <c r="A636" t="s">
        <v>329</v>
      </c>
      <c r="B636" t="s">
        <v>328</v>
      </c>
      <c r="C636">
        <v>112</v>
      </c>
      <c r="D636">
        <v>1424.2199999999998</v>
      </c>
      <c r="E636">
        <v>0</v>
      </c>
      <c r="F636">
        <v>0</v>
      </c>
      <c r="G636">
        <v>112</v>
      </c>
      <c r="H636">
        <v>1424.2199999999998</v>
      </c>
      <c r="I636">
        <v>294</v>
      </c>
      <c r="J636">
        <v>3290.4599999999996</v>
      </c>
    </row>
    <row r="637" spans="1:10" x14ac:dyDescent="0.25">
      <c r="A637" t="s">
        <v>331</v>
      </c>
      <c r="B637" t="s">
        <v>330</v>
      </c>
      <c r="C637">
        <v>6</v>
      </c>
      <c r="D637">
        <v>132.08000000000001</v>
      </c>
      <c r="E637">
        <v>0</v>
      </c>
      <c r="F637">
        <v>0</v>
      </c>
      <c r="G637">
        <v>6</v>
      </c>
      <c r="H637">
        <v>132.08000000000001</v>
      </c>
      <c r="I637">
        <v>4</v>
      </c>
      <c r="J637">
        <v>97.56</v>
      </c>
    </row>
    <row r="638" spans="1:10" x14ac:dyDescent="0.25">
      <c r="A638" t="s">
        <v>720</v>
      </c>
      <c r="B638" t="s">
        <v>721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106.36</v>
      </c>
    </row>
    <row r="639" spans="1:10" x14ac:dyDescent="0.25">
      <c r="A639" t="s">
        <v>333</v>
      </c>
      <c r="B639" t="s">
        <v>332</v>
      </c>
      <c r="C639">
        <v>17</v>
      </c>
      <c r="D639">
        <v>1819.06</v>
      </c>
      <c r="E639">
        <v>1</v>
      </c>
      <c r="F639">
        <v>129</v>
      </c>
      <c r="G639">
        <v>18</v>
      </c>
      <c r="H639">
        <v>1948.06</v>
      </c>
      <c r="I639">
        <v>29</v>
      </c>
      <c r="J639">
        <v>2649.8999999999996</v>
      </c>
    </row>
    <row r="640" spans="1:10" x14ac:dyDescent="0.25">
      <c r="A640" t="s">
        <v>335</v>
      </c>
      <c r="B640" t="s">
        <v>334</v>
      </c>
      <c r="C640">
        <v>9</v>
      </c>
      <c r="D640">
        <v>740.31</v>
      </c>
      <c r="E640">
        <v>0</v>
      </c>
      <c r="F640">
        <v>0</v>
      </c>
      <c r="G640">
        <v>9</v>
      </c>
      <c r="H640">
        <v>740.31</v>
      </c>
      <c r="I640">
        <v>12</v>
      </c>
      <c r="J640">
        <v>895.92</v>
      </c>
    </row>
    <row r="641" spans="1:10" x14ac:dyDescent="0.25">
      <c r="A641" t="s">
        <v>337</v>
      </c>
      <c r="B641" t="s">
        <v>336</v>
      </c>
      <c r="C641">
        <v>1</v>
      </c>
      <c r="D641">
        <v>54.86</v>
      </c>
      <c r="E641">
        <v>0</v>
      </c>
      <c r="F641">
        <v>0</v>
      </c>
      <c r="G641">
        <v>1</v>
      </c>
      <c r="H641">
        <v>54.86</v>
      </c>
      <c r="I641">
        <v>1</v>
      </c>
      <c r="J641">
        <v>57.3</v>
      </c>
    </row>
    <row r="642" spans="1:10" x14ac:dyDescent="0.25">
      <c r="A642" t="s">
        <v>722</v>
      </c>
      <c r="B642" t="s">
        <v>723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-2</v>
      </c>
      <c r="J642">
        <v>-33.44</v>
      </c>
    </row>
    <row r="643" spans="1:10" x14ac:dyDescent="0.25">
      <c r="A643" t="s">
        <v>339</v>
      </c>
      <c r="B643" t="s">
        <v>338</v>
      </c>
      <c r="C643">
        <v>45</v>
      </c>
      <c r="D643">
        <v>1054.26</v>
      </c>
      <c r="E643">
        <v>0</v>
      </c>
      <c r="F643">
        <v>0</v>
      </c>
      <c r="G643">
        <v>45</v>
      </c>
      <c r="H643">
        <v>1054.26</v>
      </c>
      <c r="I643">
        <v>229</v>
      </c>
      <c r="J643">
        <v>4659.1900000000005</v>
      </c>
    </row>
    <row r="644" spans="1:10" x14ac:dyDescent="0.25">
      <c r="A644" t="s">
        <v>341</v>
      </c>
      <c r="B644" t="s">
        <v>340</v>
      </c>
      <c r="C644">
        <v>18</v>
      </c>
      <c r="D644">
        <v>440.56</v>
      </c>
      <c r="E644">
        <v>0</v>
      </c>
      <c r="F644">
        <v>0</v>
      </c>
      <c r="G644">
        <v>18</v>
      </c>
      <c r="H644">
        <v>440.56</v>
      </c>
      <c r="I644">
        <v>50</v>
      </c>
      <c r="J644">
        <v>1222.3800000000001</v>
      </c>
    </row>
    <row r="645" spans="1:10" x14ac:dyDescent="0.25">
      <c r="A645" t="s">
        <v>724</v>
      </c>
      <c r="B645" t="s">
        <v>725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40.94</v>
      </c>
    </row>
    <row r="646" spans="1:10" x14ac:dyDescent="0.25">
      <c r="A646" t="s">
        <v>343</v>
      </c>
      <c r="B646" t="s">
        <v>342</v>
      </c>
      <c r="C646">
        <v>45</v>
      </c>
      <c r="D646">
        <v>836.69999999999982</v>
      </c>
      <c r="E646">
        <v>2</v>
      </c>
      <c r="F646">
        <v>70.210000000000008</v>
      </c>
      <c r="G646">
        <v>47</v>
      </c>
      <c r="H646">
        <v>906.90999999999985</v>
      </c>
      <c r="I646">
        <v>169</v>
      </c>
      <c r="J646">
        <v>2801.3500000000004</v>
      </c>
    </row>
    <row r="647" spans="1:10" x14ac:dyDescent="0.25">
      <c r="A647" t="s">
        <v>726</v>
      </c>
      <c r="B647" t="s">
        <v>727</v>
      </c>
      <c r="C647">
        <v>1</v>
      </c>
      <c r="D647">
        <v>138.52000000000001</v>
      </c>
      <c r="E647">
        <v>0</v>
      </c>
      <c r="F647">
        <v>0</v>
      </c>
      <c r="G647">
        <v>1</v>
      </c>
      <c r="H647">
        <v>138.52000000000001</v>
      </c>
      <c r="I647">
        <v>6</v>
      </c>
      <c r="J647">
        <v>732.79</v>
      </c>
    </row>
    <row r="648" spans="1:10" x14ac:dyDescent="0.25">
      <c r="A648" t="s">
        <v>728</v>
      </c>
      <c r="B648" t="s">
        <v>729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-1</v>
      </c>
      <c r="J648">
        <v>-4.0199999999999996</v>
      </c>
    </row>
    <row r="649" spans="1:10" x14ac:dyDescent="0.25">
      <c r="A649" t="s">
        <v>345</v>
      </c>
      <c r="B649" t="s">
        <v>344</v>
      </c>
      <c r="C649">
        <v>3</v>
      </c>
      <c r="D649">
        <v>148.54000000000002</v>
      </c>
      <c r="E649">
        <v>0</v>
      </c>
      <c r="F649">
        <v>0</v>
      </c>
      <c r="G649">
        <v>3</v>
      </c>
      <c r="H649">
        <v>148.54000000000002</v>
      </c>
      <c r="I649">
        <v>3</v>
      </c>
      <c r="J649">
        <v>168.62</v>
      </c>
    </row>
    <row r="650" spans="1:10" x14ac:dyDescent="0.25">
      <c r="A650" t="s">
        <v>347</v>
      </c>
      <c r="B650" t="s">
        <v>346</v>
      </c>
      <c r="C650">
        <v>52</v>
      </c>
      <c r="D650">
        <v>1165.0900000000001</v>
      </c>
      <c r="E650">
        <v>0</v>
      </c>
      <c r="F650">
        <v>0</v>
      </c>
      <c r="G650">
        <v>52</v>
      </c>
      <c r="H650">
        <v>1165.0900000000001</v>
      </c>
      <c r="I650">
        <v>24</v>
      </c>
      <c r="J650">
        <v>519.37</v>
      </c>
    </row>
    <row r="651" spans="1:10" x14ac:dyDescent="0.25">
      <c r="A651" t="s">
        <v>349</v>
      </c>
      <c r="B651" t="s">
        <v>348</v>
      </c>
      <c r="C651">
        <v>1</v>
      </c>
      <c r="D651">
        <v>17.850000000000001</v>
      </c>
      <c r="E651">
        <v>0</v>
      </c>
      <c r="F651">
        <v>0</v>
      </c>
      <c r="G651">
        <v>1</v>
      </c>
      <c r="H651">
        <v>17.850000000000001</v>
      </c>
      <c r="I651">
        <v>0</v>
      </c>
      <c r="J651">
        <v>0</v>
      </c>
    </row>
    <row r="652" spans="1:10" x14ac:dyDescent="0.25">
      <c r="A652" t="s">
        <v>351</v>
      </c>
      <c r="B652" t="s">
        <v>350</v>
      </c>
      <c r="C652">
        <v>5</v>
      </c>
      <c r="D652">
        <v>76.66</v>
      </c>
      <c r="E652">
        <v>0</v>
      </c>
      <c r="F652">
        <v>0</v>
      </c>
      <c r="G652">
        <v>5</v>
      </c>
      <c r="H652">
        <v>76.66</v>
      </c>
      <c r="I652">
        <v>2</v>
      </c>
      <c r="J652">
        <v>47.05</v>
      </c>
    </row>
    <row r="653" spans="1:10" x14ac:dyDescent="0.25">
      <c r="A653" t="s">
        <v>355</v>
      </c>
      <c r="B653" t="s">
        <v>354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30.37</v>
      </c>
    </row>
    <row r="654" spans="1:10" x14ac:dyDescent="0.25">
      <c r="A654" t="s">
        <v>357</v>
      </c>
      <c r="B654" t="s">
        <v>356</v>
      </c>
      <c r="C654">
        <v>7</v>
      </c>
      <c r="D654">
        <v>629.92000000000007</v>
      </c>
      <c r="E654">
        <v>0</v>
      </c>
      <c r="F654">
        <v>0</v>
      </c>
      <c r="G654">
        <v>7</v>
      </c>
      <c r="H654">
        <v>629.92000000000007</v>
      </c>
      <c r="I654">
        <v>17</v>
      </c>
      <c r="J654">
        <v>1304.28</v>
      </c>
    </row>
    <row r="655" spans="1:10" x14ac:dyDescent="0.25">
      <c r="A655" t="s">
        <v>359</v>
      </c>
      <c r="B655" t="s">
        <v>358</v>
      </c>
      <c r="C655">
        <v>1</v>
      </c>
      <c r="D655">
        <v>35.42</v>
      </c>
      <c r="E655">
        <v>0</v>
      </c>
      <c r="F655">
        <v>0</v>
      </c>
      <c r="G655">
        <v>1</v>
      </c>
      <c r="H655">
        <v>35.42</v>
      </c>
      <c r="I655">
        <v>1</v>
      </c>
      <c r="J655">
        <v>21.3</v>
      </c>
    </row>
    <row r="656" spans="1:10" x14ac:dyDescent="0.25">
      <c r="A656" t="s">
        <v>361</v>
      </c>
      <c r="B656" t="s">
        <v>360</v>
      </c>
      <c r="C656">
        <v>60</v>
      </c>
      <c r="D656">
        <v>834.11</v>
      </c>
      <c r="E656">
        <v>5</v>
      </c>
      <c r="F656">
        <v>124.5</v>
      </c>
      <c r="G656">
        <v>65</v>
      </c>
      <c r="H656">
        <v>958.61</v>
      </c>
      <c r="I656">
        <v>118</v>
      </c>
      <c r="J656">
        <v>1511.35</v>
      </c>
    </row>
    <row r="657" spans="1:10" x14ac:dyDescent="0.25">
      <c r="A657" t="s">
        <v>363</v>
      </c>
      <c r="B657" t="s">
        <v>362</v>
      </c>
      <c r="C657">
        <v>4</v>
      </c>
      <c r="D657">
        <v>44.07</v>
      </c>
      <c r="E657">
        <v>0</v>
      </c>
      <c r="F657">
        <v>0</v>
      </c>
      <c r="G657">
        <v>4</v>
      </c>
      <c r="H657">
        <v>44.07</v>
      </c>
      <c r="I657">
        <v>2</v>
      </c>
      <c r="J657">
        <v>26.46</v>
      </c>
    </row>
    <row r="658" spans="1:10" x14ac:dyDescent="0.25">
      <c r="A658" t="s">
        <v>365</v>
      </c>
      <c r="B658" t="s">
        <v>364</v>
      </c>
      <c r="C658">
        <v>48</v>
      </c>
      <c r="D658">
        <v>1862.9</v>
      </c>
      <c r="E658">
        <v>0</v>
      </c>
      <c r="F658">
        <v>0</v>
      </c>
      <c r="G658">
        <v>48</v>
      </c>
      <c r="H658">
        <v>1862.9</v>
      </c>
      <c r="I658">
        <v>49</v>
      </c>
      <c r="J658">
        <v>1918.6699999999998</v>
      </c>
    </row>
    <row r="659" spans="1:10" x14ac:dyDescent="0.25">
      <c r="A659" t="s">
        <v>367</v>
      </c>
      <c r="B659" t="s">
        <v>366</v>
      </c>
      <c r="C659">
        <v>28</v>
      </c>
      <c r="D659">
        <v>730.8599999999999</v>
      </c>
      <c r="E659">
        <v>0</v>
      </c>
      <c r="F659">
        <v>0</v>
      </c>
      <c r="G659">
        <v>28</v>
      </c>
      <c r="H659">
        <v>730.8599999999999</v>
      </c>
      <c r="I659">
        <v>11</v>
      </c>
      <c r="J659">
        <v>268.58000000000004</v>
      </c>
    </row>
    <row r="660" spans="1:10" x14ac:dyDescent="0.25">
      <c r="A660" t="s">
        <v>369</v>
      </c>
      <c r="B660" t="s">
        <v>368</v>
      </c>
      <c r="C660">
        <v>206</v>
      </c>
      <c r="D660">
        <v>2229.1000000000004</v>
      </c>
      <c r="E660">
        <v>0</v>
      </c>
      <c r="F660">
        <v>0</v>
      </c>
      <c r="G660">
        <v>206</v>
      </c>
      <c r="H660">
        <v>2229.1000000000004</v>
      </c>
      <c r="I660">
        <v>1439</v>
      </c>
      <c r="J660">
        <v>11721.83</v>
      </c>
    </row>
    <row r="661" spans="1:10" x14ac:dyDescent="0.25">
      <c r="A661" t="s">
        <v>371</v>
      </c>
      <c r="B661" t="s">
        <v>370</v>
      </c>
      <c r="C661">
        <v>23</v>
      </c>
      <c r="D661">
        <v>737.21999999999991</v>
      </c>
      <c r="E661">
        <v>0</v>
      </c>
      <c r="F661">
        <v>0</v>
      </c>
      <c r="G661">
        <v>23</v>
      </c>
      <c r="H661">
        <v>737.21999999999991</v>
      </c>
      <c r="I661">
        <v>35</v>
      </c>
      <c r="J661">
        <v>1152.54</v>
      </c>
    </row>
    <row r="662" spans="1:10" x14ac:dyDescent="0.25">
      <c r="A662" t="s">
        <v>373</v>
      </c>
      <c r="B662" t="s">
        <v>372</v>
      </c>
      <c r="C662">
        <v>3</v>
      </c>
      <c r="D662">
        <v>151.02000000000001</v>
      </c>
      <c r="E662">
        <v>0</v>
      </c>
      <c r="F662">
        <v>0</v>
      </c>
      <c r="G662">
        <v>3</v>
      </c>
      <c r="H662">
        <v>151.02000000000001</v>
      </c>
      <c r="I662">
        <v>3</v>
      </c>
      <c r="J662">
        <v>145.07999999999998</v>
      </c>
    </row>
    <row r="663" spans="1:10" x14ac:dyDescent="0.25">
      <c r="A663" t="s">
        <v>730</v>
      </c>
      <c r="B663" t="s">
        <v>731</v>
      </c>
      <c r="C663">
        <v>1</v>
      </c>
      <c r="D663">
        <v>24.71</v>
      </c>
      <c r="E663">
        <v>0</v>
      </c>
      <c r="F663">
        <v>0</v>
      </c>
      <c r="G663">
        <v>1</v>
      </c>
      <c r="H663">
        <v>24.71</v>
      </c>
      <c r="I663">
        <v>1</v>
      </c>
      <c r="J663">
        <v>24.71</v>
      </c>
    </row>
    <row r="664" spans="1:10" x14ac:dyDescent="0.25">
      <c r="A664" t="s">
        <v>375</v>
      </c>
      <c r="B664" t="s">
        <v>374</v>
      </c>
      <c r="C664">
        <v>11</v>
      </c>
      <c r="D664">
        <v>208.55</v>
      </c>
      <c r="E664">
        <v>0</v>
      </c>
      <c r="F664">
        <v>0</v>
      </c>
      <c r="G664">
        <v>11</v>
      </c>
      <c r="H664">
        <v>208.55</v>
      </c>
      <c r="I664">
        <v>70</v>
      </c>
      <c r="J664">
        <v>1146.3100000000002</v>
      </c>
    </row>
    <row r="665" spans="1:10" x14ac:dyDescent="0.25">
      <c r="A665" t="s">
        <v>377</v>
      </c>
      <c r="B665" t="s">
        <v>376</v>
      </c>
      <c r="C665">
        <v>42</v>
      </c>
      <c r="D665">
        <v>790.84999999999991</v>
      </c>
      <c r="E665">
        <v>0</v>
      </c>
      <c r="F665">
        <v>0</v>
      </c>
      <c r="G665">
        <v>42</v>
      </c>
      <c r="H665">
        <v>790.84999999999991</v>
      </c>
      <c r="I665">
        <v>43</v>
      </c>
      <c r="J665">
        <v>716.76</v>
      </c>
    </row>
    <row r="666" spans="1:10" x14ac:dyDescent="0.25">
      <c r="A666" t="s">
        <v>379</v>
      </c>
      <c r="B666" t="s">
        <v>378</v>
      </c>
      <c r="C666">
        <v>32</v>
      </c>
      <c r="D666">
        <v>612.26</v>
      </c>
      <c r="E666">
        <v>29</v>
      </c>
      <c r="F666">
        <v>577.09999999999968</v>
      </c>
      <c r="G666">
        <v>61</v>
      </c>
      <c r="H666">
        <v>1189.3599999999997</v>
      </c>
      <c r="I666">
        <v>172</v>
      </c>
      <c r="J666">
        <v>2845.1800000000003</v>
      </c>
    </row>
    <row r="667" spans="1:10" x14ac:dyDescent="0.25">
      <c r="A667" t="s">
        <v>381</v>
      </c>
      <c r="B667" t="s">
        <v>380</v>
      </c>
      <c r="C667">
        <v>8</v>
      </c>
      <c r="D667">
        <v>306.90000000000003</v>
      </c>
      <c r="E667">
        <v>0</v>
      </c>
      <c r="F667">
        <v>0</v>
      </c>
      <c r="G667">
        <v>8</v>
      </c>
      <c r="H667">
        <v>306.90000000000003</v>
      </c>
      <c r="I667">
        <v>15</v>
      </c>
      <c r="J667">
        <v>618.15</v>
      </c>
    </row>
    <row r="668" spans="1:10" x14ac:dyDescent="0.25">
      <c r="A668" t="s">
        <v>383</v>
      </c>
      <c r="B668" t="s">
        <v>382</v>
      </c>
      <c r="C668">
        <v>4</v>
      </c>
      <c r="D668">
        <v>52.1</v>
      </c>
      <c r="E668">
        <v>0</v>
      </c>
      <c r="F668">
        <v>0</v>
      </c>
      <c r="G668">
        <v>4</v>
      </c>
      <c r="H668">
        <v>52.1</v>
      </c>
      <c r="I668">
        <v>6</v>
      </c>
      <c r="J668">
        <v>97.97</v>
      </c>
    </row>
    <row r="669" spans="1:10" x14ac:dyDescent="0.25">
      <c r="A669" t="s">
        <v>385</v>
      </c>
      <c r="B669" t="s">
        <v>384</v>
      </c>
      <c r="C669">
        <v>105</v>
      </c>
      <c r="D669">
        <v>1667.9</v>
      </c>
      <c r="E669">
        <v>9</v>
      </c>
      <c r="F669">
        <v>201.10000000000002</v>
      </c>
      <c r="G669">
        <v>114</v>
      </c>
      <c r="H669">
        <v>1869</v>
      </c>
      <c r="I669">
        <v>48</v>
      </c>
      <c r="J669">
        <v>783.61000000000013</v>
      </c>
    </row>
    <row r="670" spans="1:10" x14ac:dyDescent="0.25">
      <c r="A670" t="s">
        <v>387</v>
      </c>
      <c r="B670" t="s">
        <v>386</v>
      </c>
      <c r="C670">
        <v>90</v>
      </c>
      <c r="D670">
        <v>4135.9699999999993</v>
      </c>
      <c r="E670">
        <v>0</v>
      </c>
      <c r="F670">
        <v>0</v>
      </c>
      <c r="G670">
        <v>90</v>
      </c>
      <c r="H670">
        <v>4135.9699999999993</v>
      </c>
      <c r="I670">
        <v>1</v>
      </c>
      <c r="J670">
        <v>41.24</v>
      </c>
    </row>
    <row r="671" spans="1:10" x14ac:dyDescent="0.25">
      <c r="A671" t="s">
        <v>389</v>
      </c>
      <c r="B671" t="s">
        <v>388</v>
      </c>
      <c r="C671">
        <v>13</v>
      </c>
      <c r="D671">
        <v>105.41</v>
      </c>
      <c r="E671">
        <v>0</v>
      </c>
      <c r="F671">
        <v>0</v>
      </c>
      <c r="G671">
        <v>13</v>
      </c>
      <c r="H671">
        <v>105.41</v>
      </c>
      <c r="I671">
        <v>35</v>
      </c>
      <c r="J671">
        <v>283.85000000000002</v>
      </c>
    </row>
    <row r="672" spans="1:10" x14ac:dyDescent="0.25">
      <c r="A672" t="s">
        <v>391</v>
      </c>
      <c r="B672" t="s">
        <v>390</v>
      </c>
      <c r="C672">
        <v>102</v>
      </c>
      <c r="D672">
        <v>8940.3100000000013</v>
      </c>
      <c r="E672">
        <v>0</v>
      </c>
      <c r="F672">
        <v>0</v>
      </c>
      <c r="G672">
        <v>102</v>
      </c>
      <c r="H672">
        <v>8940.3100000000013</v>
      </c>
      <c r="I672">
        <v>10</v>
      </c>
      <c r="J672">
        <v>928.28</v>
      </c>
    </row>
    <row r="673" spans="1:10" x14ac:dyDescent="0.25">
      <c r="A673" t="s">
        <v>393</v>
      </c>
      <c r="B673" t="s">
        <v>392</v>
      </c>
      <c r="C673">
        <v>9</v>
      </c>
      <c r="D673">
        <v>889.57</v>
      </c>
      <c r="E673">
        <v>0</v>
      </c>
      <c r="F673">
        <v>0</v>
      </c>
      <c r="G673">
        <v>9</v>
      </c>
      <c r="H673">
        <v>889.57</v>
      </c>
      <c r="I673">
        <v>33</v>
      </c>
      <c r="J673">
        <v>2711.31</v>
      </c>
    </row>
    <row r="674" spans="1:10" x14ac:dyDescent="0.25">
      <c r="A674" t="s">
        <v>395</v>
      </c>
      <c r="B674" t="s">
        <v>394</v>
      </c>
      <c r="C674">
        <v>271</v>
      </c>
      <c r="D674">
        <v>2936.77</v>
      </c>
      <c r="E674">
        <v>0</v>
      </c>
      <c r="F674">
        <v>0</v>
      </c>
      <c r="G674">
        <v>271</v>
      </c>
      <c r="H674">
        <v>2936.77</v>
      </c>
      <c r="I674">
        <v>473</v>
      </c>
      <c r="J674">
        <v>5059.38</v>
      </c>
    </row>
    <row r="675" spans="1:10" x14ac:dyDescent="0.25">
      <c r="A675" t="s">
        <v>399</v>
      </c>
      <c r="B675" t="s">
        <v>398</v>
      </c>
      <c r="C675">
        <v>5</v>
      </c>
      <c r="D675">
        <v>205.53</v>
      </c>
      <c r="E675">
        <v>0</v>
      </c>
      <c r="F675">
        <v>0</v>
      </c>
      <c r="G675">
        <v>5</v>
      </c>
      <c r="H675">
        <v>205.53</v>
      </c>
      <c r="I675">
        <v>7</v>
      </c>
      <c r="J675">
        <v>268.2</v>
      </c>
    </row>
    <row r="676" spans="1:10" x14ac:dyDescent="0.25">
      <c r="A676" t="s">
        <v>732</v>
      </c>
      <c r="B676" t="s">
        <v>733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t="s">
        <v>401</v>
      </c>
      <c r="B677" t="s">
        <v>400</v>
      </c>
      <c r="C677">
        <v>233</v>
      </c>
      <c r="D677">
        <v>3851.1400000000003</v>
      </c>
      <c r="E677">
        <v>0</v>
      </c>
      <c r="F677">
        <v>0</v>
      </c>
      <c r="G677">
        <v>233</v>
      </c>
      <c r="H677">
        <v>3851.1400000000003</v>
      </c>
      <c r="I677">
        <v>8</v>
      </c>
      <c r="J677">
        <v>133.18</v>
      </c>
    </row>
    <row r="678" spans="1:10" x14ac:dyDescent="0.25">
      <c r="A678" t="s">
        <v>403</v>
      </c>
      <c r="B678" t="s">
        <v>402</v>
      </c>
      <c r="C678">
        <v>8</v>
      </c>
      <c r="D678">
        <v>350.79</v>
      </c>
      <c r="E678">
        <v>0</v>
      </c>
      <c r="F678">
        <v>0</v>
      </c>
      <c r="G678">
        <v>8</v>
      </c>
      <c r="H678">
        <v>350.79</v>
      </c>
      <c r="I678">
        <v>8</v>
      </c>
      <c r="J678">
        <v>227.54</v>
      </c>
    </row>
    <row r="679" spans="1:10" x14ac:dyDescent="0.25">
      <c r="A679" t="s">
        <v>405</v>
      </c>
      <c r="B679" t="s">
        <v>404</v>
      </c>
      <c r="C679">
        <v>3</v>
      </c>
      <c r="D679">
        <v>439.05</v>
      </c>
      <c r="E679">
        <v>0</v>
      </c>
      <c r="F679">
        <v>0</v>
      </c>
      <c r="G679">
        <v>3</v>
      </c>
      <c r="H679">
        <v>439.05</v>
      </c>
      <c r="I679">
        <v>1</v>
      </c>
      <c r="J679">
        <v>141.35</v>
      </c>
    </row>
    <row r="680" spans="1:10" x14ac:dyDescent="0.25">
      <c r="A680" t="s">
        <v>407</v>
      </c>
      <c r="B680" t="s">
        <v>406</v>
      </c>
      <c r="C680">
        <v>451</v>
      </c>
      <c r="D680">
        <v>2245.75</v>
      </c>
      <c r="E680">
        <v>0</v>
      </c>
      <c r="F680">
        <v>0</v>
      </c>
      <c r="G680">
        <v>451</v>
      </c>
      <c r="H680">
        <v>2245.75</v>
      </c>
      <c r="I680">
        <v>522</v>
      </c>
      <c r="J680">
        <v>2235.87</v>
      </c>
    </row>
    <row r="681" spans="1:10" x14ac:dyDescent="0.25">
      <c r="A681" t="s">
        <v>409</v>
      </c>
      <c r="B681" t="s">
        <v>408</v>
      </c>
      <c r="C681">
        <v>155</v>
      </c>
      <c r="D681">
        <v>1014.5500000000001</v>
      </c>
      <c r="E681">
        <v>0</v>
      </c>
      <c r="F681">
        <v>0</v>
      </c>
      <c r="G681">
        <v>155</v>
      </c>
      <c r="H681">
        <v>1014.5500000000001</v>
      </c>
      <c r="I681">
        <v>9</v>
      </c>
      <c r="J681">
        <v>36.18</v>
      </c>
    </row>
    <row r="682" spans="1:10" x14ac:dyDescent="0.25">
      <c r="A682" t="s">
        <v>411</v>
      </c>
      <c r="B682" t="s">
        <v>410</v>
      </c>
      <c r="C682">
        <v>10</v>
      </c>
      <c r="D682">
        <v>47.53</v>
      </c>
      <c r="E682">
        <v>0</v>
      </c>
      <c r="F682">
        <v>0</v>
      </c>
      <c r="G682">
        <v>10</v>
      </c>
      <c r="H682">
        <v>47.53</v>
      </c>
      <c r="I682">
        <v>9</v>
      </c>
      <c r="J682">
        <v>62.35</v>
      </c>
    </row>
    <row r="683" spans="1:10" x14ac:dyDescent="0.25">
      <c r="A683" t="s">
        <v>413</v>
      </c>
      <c r="B683" t="s">
        <v>412</v>
      </c>
      <c r="C683">
        <v>3</v>
      </c>
      <c r="D683">
        <v>197.38</v>
      </c>
      <c r="E683">
        <v>0</v>
      </c>
      <c r="F683">
        <v>0</v>
      </c>
      <c r="G683">
        <v>3</v>
      </c>
      <c r="H683">
        <v>197.38</v>
      </c>
      <c r="I683">
        <v>0</v>
      </c>
      <c r="J683">
        <v>0</v>
      </c>
    </row>
    <row r="684" spans="1:10" x14ac:dyDescent="0.25">
      <c r="A684" t="s">
        <v>415</v>
      </c>
      <c r="B684" t="s">
        <v>414</v>
      </c>
      <c r="C684">
        <v>518</v>
      </c>
      <c r="D684">
        <v>6261.2000000000016</v>
      </c>
      <c r="E684">
        <v>0</v>
      </c>
      <c r="F684">
        <v>0</v>
      </c>
      <c r="G684">
        <v>518</v>
      </c>
      <c r="H684">
        <v>6261.2000000000016</v>
      </c>
      <c r="I684">
        <v>58</v>
      </c>
      <c r="J684">
        <v>623.59</v>
      </c>
    </row>
    <row r="685" spans="1:10" x14ac:dyDescent="0.25">
      <c r="A685" t="s">
        <v>417</v>
      </c>
      <c r="B685" t="s">
        <v>416</v>
      </c>
      <c r="C685">
        <v>15</v>
      </c>
      <c r="D685">
        <v>606.31999999999994</v>
      </c>
      <c r="E685">
        <v>0</v>
      </c>
      <c r="F685">
        <v>0</v>
      </c>
      <c r="G685">
        <v>15</v>
      </c>
      <c r="H685">
        <v>606.31999999999994</v>
      </c>
      <c r="I685">
        <v>2</v>
      </c>
      <c r="J685">
        <v>96.14</v>
      </c>
    </row>
    <row r="686" spans="1:10" x14ac:dyDescent="0.25">
      <c r="A686" t="s">
        <v>734</v>
      </c>
      <c r="B686" t="s">
        <v>735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43</v>
      </c>
      <c r="J686">
        <v>172.91</v>
      </c>
    </row>
    <row r="687" spans="1:10" x14ac:dyDescent="0.25">
      <c r="A687" t="s">
        <v>419</v>
      </c>
      <c r="B687" t="s">
        <v>418</v>
      </c>
      <c r="C687">
        <v>324</v>
      </c>
      <c r="D687">
        <v>2860.6299999999997</v>
      </c>
      <c r="E687">
        <v>0</v>
      </c>
      <c r="F687">
        <v>0</v>
      </c>
      <c r="G687">
        <v>324</v>
      </c>
      <c r="H687">
        <v>2860.6299999999997</v>
      </c>
      <c r="I687">
        <v>0</v>
      </c>
      <c r="J687">
        <v>0</v>
      </c>
    </row>
    <row r="688" spans="1:10" x14ac:dyDescent="0.25">
      <c r="A688" t="s">
        <v>421</v>
      </c>
      <c r="B688" t="s">
        <v>420</v>
      </c>
      <c r="C688">
        <v>29</v>
      </c>
      <c r="D688">
        <v>1185.9299999999998</v>
      </c>
      <c r="E688">
        <v>0</v>
      </c>
      <c r="F688">
        <v>0</v>
      </c>
      <c r="G688">
        <v>29</v>
      </c>
      <c r="H688">
        <v>1185.9299999999998</v>
      </c>
      <c r="I688">
        <v>0</v>
      </c>
      <c r="J688">
        <v>0</v>
      </c>
    </row>
    <row r="689" spans="1:10" x14ac:dyDescent="0.25">
      <c r="A689" t="s">
        <v>736</v>
      </c>
      <c r="B689" t="s">
        <v>737</v>
      </c>
      <c r="C689">
        <v>1</v>
      </c>
      <c r="D689">
        <v>32.9</v>
      </c>
      <c r="E689">
        <v>0</v>
      </c>
      <c r="F689">
        <v>0</v>
      </c>
      <c r="G689">
        <v>1</v>
      </c>
      <c r="H689">
        <v>32.9</v>
      </c>
      <c r="I689">
        <v>0</v>
      </c>
      <c r="J689">
        <v>0</v>
      </c>
    </row>
    <row r="690" spans="1:10" x14ac:dyDescent="0.25">
      <c r="A690" t="s">
        <v>423</v>
      </c>
      <c r="B690" t="s">
        <v>422</v>
      </c>
      <c r="C690">
        <v>56</v>
      </c>
      <c r="D690">
        <v>2239.54</v>
      </c>
      <c r="E690">
        <v>0</v>
      </c>
      <c r="F690">
        <v>0</v>
      </c>
      <c r="G690">
        <v>56</v>
      </c>
      <c r="H690">
        <v>2239.54</v>
      </c>
      <c r="I690">
        <v>0</v>
      </c>
      <c r="J690">
        <v>0</v>
      </c>
    </row>
    <row r="691" spans="1:10" x14ac:dyDescent="0.25">
      <c r="A691" t="s">
        <v>738</v>
      </c>
      <c r="B691" t="s">
        <v>739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 t="s">
        <v>425</v>
      </c>
      <c r="B692" t="s">
        <v>424</v>
      </c>
      <c r="C692">
        <v>2</v>
      </c>
      <c r="D692">
        <v>27.82</v>
      </c>
      <c r="E692">
        <v>0</v>
      </c>
      <c r="F692">
        <v>0</v>
      </c>
      <c r="G692">
        <v>2</v>
      </c>
      <c r="H692">
        <v>27.82</v>
      </c>
      <c r="I692">
        <v>0</v>
      </c>
      <c r="J692">
        <v>0</v>
      </c>
    </row>
    <row r="693" spans="1:10" x14ac:dyDescent="0.25">
      <c r="A693" t="s">
        <v>427</v>
      </c>
      <c r="B693" t="s">
        <v>426</v>
      </c>
      <c r="C693">
        <v>15</v>
      </c>
      <c r="D693">
        <v>394.82000000000005</v>
      </c>
      <c r="E693">
        <v>0</v>
      </c>
      <c r="F693">
        <v>0</v>
      </c>
      <c r="G693">
        <v>15</v>
      </c>
      <c r="H693">
        <v>394.82000000000005</v>
      </c>
      <c r="I693">
        <v>0</v>
      </c>
      <c r="J693">
        <v>0</v>
      </c>
    </row>
    <row r="694" spans="1:10" x14ac:dyDescent="0.25">
      <c r="A694" t="s">
        <v>431</v>
      </c>
      <c r="B694" t="s">
        <v>430</v>
      </c>
      <c r="C694">
        <v>4</v>
      </c>
      <c r="D694">
        <v>114.44</v>
      </c>
      <c r="E694">
        <v>0</v>
      </c>
      <c r="F694">
        <v>0</v>
      </c>
      <c r="G694">
        <v>4</v>
      </c>
      <c r="H694">
        <v>114.44</v>
      </c>
      <c r="I694">
        <v>0</v>
      </c>
      <c r="J694">
        <v>0</v>
      </c>
    </row>
    <row r="695" spans="1:10" x14ac:dyDescent="0.25">
      <c r="A695" t="s">
        <v>433</v>
      </c>
      <c r="B695" t="s">
        <v>432</v>
      </c>
      <c r="C695">
        <v>2</v>
      </c>
      <c r="D695">
        <v>52.59</v>
      </c>
      <c r="E695">
        <v>0</v>
      </c>
      <c r="F695">
        <v>0</v>
      </c>
      <c r="G695">
        <v>2</v>
      </c>
      <c r="H695">
        <v>52.59</v>
      </c>
      <c r="I695">
        <v>0</v>
      </c>
      <c r="J695">
        <v>0</v>
      </c>
    </row>
    <row r="696" spans="1:10" x14ac:dyDescent="0.25">
      <c r="A696" t="s">
        <v>437</v>
      </c>
      <c r="B696" t="s">
        <v>436</v>
      </c>
      <c r="C696">
        <v>6</v>
      </c>
      <c r="D696">
        <v>112.28999999999999</v>
      </c>
      <c r="E696">
        <v>0</v>
      </c>
      <c r="F696">
        <v>0</v>
      </c>
      <c r="G696">
        <v>6</v>
      </c>
      <c r="H696">
        <v>112.28999999999999</v>
      </c>
      <c r="I696">
        <v>0</v>
      </c>
      <c r="J696">
        <v>0</v>
      </c>
    </row>
    <row r="697" spans="1:10" x14ac:dyDescent="0.25">
      <c r="A697" t="s">
        <v>740</v>
      </c>
      <c r="B697" t="s">
        <v>741</v>
      </c>
      <c r="C697">
        <v>2</v>
      </c>
      <c r="D697">
        <v>248.52</v>
      </c>
      <c r="E697">
        <v>0</v>
      </c>
      <c r="F697">
        <v>0</v>
      </c>
      <c r="G697">
        <v>2</v>
      </c>
      <c r="H697">
        <v>248.52</v>
      </c>
      <c r="I697">
        <v>0</v>
      </c>
      <c r="J697">
        <v>0</v>
      </c>
    </row>
    <row r="698" spans="1:10" x14ac:dyDescent="0.25">
      <c r="A698" t="s">
        <v>439</v>
      </c>
      <c r="B698" t="s">
        <v>438</v>
      </c>
      <c r="C698">
        <v>1</v>
      </c>
      <c r="D698">
        <v>9.42</v>
      </c>
      <c r="E698">
        <v>0</v>
      </c>
      <c r="F698">
        <v>0</v>
      </c>
      <c r="G698">
        <v>1</v>
      </c>
      <c r="H698">
        <v>9.42</v>
      </c>
      <c r="I698">
        <v>0</v>
      </c>
      <c r="J698">
        <v>0</v>
      </c>
    </row>
    <row r="699" spans="1:10" x14ac:dyDescent="0.25">
      <c r="A699" t="s">
        <v>742</v>
      </c>
      <c r="B699" t="s">
        <v>743</v>
      </c>
      <c r="C699">
        <v>4</v>
      </c>
      <c r="D699">
        <v>394.93</v>
      </c>
      <c r="E699">
        <v>0</v>
      </c>
      <c r="F699">
        <v>0</v>
      </c>
      <c r="G699">
        <v>4</v>
      </c>
      <c r="H699">
        <v>394.93</v>
      </c>
      <c r="I699">
        <v>0</v>
      </c>
      <c r="J699">
        <v>0</v>
      </c>
    </row>
    <row r="700" spans="1:10" x14ac:dyDescent="0.25">
      <c r="A700" t="s">
        <v>441</v>
      </c>
      <c r="B700" t="s">
        <v>440</v>
      </c>
      <c r="C700">
        <v>11</v>
      </c>
      <c r="D700">
        <v>43.88</v>
      </c>
      <c r="E700">
        <v>0</v>
      </c>
      <c r="F700">
        <v>0</v>
      </c>
      <c r="G700">
        <v>11</v>
      </c>
      <c r="H700">
        <v>43.88</v>
      </c>
      <c r="I700">
        <v>0</v>
      </c>
      <c r="J700">
        <v>0</v>
      </c>
    </row>
    <row r="701" spans="1:10" x14ac:dyDescent="0.25">
      <c r="A701" t="s">
        <v>443</v>
      </c>
      <c r="B701" t="s">
        <v>442</v>
      </c>
      <c r="C701">
        <v>3</v>
      </c>
      <c r="D701">
        <v>327.74</v>
      </c>
      <c r="E701">
        <v>0</v>
      </c>
      <c r="F701">
        <v>0</v>
      </c>
      <c r="G701">
        <v>3</v>
      </c>
      <c r="H701">
        <v>327.74</v>
      </c>
      <c r="I701">
        <v>0</v>
      </c>
      <c r="J701">
        <v>0</v>
      </c>
    </row>
    <row r="702" spans="1:10" x14ac:dyDescent="0.25">
      <c r="A702" t="s">
        <v>445</v>
      </c>
      <c r="B702" t="s">
        <v>444</v>
      </c>
      <c r="C702">
        <v>223</v>
      </c>
      <c r="D702">
        <v>4458.79</v>
      </c>
      <c r="E702">
        <v>0</v>
      </c>
      <c r="F702">
        <v>0</v>
      </c>
      <c r="G702">
        <v>223</v>
      </c>
      <c r="H702">
        <v>4458.79</v>
      </c>
      <c r="I702">
        <v>0</v>
      </c>
      <c r="J702">
        <v>0</v>
      </c>
    </row>
    <row r="703" spans="1:10" x14ac:dyDescent="0.25">
      <c r="A703" t="s">
        <v>447</v>
      </c>
      <c r="B703" t="s">
        <v>446</v>
      </c>
      <c r="C703">
        <v>27</v>
      </c>
      <c r="D703">
        <v>141.77000000000001</v>
      </c>
      <c r="E703">
        <v>0</v>
      </c>
      <c r="F703">
        <v>0</v>
      </c>
      <c r="G703">
        <v>27</v>
      </c>
      <c r="H703">
        <v>141.77000000000001</v>
      </c>
      <c r="I703">
        <v>0</v>
      </c>
      <c r="J703">
        <v>0</v>
      </c>
    </row>
    <row r="704" spans="1:10" x14ac:dyDescent="0.25">
      <c r="A704" t="s">
        <v>449</v>
      </c>
      <c r="B704" t="s">
        <v>448</v>
      </c>
      <c r="C704">
        <v>1354</v>
      </c>
      <c r="D704">
        <v>9015.4900000000016</v>
      </c>
      <c r="E704">
        <v>0</v>
      </c>
      <c r="F704">
        <v>0</v>
      </c>
      <c r="G704">
        <v>1354</v>
      </c>
      <c r="H704">
        <v>9015.4900000000016</v>
      </c>
      <c r="I704">
        <v>0</v>
      </c>
      <c r="J704">
        <v>0</v>
      </c>
    </row>
    <row r="705" spans="1:10" x14ac:dyDescent="0.25">
      <c r="A705" t="s">
        <v>451</v>
      </c>
      <c r="B705" t="s">
        <v>450</v>
      </c>
      <c r="C705">
        <v>420</v>
      </c>
      <c r="D705">
        <v>2519.5199999999995</v>
      </c>
      <c r="E705">
        <v>0</v>
      </c>
      <c r="F705">
        <v>0</v>
      </c>
      <c r="G705">
        <v>420</v>
      </c>
      <c r="H705">
        <v>2519.5199999999995</v>
      </c>
      <c r="I705">
        <v>0</v>
      </c>
      <c r="J705">
        <v>0</v>
      </c>
    </row>
    <row r="706" spans="1:10" x14ac:dyDescent="0.25">
      <c r="A706" t="s">
        <v>453</v>
      </c>
      <c r="B706" t="s">
        <v>452</v>
      </c>
      <c r="C706">
        <v>327</v>
      </c>
      <c r="D706">
        <v>8420.6</v>
      </c>
      <c r="E706">
        <v>0</v>
      </c>
      <c r="F706">
        <v>0</v>
      </c>
      <c r="G706">
        <v>327</v>
      </c>
      <c r="H706">
        <v>8420.6</v>
      </c>
      <c r="I706">
        <v>0</v>
      </c>
      <c r="J706">
        <v>0</v>
      </c>
    </row>
    <row r="707" spans="1:10" x14ac:dyDescent="0.25">
      <c r="A707" t="s">
        <v>455</v>
      </c>
      <c r="B707" t="s">
        <v>454</v>
      </c>
      <c r="C707">
        <v>496</v>
      </c>
      <c r="D707">
        <v>7072.46</v>
      </c>
      <c r="E707">
        <v>0</v>
      </c>
      <c r="F707">
        <v>0</v>
      </c>
      <c r="G707">
        <v>496</v>
      </c>
      <c r="H707">
        <v>7072.46</v>
      </c>
      <c r="I707">
        <v>0</v>
      </c>
      <c r="J707">
        <v>0</v>
      </c>
    </row>
    <row r="708" spans="1:10" x14ac:dyDescent="0.25">
      <c r="A708" t="s">
        <v>457</v>
      </c>
      <c r="B708" t="s">
        <v>456</v>
      </c>
      <c r="C708">
        <v>5</v>
      </c>
      <c r="D708">
        <v>317.76</v>
      </c>
      <c r="E708">
        <v>0</v>
      </c>
      <c r="F708">
        <v>0</v>
      </c>
      <c r="G708">
        <v>5</v>
      </c>
      <c r="H708">
        <v>317.76</v>
      </c>
      <c r="I708">
        <v>0</v>
      </c>
      <c r="J708">
        <v>0</v>
      </c>
    </row>
    <row r="709" spans="1:10" x14ac:dyDescent="0.25">
      <c r="A709" t="s">
        <v>459</v>
      </c>
      <c r="B709" t="s">
        <v>458</v>
      </c>
      <c r="C709">
        <v>32</v>
      </c>
      <c r="D709">
        <v>1323.3799999999999</v>
      </c>
      <c r="E709">
        <v>0</v>
      </c>
      <c r="F709">
        <v>0</v>
      </c>
      <c r="G709">
        <v>32</v>
      </c>
      <c r="H709">
        <v>1323.3799999999999</v>
      </c>
      <c r="I709">
        <v>0</v>
      </c>
      <c r="J709">
        <v>0</v>
      </c>
    </row>
    <row r="710" spans="1:10" x14ac:dyDescent="0.25">
      <c r="A710" t="s">
        <v>744</v>
      </c>
      <c r="B710" t="s">
        <v>745</v>
      </c>
      <c r="C710">
        <v>4</v>
      </c>
      <c r="D710">
        <v>228.9</v>
      </c>
      <c r="E710">
        <v>0</v>
      </c>
      <c r="F710">
        <v>0</v>
      </c>
      <c r="G710">
        <v>4</v>
      </c>
      <c r="H710">
        <v>228.9</v>
      </c>
      <c r="I710">
        <v>0</v>
      </c>
      <c r="J710">
        <v>0</v>
      </c>
    </row>
    <row r="711" spans="1:10" x14ac:dyDescent="0.25">
      <c r="A711" t="s">
        <v>461</v>
      </c>
      <c r="B711" t="s">
        <v>460</v>
      </c>
      <c r="C711">
        <v>0</v>
      </c>
      <c r="D711">
        <v>0</v>
      </c>
      <c r="E711">
        <v>25</v>
      </c>
      <c r="F711">
        <v>537.5</v>
      </c>
      <c r="G711">
        <v>25</v>
      </c>
      <c r="H711">
        <v>537.5</v>
      </c>
      <c r="I711">
        <v>0</v>
      </c>
      <c r="J711">
        <v>0</v>
      </c>
    </row>
    <row r="712" spans="1:10" x14ac:dyDescent="0.25">
      <c r="A712" t="s">
        <v>463</v>
      </c>
      <c r="B712" t="s">
        <v>462</v>
      </c>
      <c r="C712">
        <v>93</v>
      </c>
      <c r="D712">
        <v>1635.53</v>
      </c>
      <c r="E712">
        <v>29</v>
      </c>
      <c r="F712">
        <v>682.09999999999968</v>
      </c>
      <c r="G712">
        <v>122</v>
      </c>
      <c r="H712">
        <v>2317.6299999999997</v>
      </c>
      <c r="I712">
        <v>0</v>
      </c>
      <c r="J712">
        <v>0</v>
      </c>
    </row>
    <row r="713" spans="1:10" x14ac:dyDescent="0.25">
      <c r="A713" t="s">
        <v>465</v>
      </c>
      <c r="B713" t="s">
        <v>464</v>
      </c>
      <c r="C713">
        <v>-3</v>
      </c>
      <c r="D713">
        <v>-48.93</v>
      </c>
      <c r="E713">
        <v>56</v>
      </c>
      <c r="F713">
        <v>1299.4000000000003</v>
      </c>
      <c r="G713">
        <v>53</v>
      </c>
      <c r="H713">
        <v>1250.4700000000003</v>
      </c>
      <c r="I713">
        <v>0</v>
      </c>
      <c r="J713">
        <v>0</v>
      </c>
    </row>
    <row r="714" spans="1:10" x14ac:dyDescent="0.25">
      <c r="A714" t="s">
        <v>467</v>
      </c>
      <c r="B714" t="s">
        <v>466</v>
      </c>
      <c r="C714">
        <v>152</v>
      </c>
      <c r="D714">
        <v>6360.8</v>
      </c>
      <c r="E714">
        <v>0</v>
      </c>
      <c r="F714">
        <v>0</v>
      </c>
      <c r="G714">
        <v>152</v>
      </c>
      <c r="H714">
        <v>6360.8</v>
      </c>
      <c r="I714">
        <v>0</v>
      </c>
      <c r="J714">
        <v>0</v>
      </c>
    </row>
    <row r="715" spans="1:10" x14ac:dyDescent="0.25">
      <c r="A715" t="s">
        <v>469</v>
      </c>
      <c r="B715" t="s">
        <v>468</v>
      </c>
      <c r="C715">
        <v>425</v>
      </c>
      <c r="D715">
        <v>10531.95</v>
      </c>
      <c r="E715">
        <v>0</v>
      </c>
      <c r="F715">
        <v>0</v>
      </c>
      <c r="G715">
        <v>425</v>
      </c>
      <c r="H715">
        <v>10531.95</v>
      </c>
      <c r="I715">
        <v>0</v>
      </c>
      <c r="J715">
        <v>0</v>
      </c>
    </row>
    <row r="717" spans="1:10" x14ac:dyDescent="0.25">
      <c r="A717" t="s">
        <v>11</v>
      </c>
      <c r="B717" t="s">
        <v>10</v>
      </c>
      <c r="C717">
        <v>1183</v>
      </c>
      <c r="D717">
        <v>16822.21</v>
      </c>
      <c r="E717">
        <v>0</v>
      </c>
      <c r="F717">
        <v>0</v>
      </c>
      <c r="G717">
        <v>1183</v>
      </c>
      <c r="H717">
        <v>16822.21</v>
      </c>
      <c r="I717">
        <v>287</v>
      </c>
      <c r="J717">
        <v>3732.24</v>
      </c>
    </row>
    <row r="718" spans="1:10" x14ac:dyDescent="0.25">
      <c r="A718" t="s">
        <v>13</v>
      </c>
      <c r="B718" t="s">
        <v>12</v>
      </c>
      <c r="C718">
        <v>1</v>
      </c>
      <c r="D718">
        <v>5.03</v>
      </c>
      <c r="E718">
        <v>0</v>
      </c>
      <c r="F718">
        <v>0</v>
      </c>
      <c r="G718">
        <v>1</v>
      </c>
      <c r="H718">
        <v>5.03</v>
      </c>
      <c r="I718">
        <v>4</v>
      </c>
      <c r="J718">
        <v>33.15</v>
      </c>
    </row>
    <row r="719" spans="1:10" x14ac:dyDescent="0.25">
      <c r="A719" t="s">
        <v>15</v>
      </c>
      <c r="B719" t="s">
        <v>14</v>
      </c>
      <c r="C719">
        <v>10</v>
      </c>
      <c r="D719">
        <v>127.35</v>
      </c>
      <c r="E719">
        <v>0</v>
      </c>
      <c r="F719">
        <v>0</v>
      </c>
      <c r="G719">
        <v>10</v>
      </c>
      <c r="H719">
        <v>127.35</v>
      </c>
      <c r="I719">
        <v>0</v>
      </c>
      <c r="J719">
        <v>0</v>
      </c>
    </row>
    <row r="720" spans="1:10" x14ac:dyDescent="0.25">
      <c r="A720" t="s">
        <v>17</v>
      </c>
      <c r="B720" t="s">
        <v>16</v>
      </c>
      <c r="C720">
        <v>1</v>
      </c>
      <c r="D720">
        <v>15.18</v>
      </c>
      <c r="E720">
        <v>0</v>
      </c>
      <c r="F720">
        <v>0</v>
      </c>
      <c r="G720">
        <v>1</v>
      </c>
      <c r="H720">
        <v>15.18</v>
      </c>
      <c r="I720">
        <v>2</v>
      </c>
      <c r="J720">
        <v>33.58</v>
      </c>
    </row>
    <row r="721" spans="1:10" x14ac:dyDescent="0.25">
      <c r="A721" t="s">
        <v>19</v>
      </c>
      <c r="B721" t="s">
        <v>18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5</v>
      </c>
      <c r="J721">
        <v>42.39</v>
      </c>
    </row>
    <row r="722" spans="1:10" x14ac:dyDescent="0.25">
      <c r="A722" t="s">
        <v>21</v>
      </c>
      <c r="B722" t="s">
        <v>20</v>
      </c>
      <c r="C722">
        <v>6</v>
      </c>
      <c r="D722">
        <v>147.9</v>
      </c>
      <c r="E722">
        <v>0</v>
      </c>
      <c r="F722">
        <v>0</v>
      </c>
      <c r="G722">
        <v>6</v>
      </c>
      <c r="H722">
        <v>147.9</v>
      </c>
      <c r="I722">
        <v>4</v>
      </c>
      <c r="J722">
        <v>95.58</v>
      </c>
    </row>
    <row r="723" spans="1:10" x14ac:dyDescent="0.25">
      <c r="A723" t="s">
        <v>23</v>
      </c>
      <c r="B723" t="s">
        <v>22</v>
      </c>
      <c r="C723">
        <v>275</v>
      </c>
      <c r="D723">
        <v>5023.29</v>
      </c>
      <c r="E723">
        <v>0</v>
      </c>
      <c r="F723">
        <v>0</v>
      </c>
      <c r="G723">
        <v>275</v>
      </c>
      <c r="H723">
        <v>5023.29</v>
      </c>
      <c r="I723">
        <v>58</v>
      </c>
      <c r="J723">
        <v>1197.1500000000001</v>
      </c>
    </row>
    <row r="724" spans="1:10" x14ac:dyDescent="0.25">
      <c r="A724" t="s">
        <v>25</v>
      </c>
      <c r="B724" t="s">
        <v>24</v>
      </c>
      <c r="C724">
        <v>1</v>
      </c>
      <c r="D724">
        <v>20.41</v>
      </c>
      <c r="E724">
        <v>49</v>
      </c>
      <c r="F724">
        <v>1612.100000000001</v>
      </c>
      <c r="G724">
        <v>50</v>
      </c>
      <c r="H724">
        <v>1632.5100000000011</v>
      </c>
      <c r="I724">
        <v>503</v>
      </c>
      <c r="J724">
        <v>10307.450000000001</v>
      </c>
    </row>
    <row r="725" spans="1:10" x14ac:dyDescent="0.25">
      <c r="A725" t="s">
        <v>27</v>
      </c>
      <c r="B725" t="s">
        <v>26</v>
      </c>
      <c r="C725">
        <v>1</v>
      </c>
      <c r="D725">
        <v>7.43</v>
      </c>
      <c r="E725">
        <v>0</v>
      </c>
      <c r="F725">
        <v>0</v>
      </c>
      <c r="G725">
        <v>1</v>
      </c>
      <c r="H725">
        <v>7.43</v>
      </c>
      <c r="I725">
        <v>0</v>
      </c>
      <c r="J725">
        <v>0</v>
      </c>
    </row>
    <row r="726" spans="1:10" x14ac:dyDescent="0.25">
      <c r="A726" t="s">
        <v>29</v>
      </c>
      <c r="B726" t="s">
        <v>28</v>
      </c>
      <c r="C726">
        <v>2</v>
      </c>
      <c r="D726">
        <v>12.96</v>
      </c>
      <c r="E726">
        <v>0</v>
      </c>
      <c r="F726">
        <v>0</v>
      </c>
      <c r="G726">
        <v>2</v>
      </c>
      <c r="H726">
        <v>12.96</v>
      </c>
      <c r="I726">
        <v>2</v>
      </c>
      <c r="J726">
        <v>7.5299999999999994</v>
      </c>
    </row>
    <row r="727" spans="1:10" x14ac:dyDescent="0.25">
      <c r="A727" t="s">
        <v>31</v>
      </c>
      <c r="B727" t="s">
        <v>30</v>
      </c>
      <c r="C727">
        <v>19</v>
      </c>
      <c r="D727">
        <v>686.19</v>
      </c>
      <c r="E727">
        <v>0</v>
      </c>
      <c r="F727">
        <v>0</v>
      </c>
      <c r="G727">
        <v>19</v>
      </c>
      <c r="H727">
        <v>686.19</v>
      </c>
      <c r="I727">
        <v>16</v>
      </c>
      <c r="J727">
        <v>590.39</v>
      </c>
    </row>
    <row r="728" spans="1:10" x14ac:dyDescent="0.25">
      <c r="A728" t="s">
        <v>33</v>
      </c>
      <c r="B728" t="s">
        <v>32</v>
      </c>
      <c r="C728">
        <v>15</v>
      </c>
      <c r="D728">
        <v>209.45</v>
      </c>
      <c r="E728">
        <v>137</v>
      </c>
      <c r="F728">
        <v>2722.7100000000064</v>
      </c>
      <c r="G728">
        <v>152</v>
      </c>
      <c r="H728">
        <v>2932.1600000000062</v>
      </c>
      <c r="I728">
        <v>448</v>
      </c>
      <c r="J728">
        <v>6892.94</v>
      </c>
    </row>
    <row r="729" spans="1:10" x14ac:dyDescent="0.25">
      <c r="A729" t="s">
        <v>35</v>
      </c>
      <c r="B729" t="s">
        <v>34</v>
      </c>
      <c r="C729">
        <v>1</v>
      </c>
      <c r="D729">
        <v>15.05</v>
      </c>
      <c r="E729">
        <v>0</v>
      </c>
      <c r="F729">
        <v>0</v>
      </c>
      <c r="G729">
        <v>1</v>
      </c>
      <c r="H729">
        <v>15.05</v>
      </c>
      <c r="I729">
        <v>0</v>
      </c>
      <c r="J729">
        <v>0</v>
      </c>
    </row>
    <row r="730" spans="1:10" x14ac:dyDescent="0.25">
      <c r="A730" t="s">
        <v>37</v>
      </c>
      <c r="B730" t="s">
        <v>36</v>
      </c>
      <c r="C730">
        <v>3</v>
      </c>
      <c r="D730">
        <v>17.190000000000001</v>
      </c>
      <c r="E730">
        <v>0</v>
      </c>
      <c r="F730">
        <v>0</v>
      </c>
      <c r="G730">
        <v>3</v>
      </c>
      <c r="H730">
        <v>17.190000000000001</v>
      </c>
      <c r="I730">
        <v>0</v>
      </c>
      <c r="J730">
        <v>0</v>
      </c>
    </row>
    <row r="731" spans="1:10" x14ac:dyDescent="0.25">
      <c r="A731" t="s">
        <v>39</v>
      </c>
      <c r="B731" t="s">
        <v>38</v>
      </c>
      <c r="C731">
        <v>1</v>
      </c>
      <c r="D731">
        <v>22.97</v>
      </c>
      <c r="E731">
        <v>1</v>
      </c>
      <c r="F731">
        <v>46.9</v>
      </c>
      <c r="G731">
        <v>2</v>
      </c>
      <c r="H731">
        <v>69.87</v>
      </c>
      <c r="I731">
        <v>8</v>
      </c>
      <c r="J731">
        <v>317.23</v>
      </c>
    </row>
    <row r="732" spans="1:10" x14ac:dyDescent="0.25">
      <c r="A732" t="s">
        <v>41</v>
      </c>
      <c r="B732" t="s">
        <v>40</v>
      </c>
      <c r="C732">
        <v>12</v>
      </c>
      <c r="D732">
        <v>1075.69</v>
      </c>
      <c r="E732">
        <v>0</v>
      </c>
      <c r="F732">
        <v>0</v>
      </c>
      <c r="G732">
        <v>12</v>
      </c>
      <c r="H732">
        <v>1075.69</v>
      </c>
      <c r="I732">
        <v>15</v>
      </c>
      <c r="J732">
        <v>1218.42</v>
      </c>
    </row>
    <row r="733" spans="1:10" x14ac:dyDescent="0.25">
      <c r="A733" t="s">
        <v>43</v>
      </c>
      <c r="B733" t="s">
        <v>42</v>
      </c>
      <c r="C733">
        <v>23</v>
      </c>
      <c r="D733">
        <v>410.8</v>
      </c>
      <c r="E733">
        <v>531</v>
      </c>
      <c r="F733">
        <v>10557.3399999999</v>
      </c>
      <c r="G733">
        <v>554</v>
      </c>
      <c r="H733">
        <v>10968.139999999899</v>
      </c>
      <c r="I733">
        <v>1369</v>
      </c>
      <c r="J733">
        <v>19434.440000000002</v>
      </c>
    </row>
    <row r="734" spans="1:10" x14ac:dyDescent="0.25">
      <c r="A734" t="s">
        <v>45</v>
      </c>
      <c r="B734" t="s">
        <v>44</v>
      </c>
      <c r="C734">
        <v>6</v>
      </c>
      <c r="D734">
        <v>36.93</v>
      </c>
      <c r="E734">
        <v>0</v>
      </c>
      <c r="F734">
        <v>0</v>
      </c>
      <c r="G734">
        <v>6</v>
      </c>
      <c r="H734">
        <v>36.93</v>
      </c>
      <c r="I734">
        <v>5</v>
      </c>
      <c r="J734">
        <v>28.78</v>
      </c>
    </row>
    <row r="735" spans="1:10" x14ac:dyDescent="0.25">
      <c r="A735" t="s">
        <v>47</v>
      </c>
      <c r="B735" t="s">
        <v>46</v>
      </c>
      <c r="C735">
        <v>9</v>
      </c>
      <c r="D735">
        <v>267.95999999999998</v>
      </c>
      <c r="E735">
        <v>166</v>
      </c>
      <c r="F735">
        <v>5967.0299999999879</v>
      </c>
      <c r="G735">
        <v>175</v>
      </c>
      <c r="H735">
        <v>6234.989999999988</v>
      </c>
      <c r="I735">
        <v>649</v>
      </c>
      <c r="J735">
        <v>20773.87</v>
      </c>
    </row>
    <row r="736" spans="1:10" x14ac:dyDescent="0.25">
      <c r="A736" t="s">
        <v>49</v>
      </c>
      <c r="B736" t="s">
        <v>48</v>
      </c>
      <c r="C736">
        <v>2</v>
      </c>
      <c r="D736">
        <v>27.28</v>
      </c>
      <c r="E736">
        <v>0</v>
      </c>
      <c r="F736">
        <v>0</v>
      </c>
      <c r="G736">
        <v>2</v>
      </c>
      <c r="H736">
        <v>27.28</v>
      </c>
      <c r="I736">
        <v>11</v>
      </c>
      <c r="J736">
        <v>126.91</v>
      </c>
    </row>
    <row r="737" spans="1:10" x14ac:dyDescent="0.25">
      <c r="A737" t="s">
        <v>51</v>
      </c>
      <c r="B737" t="s">
        <v>50</v>
      </c>
      <c r="C737">
        <v>4</v>
      </c>
      <c r="D737">
        <v>51.29</v>
      </c>
      <c r="E737">
        <v>0</v>
      </c>
      <c r="F737">
        <v>0</v>
      </c>
      <c r="G737">
        <v>4</v>
      </c>
      <c r="H737">
        <v>51.29</v>
      </c>
      <c r="I737">
        <v>7</v>
      </c>
      <c r="J737">
        <v>105</v>
      </c>
    </row>
    <row r="738" spans="1:10" x14ac:dyDescent="0.25">
      <c r="A738" t="s">
        <v>53</v>
      </c>
      <c r="B738" t="s">
        <v>52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t="s">
        <v>55</v>
      </c>
      <c r="B739" t="s">
        <v>54</v>
      </c>
      <c r="C739">
        <v>49</v>
      </c>
      <c r="D739">
        <v>1395.95</v>
      </c>
      <c r="E739">
        <v>1</v>
      </c>
      <c r="F739">
        <v>39.9</v>
      </c>
      <c r="G739">
        <v>50</v>
      </c>
      <c r="H739">
        <v>1435.8500000000001</v>
      </c>
      <c r="I739">
        <v>83</v>
      </c>
      <c r="J739">
        <v>2525.98</v>
      </c>
    </row>
    <row r="740" spans="1:10" x14ac:dyDescent="0.25">
      <c r="A740" t="s">
        <v>57</v>
      </c>
      <c r="B740" t="s">
        <v>56</v>
      </c>
      <c r="C740">
        <v>1</v>
      </c>
      <c r="D740">
        <v>31.06</v>
      </c>
      <c r="E740">
        <v>18</v>
      </c>
      <c r="F740">
        <v>918.1999999999997</v>
      </c>
      <c r="G740">
        <v>19</v>
      </c>
      <c r="H740">
        <v>949.25999999999965</v>
      </c>
      <c r="I740">
        <v>87</v>
      </c>
      <c r="J740">
        <v>3702.4500000000003</v>
      </c>
    </row>
    <row r="741" spans="1:10" x14ac:dyDescent="0.25">
      <c r="A741" t="s">
        <v>59</v>
      </c>
      <c r="B741" t="s">
        <v>58</v>
      </c>
      <c r="C741">
        <v>25</v>
      </c>
      <c r="D741">
        <v>1858.24</v>
      </c>
      <c r="E741">
        <v>0</v>
      </c>
      <c r="F741">
        <v>0</v>
      </c>
      <c r="G741">
        <v>25</v>
      </c>
      <c r="H741">
        <v>1858.24</v>
      </c>
      <c r="I741">
        <v>171</v>
      </c>
      <c r="J741">
        <v>11876.9</v>
      </c>
    </row>
    <row r="742" spans="1:10" x14ac:dyDescent="0.25">
      <c r="A742" t="s">
        <v>61</v>
      </c>
      <c r="B742" t="s">
        <v>60</v>
      </c>
      <c r="C742">
        <v>2</v>
      </c>
      <c r="D742">
        <v>40.82</v>
      </c>
      <c r="E742">
        <v>0</v>
      </c>
      <c r="F742">
        <v>0</v>
      </c>
      <c r="G742">
        <v>2</v>
      </c>
      <c r="H742">
        <v>40.82</v>
      </c>
      <c r="I742">
        <v>-2</v>
      </c>
      <c r="J742">
        <v>-33.5</v>
      </c>
    </row>
    <row r="743" spans="1:10" x14ac:dyDescent="0.25">
      <c r="A743" t="s">
        <v>63</v>
      </c>
      <c r="B743" t="s">
        <v>62</v>
      </c>
      <c r="C743">
        <v>5</v>
      </c>
      <c r="D743">
        <v>129.21</v>
      </c>
      <c r="E743">
        <v>0</v>
      </c>
      <c r="F743">
        <v>0</v>
      </c>
      <c r="G743">
        <v>5</v>
      </c>
      <c r="H743">
        <v>129.21</v>
      </c>
      <c r="I743">
        <v>20</v>
      </c>
      <c r="J743">
        <v>410.88</v>
      </c>
    </row>
    <row r="744" spans="1:10" x14ac:dyDescent="0.25">
      <c r="A744" t="s">
        <v>65</v>
      </c>
      <c r="B744" t="s">
        <v>64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 t="s">
        <v>67</v>
      </c>
      <c r="B745" t="s">
        <v>66</v>
      </c>
      <c r="C745">
        <v>7</v>
      </c>
      <c r="D745">
        <v>257.01</v>
      </c>
      <c r="E745">
        <v>0</v>
      </c>
      <c r="F745">
        <v>0</v>
      </c>
      <c r="G745">
        <v>7</v>
      </c>
      <c r="H745">
        <v>257.01</v>
      </c>
      <c r="I745">
        <v>10</v>
      </c>
      <c r="J745">
        <v>298.16999999999996</v>
      </c>
    </row>
    <row r="746" spans="1:10" x14ac:dyDescent="0.25">
      <c r="A746" t="s">
        <v>69</v>
      </c>
      <c r="B746" t="s">
        <v>68</v>
      </c>
      <c r="C746">
        <v>4</v>
      </c>
      <c r="D746">
        <v>156.28</v>
      </c>
      <c r="E746">
        <v>6</v>
      </c>
      <c r="F746">
        <v>232.20000000000002</v>
      </c>
      <c r="G746">
        <v>10</v>
      </c>
      <c r="H746">
        <v>388.48</v>
      </c>
      <c r="I746">
        <v>3</v>
      </c>
      <c r="J746">
        <v>91.12</v>
      </c>
    </row>
    <row r="747" spans="1:10" x14ac:dyDescent="0.25">
      <c r="A747" t="s">
        <v>71</v>
      </c>
      <c r="B747" t="s">
        <v>70</v>
      </c>
      <c r="C747">
        <v>6</v>
      </c>
      <c r="D747">
        <v>150.78</v>
      </c>
      <c r="E747">
        <v>0</v>
      </c>
      <c r="F747">
        <v>0</v>
      </c>
      <c r="G747">
        <v>6</v>
      </c>
      <c r="H747">
        <v>150.78</v>
      </c>
      <c r="I747">
        <v>8</v>
      </c>
      <c r="J747">
        <v>170.93</v>
      </c>
    </row>
    <row r="748" spans="1:10" x14ac:dyDescent="0.25">
      <c r="A748" t="s">
        <v>73</v>
      </c>
      <c r="B748" t="s">
        <v>72</v>
      </c>
      <c r="C748">
        <v>19</v>
      </c>
      <c r="D748">
        <v>922.48</v>
      </c>
      <c r="E748">
        <v>0</v>
      </c>
      <c r="F748">
        <v>0</v>
      </c>
      <c r="G748">
        <v>19</v>
      </c>
      <c r="H748">
        <v>922.48</v>
      </c>
      <c r="I748">
        <v>30</v>
      </c>
      <c r="J748">
        <v>1776.28</v>
      </c>
    </row>
    <row r="749" spans="1:10" x14ac:dyDescent="0.25">
      <c r="A749" t="s">
        <v>75</v>
      </c>
      <c r="B749" t="s">
        <v>74</v>
      </c>
      <c r="C749">
        <v>1</v>
      </c>
      <c r="D749">
        <v>19.59</v>
      </c>
      <c r="E749">
        <v>0</v>
      </c>
      <c r="F749">
        <v>0</v>
      </c>
      <c r="G749">
        <v>1</v>
      </c>
      <c r="H749">
        <v>19.59</v>
      </c>
      <c r="I749">
        <v>0</v>
      </c>
      <c r="J749">
        <v>0</v>
      </c>
    </row>
    <row r="750" spans="1:10" x14ac:dyDescent="0.25">
      <c r="A750" t="s">
        <v>77</v>
      </c>
      <c r="B750" t="s">
        <v>76</v>
      </c>
      <c r="C750">
        <v>170</v>
      </c>
      <c r="D750">
        <v>2082.7000000000003</v>
      </c>
      <c r="E750">
        <v>0</v>
      </c>
      <c r="F750">
        <v>0</v>
      </c>
      <c r="G750">
        <v>170</v>
      </c>
      <c r="H750">
        <v>2082.7000000000003</v>
      </c>
      <c r="I750">
        <v>107</v>
      </c>
      <c r="J750">
        <v>956.31000000000006</v>
      </c>
    </row>
    <row r="751" spans="1:10" x14ac:dyDescent="0.25">
      <c r="A751" t="s">
        <v>79</v>
      </c>
      <c r="B751" t="s">
        <v>78</v>
      </c>
      <c r="C751">
        <v>52</v>
      </c>
      <c r="D751">
        <v>763.70999999999992</v>
      </c>
      <c r="E751">
        <v>0</v>
      </c>
      <c r="F751">
        <v>0</v>
      </c>
      <c r="G751">
        <v>52</v>
      </c>
      <c r="H751">
        <v>763.70999999999992</v>
      </c>
      <c r="I751">
        <v>198</v>
      </c>
      <c r="J751">
        <v>2743.69</v>
      </c>
    </row>
    <row r="752" spans="1:10" x14ac:dyDescent="0.25">
      <c r="A752" t="s">
        <v>81</v>
      </c>
      <c r="B752" t="s">
        <v>80</v>
      </c>
      <c r="C752">
        <v>7</v>
      </c>
      <c r="D752">
        <v>325.84000000000003</v>
      </c>
      <c r="E752">
        <v>0</v>
      </c>
      <c r="F752">
        <v>0</v>
      </c>
      <c r="G752">
        <v>7</v>
      </c>
      <c r="H752">
        <v>325.84000000000003</v>
      </c>
      <c r="I752">
        <v>268</v>
      </c>
      <c r="J752">
        <v>8898.3900000000012</v>
      </c>
    </row>
    <row r="753" spans="1:10" x14ac:dyDescent="0.25">
      <c r="A753" t="s">
        <v>83</v>
      </c>
      <c r="B753" t="s">
        <v>82</v>
      </c>
      <c r="C753">
        <v>1</v>
      </c>
      <c r="D753">
        <v>117.41</v>
      </c>
      <c r="E753">
        <v>0</v>
      </c>
      <c r="F753">
        <v>0</v>
      </c>
      <c r="G753">
        <v>1</v>
      </c>
      <c r="H753">
        <v>117.41</v>
      </c>
      <c r="I753">
        <v>0</v>
      </c>
      <c r="J753">
        <v>0</v>
      </c>
    </row>
    <row r="754" spans="1:10" x14ac:dyDescent="0.25">
      <c r="A754" t="s">
        <v>85</v>
      </c>
      <c r="B754" t="s">
        <v>84</v>
      </c>
      <c r="C754">
        <v>46</v>
      </c>
      <c r="D754">
        <v>2537.23</v>
      </c>
      <c r="E754">
        <v>0</v>
      </c>
      <c r="F754">
        <v>0</v>
      </c>
      <c r="G754">
        <v>46</v>
      </c>
      <c r="H754">
        <v>2537.23</v>
      </c>
      <c r="I754">
        <v>36</v>
      </c>
      <c r="J754">
        <v>1791.2700000000002</v>
      </c>
    </row>
    <row r="755" spans="1:10" x14ac:dyDescent="0.25">
      <c r="A755" t="s">
        <v>87</v>
      </c>
      <c r="B755" t="s">
        <v>86</v>
      </c>
      <c r="C755">
        <v>32</v>
      </c>
      <c r="D755">
        <v>372.1</v>
      </c>
      <c r="E755">
        <v>1</v>
      </c>
      <c r="F755">
        <v>19.899999999999999</v>
      </c>
      <c r="G755">
        <v>33</v>
      </c>
      <c r="H755">
        <v>392</v>
      </c>
      <c r="I755">
        <v>56</v>
      </c>
      <c r="J755">
        <v>569.05999999999995</v>
      </c>
    </row>
    <row r="756" spans="1:10" x14ac:dyDescent="0.25">
      <c r="A756" t="s">
        <v>89</v>
      </c>
      <c r="B756" t="s">
        <v>88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 t="s">
        <v>91</v>
      </c>
      <c r="B757" t="s">
        <v>90</v>
      </c>
      <c r="C757">
        <v>9</v>
      </c>
      <c r="D757">
        <v>206.62</v>
      </c>
      <c r="E757">
        <v>0</v>
      </c>
      <c r="F757">
        <v>0</v>
      </c>
      <c r="G757">
        <v>9</v>
      </c>
      <c r="H757">
        <v>206.62</v>
      </c>
      <c r="I757">
        <v>1</v>
      </c>
      <c r="J757">
        <v>20.75</v>
      </c>
    </row>
    <row r="758" spans="1:10" x14ac:dyDescent="0.25">
      <c r="A758" t="s">
        <v>93</v>
      </c>
      <c r="B758" t="s">
        <v>92</v>
      </c>
      <c r="C758">
        <v>3</v>
      </c>
      <c r="D758">
        <v>14.35</v>
      </c>
      <c r="E758">
        <v>0</v>
      </c>
      <c r="F758">
        <v>0</v>
      </c>
      <c r="G758">
        <v>3</v>
      </c>
      <c r="H758">
        <v>14.35</v>
      </c>
      <c r="I758">
        <v>3</v>
      </c>
      <c r="J758">
        <v>13.57</v>
      </c>
    </row>
    <row r="759" spans="1:10" x14ac:dyDescent="0.25">
      <c r="A759" t="s">
        <v>95</v>
      </c>
      <c r="B759" t="s">
        <v>94</v>
      </c>
      <c r="C759">
        <v>1</v>
      </c>
      <c r="D759">
        <v>29.03</v>
      </c>
      <c r="E759">
        <v>0</v>
      </c>
      <c r="F759">
        <v>0</v>
      </c>
      <c r="G759">
        <v>1</v>
      </c>
      <c r="H759">
        <v>29.03</v>
      </c>
      <c r="I759">
        <v>1</v>
      </c>
      <c r="J759">
        <v>33.5</v>
      </c>
    </row>
    <row r="760" spans="1:10" x14ac:dyDescent="0.25">
      <c r="A760" t="s">
        <v>97</v>
      </c>
      <c r="B760" t="s">
        <v>96</v>
      </c>
      <c r="C760">
        <v>1</v>
      </c>
      <c r="D760">
        <v>55.62</v>
      </c>
      <c r="E760">
        <v>0</v>
      </c>
      <c r="F760">
        <v>0</v>
      </c>
      <c r="G760">
        <v>1</v>
      </c>
      <c r="H760">
        <v>55.62</v>
      </c>
      <c r="I760">
        <v>0</v>
      </c>
      <c r="J760">
        <v>0</v>
      </c>
    </row>
    <row r="761" spans="1:10" x14ac:dyDescent="0.25">
      <c r="A761" t="s">
        <v>99</v>
      </c>
      <c r="B761" t="s">
        <v>98</v>
      </c>
      <c r="C761">
        <v>1</v>
      </c>
      <c r="D761">
        <v>41.58</v>
      </c>
      <c r="E761">
        <v>0</v>
      </c>
      <c r="F761">
        <v>0</v>
      </c>
      <c r="G761">
        <v>1</v>
      </c>
      <c r="H761">
        <v>41.58</v>
      </c>
      <c r="I761">
        <v>5</v>
      </c>
      <c r="J761">
        <v>187.72</v>
      </c>
    </row>
    <row r="762" spans="1:10" x14ac:dyDescent="0.25">
      <c r="A762" t="s">
        <v>101</v>
      </c>
      <c r="B762" t="s">
        <v>100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23</v>
      </c>
      <c r="J762">
        <v>137.26</v>
      </c>
    </row>
    <row r="763" spans="1:10" x14ac:dyDescent="0.25">
      <c r="A763" t="s">
        <v>103</v>
      </c>
      <c r="B763" t="s">
        <v>102</v>
      </c>
      <c r="C763">
        <v>10</v>
      </c>
      <c r="D763">
        <v>253.92</v>
      </c>
      <c r="E763">
        <v>2</v>
      </c>
      <c r="F763">
        <v>59.8</v>
      </c>
      <c r="G763">
        <v>12</v>
      </c>
      <c r="H763">
        <v>313.71999999999997</v>
      </c>
      <c r="I763">
        <v>114</v>
      </c>
      <c r="J763">
        <v>2484.12</v>
      </c>
    </row>
    <row r="764" spans="1:10" x14ac:dyDescent="0.25">
      <c r="A764" t="s">
        <v>105</v>
      </c>
      <c r="B764" t="s">
        <v>104</v>
      </c>
      <c r="C764">
        <v>8</v>
      </c>
      <c r="D764">
        <v>196.7</v>
      </c>
      <c r="E764">
        <v>0</v>
      </c>
      <c r="F764">
        <v>0</v>
      </c>
      <c r="G764">
        <v>8</v>
      </c>
      <c r="H764">
        <v>196.7</v>
      </c>
      <c r="I764">
        <v>0</v>
      </c>
      <c r="J764">
        <v>0</v>
      </c>
    </row>
    <row r="765" spans="1:10" x14ac:dyDescent="0.25">
      <c r="A765" t="s">
        <v>107</v>
      </c>
      <c r="B765" t="s">
        <v>106</v>
      </c>
      <c r="C765">
        <v>4</v>
      </c>
      <c r="D765">
        <v>64.509999999999991</v>
      </c>
      <c r="E765">
        <v>0</v>
      </c>
      <c r="F765">
        <v>0</v>
      </c>
      <c r="G765">
        <v>4</v>
      </c>
      <c r="H765">
        <v>64.509999999999991</v>
      </c>
      <c r="I765">
        <v>1</v>
      </c>
      <c r="J765">
        <v>23.02</v>
      </c>
    </row>
    <row r="766" spans="1:10" x14ac:dyDescent="0.25">
      <c r="A766" t="s">
        <v>109</v>
      </c>
      <c r="B766" t="s">
        <v>108</v>
      </c>
      <c r="C766">
        <v>1</v>
      </c>
      <c r="D766">
        <v>91.6</v>
      </c>
      <c r="E766">
        <v>0</v>
      </c>
      <c r="F766">
        <v>0</v>
      </c>
      <c r="G766">
        <v>1</v>
      </c>
      <c r="H766">
        <v>91.6</v>
      </c>
      <c r="I766">
        <v>1</v>
      </c>
      <c r="J766">
        <v>74.92</v>
      </c>
    </row>
    <row r="767" spans="1:10" x14ac:dyDescent="0.25">
      <c r="A767" t="s">
        <v>111</v>
      </c>
      <c r="B767" t="s">
        <v>110</v>
      </c>
      <c r="C767">
        <v>203</v>
      </c>
      <c r="D767">
        <v>2645.87</v>
      </c>
      <c r="E767">
        <v>0</v>
      </c>
      <c r="F767">
        <v>0</v>
      </c>
      <c r="G767">
        <v>203</v>
      </c>
      <c r="H767">
        <v>2645.87</v>
      </c>
      <c r="I767">
        <v>234</v>
      </c>
      <c r="J767">
        <v>2906.02</v>
      </c>
    </row>
    <row r="768" spans="1:10" x14ac:dyDescent="0.25">
      <c r="A768" t="s">
        <v>113</v>
      </c>
      <c r="B768" t="s">
        <v>112</v>
      </c>
      <c r="C768">
        <v>1</v>
      </c>
      <c r="D768">
        <v>13.81</v>
      </c>
      <c r="E768">
        <v>0</v>
      </c>
      <c r="F768">
        <v>0</v>
      </c>
      <c r="G768">
        <v>1</v>
      </c>
      <c r="H768">
        <v>13.81</v>
      </c>
      <c r="I768">
        <v>1</v>
      </c>
      <c r="J768">
        <v>15.85</v>
      </c>
    </row>
    <row r="769" spans="1:10" x14ac:dyDescent="0.25">
      <c r="A769" t="s">
        <v>115</v>
      </c>
      <c r="B769" t="s">
        <v>114</v>
      </c>
      <c r="C769">
        <v>1</v>
      </c>
      <c r="D769">
        <v>33.25</v>
      </c>
      <c r="E769">
        <v>0</v>
      </c>
      <c r="F769">
        <v>0</v>
      </c>
      <c r="G769">
        <v>1</v>
      </c>
      <c r="H769">
        <v>33.25</v>
      </c>
      <c r="I769">
        <v>0</v>
      </c>
      <c r="J769">
        <v>0</v>
      </c>
    </row>
    <row r="770" spans="1:10" x14ac:dyDescent="0.25">
      <c r="A770" t="s">
        <v>117</v>
      </c>
      <c r="B770" t="s">
        <v>116</v>
      </c>
      <c r="C770">
        <v>1</v>
      </c>
      <c r="D770">
        <v>54.9</v>
      </c>
      <c r="E770">
        <v>0</v>
      </c>
      <c r="F770">
        <v>0</v>
      </c>
      <c r="G770">
        <v>1</v>
      </c>
      <c r="H770">
        <v>54.9</v>
      </c>
      <c r="I770">
        <v>2</v>
      </c>
      <c r="J770">
        <v>115.25</v>
      </c>
    </row>
    <row r="771" spans="1:10" x14ac:dyDescent="0.25">
      <c r="A771" t="s">
        <v>119</v>
      </c>
      <c r="B771" t="s">
        <v>118</v>
      </c>
      <c r="C771">
        <v>3</v>
      </c>
      <c r="D771">
        <v>72.88</v>
      </c>
      <c r="E771">
        <v>0</v>
      </c>
      <c r="F771">
        <v>0</v>
      </c>
      <c r="G771">
        <v>3</v>
      </c>
      <c r="H771">
        <v>72.88</v>
      </c>
      <c r="I771">
        <v>4</v>
      </c>
      <c r="J771">
        <v>71.599999999999994</v>
      </c>
    </row>
    <row r="772" spans="1:10" x14ac:dyDescent="0.25">
      <c r="A772" t="s">
        <v>121</v>
      </c>
      <c r="B772" t="s">
        <v>120</v>
      </c>
      <c r="C772">
        <v>1</v>
      </c>
      <c r="D772">
        <v>17.07</v>
      </c>
      <c r="E772">
        <v>0</v>
      </c>
      <c r="F772">
        <v>0</v>
      </c>
      <c r="G772">
        <v>1</v>
      </c>
      <c r="H772">
        <v>17.07</v>
      </c>
      <c r="I772">
        <v>0</v>
      </c>
      <c r="J772">
        <v>0</v>
      </c>
    </row>
    <row r="773" spans="1:10" x14ac:dyDescent="0.25">
      <c r="A773" t="s">
        <v>123</v>
      </c>
      <c r="B773" t="s">
        <v>122</v>
      </c>
      <c r="C773">
        <v>8</v>
      </c>
      <c r="D773">
        <v>198.65</v>
      </c>
      <c r="E773">
        <v>26</v>
      </c>
      <c r="F773">
        <v>1093.4899999999998</v>
      </c>
      <c r="G773">
        <v>34</v>
      </c>
      <c r="H773">
        <v>1292.1399999999999</v>
      </c>
      <c r="I773">
        <v>113</v>
      </c>
      <c r="J773">
        <v>2781.9700000000003</v>
      </c>
    </row>
    <row r="774" spans="1:10" x14ac:dyDescent="0.25">
      <c r="A774" t="s">
        <v>125</v>
      </c>
      <c r="B774" t="s">
        <v>124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672</v>
      </c>
      <c r="J774">
        <v>8325.42</v>
      </c>
    </row>
    <row r="775" spans="1:10" x14ac:dyDescent="0.25">
      <c r="A775" t="s">
        <v>127</v>
      </c>
      <c r="B775" t="s">
        <v>126</v>
      </c>
      <c r="C775">
        <v>172</v>
      </c>
      <c r="D775">
        <v>4167.01</v>
      </c>
      <c r="E775">
        <v>167</v>
      </c>
      <c r="F775">
        <v>4754.2999999999975</v>
      </c>
      <c r="G775">
        <v>339</v>
      </c>
      <c r="H775">
        <v>8921.3099999999977</v>
      </c>
      <c r="I775">
        <v>449</v>
      </c>
      <c r="J775">
        <v>10497.8</v>
      </c>
    </row>
    <row r="776" spans="1:10" x14ac:dyDescent="0.25">
      <c r="A776" t="s">
        <v>129</v>
      </c>
      <c r="B776" t="s">
        <v>128</v>
      </c>
      <c r="C776">
        <v>1</v>
      </c>
      <c r="D776">
        <v>157.5</v>
      </c>
      <c r="E776">
        <v>0</v>
      </c>
      <c r="F776">
        <v>0</v>
      </c>
      <c r="G776">
        <v>1</v>
      </c>
      <c r="H776">
        <v>157.5</v>
      </c>
      <c r="I776">
        <v>0</v>
      </c>
      <c r="J776">
        <v>0</v>
      </c>
    </row>
    <row r="777" spans="1:10" x14ac:dyDescent="0.25">
      <c r="A777" t="s">
        <v>131</v>
      </c>
      <c r="B777" t="s">
        <v>130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133</v>
      </c>
      <c r="B778" t="s">
        <v>132</v>
      </c>
      <c r="C778">
        <v>9</v>
      </c>
      <c r="D778">
        <v>384.04</v>
      </c>
      <c r="E778">
        <v>0</v>
      </c>
      <c r="F778">
        <v>0</v>
      </c>
      <c r="G778">
        <v>9</v>
      </c>
      <c r="H778">
        <v>384.04</v>
      </c>
      <c r="I778">
        <v>58</v>
      </c>
      <c r="J778">
        <v>2421.7799999999997</v>
      </c>
    </row>
    <row r="779" spans="1:10" x14ac:dyDescent="0.25">
      <c r="A779" t="s">
        <v>135</v>
      </c>
      <c r="B779" t="s">
        <v>134</v>
      </c>
      <c r="C779">
        <v>6</v>
      </c>
      <c r="D779">
        <v>165.58</v>
      </c>
      <c r="E779">
        <v>0</v>
      </c>
      <c r="F779">
        <v>0</v>
      </c>
      <c r="G779">
        <v>6</v>
      </c>
      <c r="H779">
        <v>165.58</v>
      </c>
      <c r="I779">
        <v>46</v>
      </c>
      <c r="J779">
        <v>1036.73</v>
      </c>
    </row>
    <row r="780" spans="1:10" x14ac:dyDescent="0.25">
      <c r="A780" t="s">
        <v>137</v>
      </c>
      <c r="B780" t="s">
        <v>136</v>
      </c>
      <c r="C780">
        <v>41</v>
      </c>
      <c r="D780">
        <v>2246.3200000000002</v>
      </c>
      <c r="E780">
        <v>0</v>
      </c>
      <c r="F780">
        <v>0</v>
      </c>
      <c r="G780">
        <v>41</v>
      </c>
      <c r="H780">
        <v>2246.3200000000002</v>
      </c>
      <c r="I780">
        <v>36</v>
      </c>
      <c r="J780">
        <v>2029.2</v>
      </c>
    </row>
    <row r="781" spans="1:10" x14ac:dyDescent="0.25">
      <c r="A781" t="s">
        <v>139</v>
      </c>
      <c r="B781" t="s">
        <v>138</v>
      </c>
      <c r="C781">
        <v>120</v>
      </c>
      <c r="D781">
        <v>1506.88</v>
      </c>
      <c r="E781">
        <v>163</v>
      </c>
      <c r="F781">
        <v>2468.7000000000071</v>
      </c>
      <c r="G781">
        <v>283</v>
      </c>
      <c r="H781">
        <v>3975.5800000000072</v>
      </c>
      <c r="I781">
        <v>2597</v>
      </c>
      <c r="J781">
        <v>31902.6</v>
      </c>
    </row>
    <row r="782" spans="1:10" x14ac:dyDescent="0.25">
      <c r="A782" t="s">
        <v>141</v>
      </c>
      <c r="B782" t="s">
        <v>140</v>
      </c>
      <c r="C782">
        <v>0</v>
      </c>
      <c r="D782">
        <v>0</v>
      </c>
      <c r="E782">
        <v>69</v>
      </c>
      <c r="F782">
        <v>4778.1000000000004</v>
      </c>
      <c r="G782">
        <v>69</v>
      </c>
      <c r="H782">
        <v>4778.1000000000004</v>
      </c>
      <c r="I782">
        <v>76</v>
      </c>
      <c r="J782">
        <v>4126.619999999999</v>
      </c>
    </row>
    <row r="783" spans="1:10" x14ac:dyDescent="0.25">
      <c r="A783" t="s">
        <v>143</v>
      </c>
      <c r="B783" t="s">
        <v>142</v>
      </c>
      <c r="C783">
        <v>1</v>
      </c>
      <c r="D783">
        <v>24.88</v>
      </c>
      <c r="E783">
        <v>73</v>
      </c>
      <c r="F783">
        <v>2201.9200000000028</v>
      </c>
      <c r="G783">
        <v>74</v>
      </c>
      <c r="H783">
        <v>2226.8000000000029</v>
      </c>
      <c r="I783">
        <v>477</v>
      </c>
      <c r="J783">
        <v>10184.490000000002</v>
      </c>
    </row>
    <row r="784" spans="1:10" x14ac:dyDescent="0.25">
      <c r="A784" t="s">
        <v>145</v>
      </c>
      <c r="B784" t="s">
        <v>144</v>
      </c>
      <c r="C784">
        <v>30</v>
      </c>
      <c r="D784">
        <v>726.79</v>
      </c>
      <c r="E784">
        <v>0</v>
      </c>
      <c r="F784">
        <v>0</v>
      </c>
      <c r="G784">
        <v>30</v>
      </c>
      <c r="H784">
        <v>726.79</v>
      </c>
      <c r="I784">
        <v>126</v>
      </c>
      <c r="J784">
        <v>3095.05</v>
      </c>
    </row>
    <row r="785" spans="1:10" x14ac:dyDescent="0.25">
      <c r="A785" t="s">
        <v>147</v>
      </c>
      <c r="B785" t="s">
        <v>146</v>
      </c>
      <c r="C785">
        <v>6</v>
      </c>
      <c r="D785">
        <v>31</v>
      </c>
      <c r="E785">
        <v>0</v>
      </c>
      <c r="F785">
        <v>0</v>
      </c>
      <c r="G785">
        <v>6</v>
      </c>
      <c r="H785">
        <v>31</v>
      </c>
      <c r="I785">
        <v>2</v>
      </c>
      <c r="J785">
        <v>13.18</v>
      </c>
    </row>
    <row r="786" spans="1:10" x14ac:dyDescent="0.25">
      <c r="A786" t="s">
        <v>149</v>
      </c>
      <c r="B786" t="s">
        <v>148</v>
      </c>
      <c r="C786">
        <v>1</v>
      </c>
      <c r="D786">
        <v>7.62</v>
      </c>
      <c r="E786">
        <v>0</v>
      </c>
      <c r="F786">
        <v>0</v>
      </c>
      <c r="G786">
        <v>1</v>
      </c>
      <c r="H786">
        <v>7.62</v>
      </c>
      <c r="I786">
        <v>153</v>
      </c>
      <c r="J786">
        <v>956.68</v>
      </c>
    </row>
    <row r="787" spans="1:10" x14ac:dyDescent="0.25">
      <c r="A787" t="s">
        <v>151</v>
      </c>
      <c r="B787" t="s">
        <v>150</v>
      </c>
      <c r="C787">
        <v>82</v>
      </c>
      <c r="D787">
        <v>542.86000000000013</v>
      </c>
      <c r="E787">
        <v>0</v>
      </c>
      <c r="F787">
        <v>0</v>
      </c>
      <c r="G787">
        <v>82</v>
      </c>
      <c r="H787">
        <v>542.86000000000013</v>
      </c>
      <c r="I787">
        <v>384</v>
      </c>
      <c r="J787">
        <v>1553.73</v>
      </c>
    </row>
    <row r="788" spans="1:10" x14ac:dyDescent="0.25">
      <c r="A788" t="s">
        <v>153</v>
      </c>
      <c r="B788" t="s">
        <v>152</v>
      </c>
      <c r="C788">
        <v>110</v>
      </c>
      <c r="D788">
        <v>709.19</v>
      </c>
      <c r="E788">
        <v>0</v>
      </c>
      <c r="F788">
        <v>0</v>
      </c>
      <c r="G788">
        <v>110</v>
      </c>
      <c r="H788">
        <v>709.19</v>
      </c>
      <c r="I788">
        <v>337</v>
      </c>
      <c r="J788">
        <v>1442.57</v>
      </c>
    </row>
    <row r="789" spans="1:10" x14ac:dyDescent="0.25">
      <c r="A789" t="s">
        <v>155</v>
      </c>
      <c r="B789" t="s">
        <v>154</v>
      </c>
      <c r="C789">
        <v>1</v>
      </c>
      <c r="D789">
        <v>5.98</v>
      </c>
      <c r="E789">
        <v>0</v>
      </c>
      <c r="F789">
        <v>0</v>
      </c>
      <c r="G789">
        <v>1</v>
      </c>
      <c r="H789">
        <v>5.98</v>
      </c>
      <c r="I789">
        <v>1</v>
      </c>
      <c r="J789">
        <v>8.11</v>
      </c>
    </row>
    <row r="790" spans="1:10" x14ac:dyDescent="0.25">
      <c r="A790" t="s">
        <v>157</v>
      </c>
      <c r="B790" t="s">
        <v>156</v>
      </c>
      <c r="C790">
        <v>8</v>
      </c>
      <c r="D790">
        <v>131.02999999999997</v>
      </c>
      <c r="E790">
        <v>0</v>
      </c>
      <c r="F790">
        <v>0</v>
      </c>
      <c r="G790">
        <v>8</v>
      </c>
      <c r="H790">
        <v>131.02999999999997</v>
      </c>
      <c r="I790">
        <v>0</v>
      </c>
      <c r="J790">
        <v>0</v>
      </c>
    </row>
    <row r="791" spans="1:10" x14ac:dyDescent="0.25">
      <c r="A791" t="s">
        <v>159</v>
      </c>
      <c r="B791" t="s">
        <v>158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 t="s">
        <v>161</v>
      </c>
      <c r="B792" t="s">
        <v>160</v>
      </c>
      <c r="C792">
        <v>65</v>
      </c>
      <c r="D792">
        <v>429.35999999999996</v>
      </c>
      <c r="E792">
        <v>0</v>
      </c>
      <c r="F792">
        <v>0</v>
      </c>
      <c r="G792">
        <v>65</v>
      </c>
      <c r="H792">
        <v>429.35999999999996</v>
      </c>
      <c r="I792">
        <v>106</v>
      </c>
      <c r="J792">
        <v>693.18999999999994</v>
      </c>
    </row>
    <row r="793" spans="1:10" x14ac:dyDescent="0.25">
      <c r="A793" t="s">
        <v>163</v>
      </c>
      <c r="B793" t="s">
        <v>162</v>
      </c>
      <c r="C793">
        <v>99</v>
      </c>
      <c r="D793">
        <v>1328.46</v>
      </c>
      <c r="E793">
        <v>0</v>
      </c>
      <c r="F793">
        <v>0</v>
      </c>
      <c r="G793">
        <v>99</v>
      </c>
      <c r="H793">
        <v>1328.46</v>
      </c>
      <c r="I793">
        <v>983</v>
      </c>
      <c r="J793">
        <v>12470.109999999999</v>
      </c>
    </row>
    <row r="794" spans="1:10" x14ac:dyDescent="0.25">
      <c r="A794" t="s">
        <v>165</v>
      </c>
      <c r="B794" t="s">
        <v>164</v>
      </c>
      <c r="C794">
        <v>18</v>
      </c>
      <c r="D794">
        <v>414.31</v>
      </c>
      <c r="E794">
        <v>0</v>
      </c>
      <c r="F794">
        <v>0</v>
      </c>
      <c r="G794">
        <v>18</v>
      </c>
      <c r="H794">
        <v>414.31</v>
      </c>
      <c r="I794">
        <v>0</v>
      </c>
      <c r="J794">
        <v>0</v>
      </c>
    </row>
    <row r="795" spans="1:10" x14ac:dyDescent="0.25">
      <c r="A795" t="s">
        <v>167</v>
      </c>
      <c r="B795" t="s">
        <v>166</v>
      </c>
      <c r="C795">
        <v>55</v>
      </c>
      <c r="D795">
        <v>269.98</v>
      </c>
      <c r="E795">
        <v>0</v>
      </c>
      <c r="F795">
        <v>0</v>
      </c>
      <c r="G795">
        <v>55</v>
      </c>
      <c r="H795">
        <v>269.98</v>
      </c>
      <c r="I795">
        <v>151</v>
      </c>
      <c r="J795">
        <v>737.45</v>
      </c>
    </row>
    <row r="796" spans="1:10" x14ac:dyDescent="0.25">
      <c r="A796" t="s">
        <v>169</v>
      </c>
      <c r="B796" t="s">
        <v>168</v>
      </c>
      <c r="C796">
        <v>4</v>
      </c>
      <c r="D796">
        <v>42.46</v>
      </c>
      <c r="E796">
        <v>0</v>
      </c>
      <c r="F796">
        <v>0</v>
      </c>
      <c r="G796">
        <v>4</v>
      </c>
      <c r="H796">
        <v>42.46</v>
      </c>
      <c r="I796">
        <v>19</v>
      </c>
      <c r="J796">
        <v>154.82</v>
      </c>
    </row>
    <row r="797" spans="1:10" x14ac:dyDescent="0.25">
      <c r="A797" t="s">
        <v>171</v>
      </c>
      <c r="B797" t="s">
        <v>170</v>
      </c>
      <c r="C797">
        <v>83</v>
      </c>
      <c r="D797">
        <v>1386.3000000000002</v>
      </c>
      <c r="E797">
        <v>4</v>
      </c>
      <c r="F797">
        <v>91.6</v>
      </c>
      <c r="G797">
        <v>87</v>
      </c>
      <c r="H797">
        <v>1477.9</v>
      </c>
      <c r="I797">
        <v>514</v>
      </c>
      <c r="J797">
        <v>7846.58</v>
      </c>
    </row>
    <row r="798" spans="1:10" x14ac:dyDescent="0.25">
      <c r="A798" t="s">
        <v>173</v>
      </c>
      <c r="B798" t="s">
        <v>172</v>
      </c>
      <c r="C798">
        <v>17</v>
      </c>
      <c r="D798">
        <v>336.87</v>
      </c>
      <c r="E798">
        <v>0</v>
      </c>
      <c r="F798">
        <v>0</v>
      </c>
      <c r="G798">
        <v>17</v>
      </c>
      <c r="H798">
        <v>336.87</v>
      </c>
      <c r="I798">
        <v>1</v>
      </c>
      <c r="J798">
        <v>25.69</v>
      </c>
    </row>
    <row r="799" spans="1:10" x14ac:dyDescent="0.25">
      <c r="A799" t="s">
        <v>175</v>
      </c>
      <c r="B799" t="s">
        <v>174</v>
      </c>
      <c r="C799">
        <v>4</v>
      </c>
      <c r="D799">
        <v>103.27</v>
      </c>
      <c r="E799">
        <v>0</v>
      </c>
      <c r="F799">
        <v>0</v>
      </c>
      <c r="G799">
        <v>4</v>
      </c>
      <c r="H799">
        <v>103.27</v>
      </c>
      <c r="I799">
        <v>0</v>
      </c>
      <c r="J799">
        <v>0</v>
      </c>
    </row>
    <row r="800" spans="1:10" x14ac:dyDescent="0.25">
      <c r="A800" t="s">
        <v>177</v>
      </c>
      <c r="B800" t="s">
        <v>176</v>
      </c>
      <c r="C800">
        <v>13</v>
      </c>
      <c r="D800">
        <v>685.82999999999993</v>
      </c>
      <c r="E800">
        <v>0</v>
      </c>
      <c r="F800">
        <v>0</v>
      </c>
      <c r="G800">
        <v>13</v>
      </c>
      <c r="H800">
        <v>685.82999999999993</v>
      </c>
      <c r="I800">
        <v>1</v>
      </c>
      <c r="J800">
        <v>51.7</v>
      </c>
    </row>
    <row r="801" spans="1:10" x14ac:dyDescent="0.25">
      <c r="A801" t="s">
        <v>179</v>
      </c>
      <c r="B801" t="s">
        <v>178</v>
      </c>
      <c r="C801">
        <v>5</v>
      </c>
      <c r="D801">
        <v>165.45</v>
      </c>
      <c r="E801">
        <v>0</v>
      </c>
      <c r="F801">
        <v>0</v>
      </c>
      <c r="G801">
        <v>5</v>
      </c>
      <c r="H801">
        <v>165.45</v>
      </c>
      <c r="I801">
        <v>1</v>
      </c>
      <c r="J801">
        <v>37.03</v>
      </c>
    </row>
    <row r="802" spans="1:10" x14ac:dyDescent="0.25">
      <c r="A802" t="s">
        <v>181</v>
      </c>
      <c r="B802" t="s">
        <v>180</v>
      </c>
      <c r="C802">
        <v>37</v>
      </c>
      <c r="D802">
        <v>452.17</v>
      </c>
      <c r="E802">
        <v>0</v>
      </c>
      <c r="F802">
        <v>0</v>
      </c>
      <c r="G802">
        <v>37</v>
      </c>
      <c r="H802">
        <v>452.17</v>
      </c>
      <c r="I802">
        <v>336</v>
      </c>
      <c r="J802">
        <v>3555.6600000000003</v>
      </c>
    </row>
    <row r="803" spans="1:10" x14ac:dyDescent="0.25">
      <c r="A803" t="s">
        <v>183</v>
      </c>
      <c r="B803" t="s">
        <v>182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28</v>
      </c>
      <c r="J803">
        <v>736.86</v>
      </c>
    </row>
    <row r="804" spans="1:10" x14ac:dyDescent="0.25">
      <c r="A804" t="s">
        <v>185</v>
      </c>
      <c r="B804" t="s">
        <v>184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931</v>
      </c>
      <c r="J804">
        <v>11587.15</v>
      </c>
    </row>
    <row r="805" spans="1:10" x14ac:dyDescent="0.25">
      <c r="A805" t="s">
        <v>187</v>
      </c>
      <c r="B805" t="s">
        <v>186</v>
      </c>
      <c r="C805">
        <v>10</v>
      </c>
      <c r="D805">
        <v>327.83000000000004</v>
      </c>
      <c r="E805">
        <v>0</v>
      </c>
      <c r="F805">
        <v>0</v>
      </c>
      <c r="G805">
        <v>10</v>
      </c>
      <c r="H805">
        <v>327.83000000000004</v>
      </c>
      <c r="I805">
        <v>17</v>
      </c>
      <c r="J805">
        <v>541.81999999999994</v>
      </c>
    </row>
    <row r="806" spans="1:10" x14ac:dyDescent="0.25">
      <c r="A806" t="s">
        <v>189</v>
      </c>
      <c r="B806" t="s">
        <v>188</v>
      </c>
      <c r="C806">
        <v>35</v>
      </c>
      <c r="D806">
        <v>465.99</v>
      </c>
      <c r="E806">
        <v>0</v>
      </c>
      <c r="F806">
        <v>0</v>
      </c>
      <c r="G806">
        <v>35</v>
      </c>
      <c r="H806">
        <v>465.99</v>
      </c>
      <c r="I806">
        <v>132</v>
      </c>
      <c r="J806">
        <v>1192.1499999999999</v>
      </c>
    </row>
    <row r="807" spans="1:10" x14ac:dyDescent="0.25">
      <c r="A807" t="s">
        <v>191</v>
      </c>
      <c r="B807" t="s">
        <v>190</v>
      </c>
      <c r="C807">
        <v>6</v>
      </c>
      <c r="D807">
        <v>133.04000000000002</v>
      </c>
      <c r="E807">
        <v>0</v>
      </c>
      <c r="F807">
        <v>0</v>
      </c>
      <c r="G807">
        <v>6</v>
      </c>
      <c r="H807">
        <v>133.04000000000002</v>
      </c>
      <c r="I807">
        <v>20</v>
      </c>
      <c r="J807">
        <v>352.08</v>
      </c>
    </row>
    <row r="808" spans="1:10" x14ac:dyDescent="0.25">
      <c r="A808" t="s">
        <v>193</v>
      </c>
      <c r="B808" t="s">
        <v>192</v>
      </c>
      <c r="C808">
        <v>2</v>
      </c>
      <c r="D808">
        <v>19.579999999999998</v>
      </c>
      <c r="E808">
        <v>0</v>
      </c>
      <c r="F808">
        <v>0</v>
      </c>
      <c r="G808">
        <v>2</v>
      </c>
      <c r="H808">
        <v>19.579999999999998</v>
      </c>
      <c r="I808">
        <v>1</v>
      </c>
      <c r="J808">
        <v>12.21</v>
      </c>
    </row>
    <row r="809" spans="1:10" x14ac:dyDescent="0.25">
      <c r="A809" t="s">
        <v>195</v>
      </c>
      <c r="B809" t="s">
        <v>194</v>
      </c>
      <c r="C809">
        <v>11</v>
      </c>
      <c r="D809">
        <v>229.16</v>
      </c>
      <c r="E809">
        <v>0</v>
      </c>
      <c r="F809">
        <v>0</v>
      </c>
      <c r="G809">
        <v>11</v>
      </c>
      <c r="H809">
        <v>229.16</v>
      </c>
      <c r="I809">
        <v>7</v>
      </c>
      <c r="J809">
        <v>159.74</v>
      </c>
    </row>
    <row r="810" spans="1:10" x14ac:dyDescent="0.25">
      <c r="A810" t="s">
        <v>197</v>
      </c>
      <c r="B810" t="s">
        <v>196</v>
      </c>
      <c r="C810">
        <v>1</v>
      </c>
      <c r="D810">
        <v>10.45</v>
      </c>
      <c r="E810">
        <v>0</v>
      </c>
      <c r="F810">
        <v>0</v>
      </c>
      <c r="G810">
        <v>1</v>
      </c>
      <c r="H810">
        <v>10.45</v>
      </c>
      <c r="I810">
        <v>12</v>
      </c>
      <c r="J810">
        <v>134.85</v>
      </c>
    </row>
    <row r="811" spans="1:10" x14ac:dyDescent="0.25">
      <c r="A811" t="s">
        <v>199</v>
      </c>
      <c r="B811" t="s">
        <v>198</v>
      </c>
      <c r="C811">
        <v>1</v>
      </c>
      <c r="D811">
        <v>74.430000000000007</v>
      </c>
      <c r="E811">
        <v>0</v>
      </c>
      <c r="F811">
        <v>0</v>
      </c>
      <c r="G811">
        <v>1</v>
      </c>
      <c r="H811">
        <v>74.430000000000007</v>
      </c>
      <c r="I811">
        <v>0</v>
      </c>
      <c r="J811">
        <v>0</v>
      </c>
    </row>
    <row r="812" spans="1:10" x14ac:dyDescent="0.25">
      <c r="A812" t="s">
        <v>201</v>
      </c>
      <c r="B812" t="s">
        <v>200</v>
      </c>
      <c r="C812">
        <v>65</v>
      </c>
      <c r="D812">
        <v>1892.39</v>
      </c>
      <c r="E812">
        <v>2</v>
      </c>
      <c r="F812">
        <v>69.8</v>
      </c>
      <c r="G812">
        <v>67</v>
      </c>
      <c r="H812">
        <v>1962.19</v>
      </c>
      <c r="I812">
        <v>107</v>
      </c>
      <c r="J812">
        <v>3117.19</v>
      </c>
    </row>
    <row r="813" spans="1:10" x14ac:dyDescent="0.25">
      <c r="A813" t="s">
        <v>203</v>
      </c>
      <c r="B813" t="s">
        <v>202</v>
      </c>
      <c r="C813">
        <v>2</v>
      </c>
      <c r="D813">
        <v>54.55</v>
      </c>
      <c r="E813">
        <v>0</v>
      </c>
      <c r="F813">
        <v>0</v>
      </c>
      <c r="G813">
        <v>2</v>
      </c>
      <c r="H813">
        <v>54.55</v>
      </c>
      <c r="I813">
        <v>11</v>
      </c>
      <c r="J813">
        <v>305.14999999999998</v>
      </c>
    </row>
    <row r="814" spans="1:10" x14ac:dyDescent="0.25">
      <c r="A814" t="s">
        <v>205</v>
      </c>
      <c r="B814" t="s">
        <v>204</v>
      </c>
      <c r="C814">
        <v>19</v>
      </c>
      <c r="D814">
        <v>152.1</v>
      </c>
      <c r="E814">
        <v>0</v>
      </c>
      <c r="F814">
        <v>0</v>
      </c>
      <c r="G814">
        <v>19</v>
      </c>
      <c r="H814">
        <v>152.1</v>
      </c>
      <c r="I814">
        <v>4</v>
      </c>
      <c r="J814">
        <v>64.099999999999994</v>
      </c>
    </row>
    <row r="815" spans="1:10" x14ac:dyDescent="0.25">
      <c r="A815" t="s">
        <v>207</v>
      </c>
      <c r="B815" t="s">
        <v>206</v>
      </c>
      <c r="C815">
        <v>80</v>
      </c>
      <c r="D815">
        <v>1377.6699999999998</v>
      </c>
      <c r="E815">
        <v>0</v>
      </c>
      <c r="F815">
        <v>0</v>
      </c>
      <c r="G815">
        <v>80</v>
      </c>
      <c r="H815">
        <v>1377.6699999999998</v>
      </c>
      <c r="I815">
        <v>168</v>
      </c>
      <c r="J815">
        <v>2981.7799999999997</v>
      </c>
    </row>
    <row r="816" spans="1:10" x14ac:dyDescent="0.25">
      <c r="A816" t="s">
        <v>209</v>
      </c>
      <c r="B816" t="s">
        <v>208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 t="s">
        <v>211</v>
      </c>
      <c r="B817" t="s">
        <v>210</v>
      </c>
      <c r="C817">
        <v>133</v>
      </c>
      <c r="D817">
        <v>2198.2800000000002</v>
      </c>
      <c r="E817">
        <v>27</v>
      </c>
      <c r="F817">
        <v>556.34999999999968</v>
      </c>
      <c r="G817">
        <v>160</v>
      </c>
      <c r="H817">
        <v>2754.63</v>
      </c>
      <c r="I817">
        <v>323</v>
      </c>
      <c r="J817">
        <v>5482.28</v>
      </c>
    </row>
    <row r="818" spans="1:10" x14ac:dyDescent="0.25">
      <c r="A818" t="s">
        <v>213</v>
      </c>
      <c r="B818" t="s">
        <v>212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2</v>
      </c>
      <c r="J818">
        <v>33.299999999999997</v>
      </c>
    </row>
    <row r="819" spans="1:10" x14ac:dyDescent="0.25">
      <c r="A819" t="s">
        <v>215</v>
      </c>
      <c r="B819" t="s">
        <v>214</v>
      </c>
      <c r="C819">
        <v>45</v>
      </c>
      <c r="D819">
        <v>749.53</v>
      </c>
      <c r="E819">
        <v>0</v>
      </c>
      <c r="F819">
        <v>0</v>
      </c>
      <c r="G819">
        <v>45</v>
      </c>
      <c r="H819">
        <v>749.53</v>
      </c>
      <c r="I819">
        <v>36</v>
      </c>
      <c r="J819">
        <v>623.65000000000009</v>
      </c>
    </row>
    <row r="820" spans="1:10" x14ac:dyDescent="0.25">
      <c r="A820" t="s">
        <v>217</v>
      </c>
      <c r="B820" t="s">
        <v>216</v>
      </c>
      <c r="C820">
        <v>311</v>
      </c>
      <c r="D820">
        <v>4353.78</v>
      </c>
      <c r="E820">
        <v>9</v>
      </c>
      <c r="F820">
        <v>197.10000000000002</v>
      </c>
      <c r="G820">
        <v>320</v>
      </c>
      <c r="H820">
        <v>4550.88</v>
      </c>
      <c r="I820">
        <v>450</v>
      </c>
      <c r="J820">
        <v>7174.82</v>
      </c>
    </row>
    <row r="821" spans="1:10" x14ac:dyDescent="0.25">
      <c r="A821" t="s">
        <v>219</v>
      </c>
      <c r="B821" t="s">
        <v>218</v>
      </c>
      <c r="C821">
        <v>29</v>
      </c>
      <c r="D821">
        <v>308.87</v>
      </c>
      <c r="E821">
        <v>0</v>
      </c>
      <c r="F821">
        <v>0</v>
      </c>
      <c r="G821">
        <v>29</v>
      </c>
      <c r="H821">
        <v>308.87</v>
      </c>
      <c r="I821">
        <v>87</v>
      </c>
      <c r="J821">
        <v>1268.21</v>
      </c>
    </row>
    <row r="822" spans="1:10" x14ac:dyDescent="0.25">
      <c r="A822" t="s">
        <v>221</v>
      </c>
      <c r="B822" t="s">
        <v>220</v>
      </c>
      <c r="C822">
        <v>2</v>
      </c>
      <c r="D822">
        <v>24.9</v>
      </c>
      <c r="E822">
        <v>0</v>
      </c>
      <c r="F822">
        <v>0</v>
      </c>
      <c r="G822">
        <v>2</v>
      </c>
      <c r="H822">
        <v>24.9</v>
      </c>
      <c r="I822">
        <v>8</v>
      </c>
      <c r="J822">
        <v>88.97999999999999</v>
      </c>
    </row>
    <row r="823" spans="1:10" x14ac:dyDescent="0.25">
      <c r="A823" t="s">
        <v>223</v>
      </c>
      <c r="B823" t="s">
        <v>222</v>
      </c>
      <c r="C823">
        <v>2</v>
      </c>
      <c r="D823">
        <v>21.14</v>
      </c>
      <c r="E823">
        <v>162</v>
      </c>
      <c r="F823">
        <v>2660.6200000000035</v>
      </c>
      <c r="G823">
        <v>164</v>
      </c>
      <c r="H823">
        <v>2681.7600000000034</v>
      </c>
      <c r="I823">
        <v>653</v>
      </c>
      <c r="J823">
        <v>5355.1</v>
      </c>
    </row>
    <row r="824" spans="1:10" x14ac:dyDescent="0.25">
      <c r="A824" t="s">
        <v>225</v>
      </c>
      <c r="B824" t="s">
        <v>224</v>
      </c>
      <c r="C824">
        <v>164</v>
      </c>
      <c r="D824">
        <v>1414.3200000000002</v>
      </c>
      <c r="E824">
        <v>0</v>
      </c>
      <c r="F824">
        <v>0</v>
      </c>
      <c r="G824">
        <v>164</v>
      </c>
      <c r="H824">
        <v>1414.3200000000002</v>
      </c>
      <c r="I824">
        <v>1074</v>
      </c>
      <c r="J824">
        <v>8021.42</v>
      </c>
    </row>
    <row r="825" spans="1:10" x14ac:dyDescent="0.25">
      <c r="A825" t="s">
        <v>227</v>
      </c>
      <c r="B825" t="s">
        <v>226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337</v>
      </c>
      <c r="J825">
        <v>2822.07</v>
      </c>
    </row>
    <row r="826" spans="1:10" x14ac:dyDescent="0.25">
      <c r="A826" t="s">
        <v>229</v>
      </c>
      <c r="B826" t="s">
        <v>228</v>
      </c>
      <c r="C826">
        <v>0</v>
      </c>
      <c r="D826">
        <v>0</v>
      </c>
      <c r="E826">
        <v>16</v>
      </c>
      <c r="F826">
        <v>648.39999999999986</v>
      </c>
      <c r="G826">
        <v>16</v>
      </c>
      <c r="H826">
        <v>648.39999999999986</v>
      </c>
      <c r="I826">
        <v>104</v>
      </c>
      <c r="J826">
        <v>2832.29</v>
      </c>
    </row>
    <row r="827" spans="1:10" x14ac:dyDescent="0.25">
      <c r="A827" t="s">
        <v>231</v>
      </c>
      <c r="B827" t="s">
        <v>230</v>
      </c>
      <c r="C827">
        <v>12</v>
      </c>
      <c r="D827">
        <v>509.98</v>
      </c>
      <c r="E827">
        <v>0</v>
      </c>
      <c r="F827">
        <v>0</v>
      </c>
      <c r="G827">
        <v>12</v>
      </c>
      <c r="H827">
        <v>509.98</v>
      </c>
      <c r="I827">
        <v>196</v>
      </c>
      <c r="J827">
        <v>8880.5199999999986</v>
      </c>
    </row>
    <row r="828" spans="1:10" x14ac:dyDescent="0.25">
      <c r="A828" t="s">
        <v>233</v>
      </c>
      <c r="B828" t="s">
        <v>232</v>
      </c>
      <c r="C828">
        <v>46</v>
      </c>
      <c r="D828">
        <v>2711.67</v>
      </c>
      <c r="E828">
        <v>0</v>
      </c>
      <c r="F828">
        <v>0</v>
      </c>
      <c r="G828">
        <v>46</v>
      </c>
      <c r="H828">
        <v>2711.67</v>
      </c>
      <c r="I828">
        <v>74</v>
      </c>
      <c r="J828">
        <v>3675.0099999999998</v>
      </c>
    </row>
    <row r="829" spans="1:10" x14ac:dyDescent="0.25">
      <c r="A829" t="s">
        <v>235</v>
      </c>
      <c r="B829" t="s">
        <v>234</v>
      </c>
      <c r="C829">
        <v>2</v>
      </c>
      <c r="D829">
        <v>9.82</v>
      </c>
      <c r="E829">
        <v>0</v>
      </c>
      <c r="F829">
        <v>0</v>
      </c>
      <c r="G829">
        <v>2</v>
      </c>
      <c r="H829">
        <v>9.82</v>
      </c>
      <c r="I829">
        <v>4</v>
      </c>
      <c r="J829">
        <v>16.079999999999998</v>
      </c>
    </row>
    <row r="830" spans="1:10" x14ac:dyDescent="0.25">
      <c r="A830" t="s">
        <v>237</v>
      </c>
      <c r="B830" t="s">
        <v>236</v>
      </c>
      <c r="C830">
        <v>7</v>
      </c>
      <c r="D830">
        <v>114.85</v>
      </c>
      <c r="E830">
        <v>0</v>
      </c>
      <c r="F830">
        <v>0</v>
      </c>
      <c r="G830">
        <v>7</v>
      </c>
      <c r="H830">
        <v>114.85</v>
      </c>
      <c r="I830">
        <v>2</v>
      </c>
      <c r="J830">
        <v>32.619999999999997</v>
      </c>
    </row>
    <row r="831" spans="1:10" x14ac:dyDescent="0.25">
      <c r="A831" t="s">
        <v>239</v>
      </c>
      <c r="B831" t="s">
        <v>238</v>
      </c>
      <c r="C831">
        <v>9</v>
      </c>
      <c r="D831">
        <v>527.06999999999994</v>
      </c>
      <c r="E831">
        <v>20</v>
      </c>
      <c r="F831">
        <v>1539.1</v>
      </c>
      <c r="G831">
        <v>29</v>
      </c>
      <c r="H831">
        <v>2066.17</v>
      </c>
      <c r="I831">
        <v>149</v>
      </c>
      <c r="J831">
        <v>10444.210000000001</v>
      </c>
    </row>
    <row r="832" spans="1:10" x14ac:dyDescent="0.25">
      <c r="A832" t="s">
        <v>241</v>
      </c>
      <c r="B832" t="s">
        <v>240</v>
      </c>
      <c r="C832">
        <v>5</v>
      </c>
      <c r="D832">
        <v>103.59</v>
      </c>
      <c r="E832">
        <v>0</v>
      </c>
      <c r="F832">
        <v>0</v>
      </c>
      <c r="G832">
        <v>5</v>
      </c>
      <c r="H832">
        <v>103.59</v>
      </c>
      <c r="I832">
        <v>14</v>
      </c>
      <c r="J832">
        <v>386.76999999999992</v>
      </c>
    </row>
    <row r="833" spans="1:10" x14ac:dyDescent="0.25">
      <c r="A833" t="s">
        <v>243</v>
      </c>
      <c r="B833" t="s">
        <v>242</v>
      </c>
      <c r="C833">
        <v>34</v>
      </c>
      <c r="D833">
        <v>389.38999999999993</v>
      </c>
      <c r="E833">
        <v>0</v>
      </c>
      <c r="F833">
        <v>0</v>
      </c>
      <c r="G833">
        <v>34</v>
      </c>
      <c r="H833">
        <v>389.38999999999993</v>
      </c>
      <c r="I833">
        <v>79</v>
      </c>
      <c r="J833">
        <v>965.70999999999992</v>
      </c>
    </row>
    <row r="834" spans="1:10" x14ac:dyDescent="0.25">
      <c r="A834" t="s">
        <v>245</v>
      </c>
      <c r="B834" t="s">
        <v>244</v>
      </c>
      <c r="C834">
        <v>1</v>
      </c>
      <c r="D834">
        <v>21.6</v>
      </c>
      <c r="E834">
        <v>0</v>
      </c>
      <c r="F834">
        <v>0</v>
      </c>
      <c r="G834">
        <v>1</v>
      </c>
      <c r="H834">
        <v>21.6</v>
      </c>
      <c r="I834">
        <v>21</v>
      </c>
      <c r="J834">
        <v>605.88</v>
      </c>
    </row>
    <row r="835" spans="1:10" x14ac:dyDescent="0.25">
      <c r="A835" t="s">
        <v>247</v>
      </c>
      <c r="B835" t="s">
        <v>246</v>
      </c>
      <c r="C835">
        <v>16</v>
      </c>
      <c r="D835">
        <v>360.32000000000005</v>
      </c>
      <c r="E835">
        <v>0</v>
      </c>
      <c r="F835">
        <v>0</v>
      </c>
      <c r="G835">
        <v>16</v>
      </c>
      <c r="H835">
        <v>360.32000000000005</v>
      </c>
      <c r="I835">
        <v>9</v>
      </c>
      <c r="J835">
        <v>220.59</v>
      </c>
    </row>
    <row r="836" spans="1:10" x14ac:dyDescent="0.25">
      <c r="A836" t="s">
        <v>249</v>
      </c>
      <c r="B836" t="s">
        <v>248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16</v>
      </c>
      <c r="J836">
        <v>158.46</v>
      </c>
    </row>
    <row r="837" spans="1:10" x14ac:dyDescent="0.25">
      <c r="A837" t="s">
        <v>251</v>
      </c>
      <c r="B837" t="s">
        <v>250</v>
      </c>
      <c r="C837">
        <v>11</v>
      </c>
      <c r="D837">
        <v>55.180000000000007</v>
      </c>
      <c r="E837">
        <v>0</v>
      </c>
      <c r="F837">
        <v>0</v>
      </c>
      <c r="G837">
        <v>11</v>
      </c>
      <c r="H837">
        <v>55.180000000000007</v>
      </c>
      <c r="I837">
        <v>19</v>
      </c>
      <c r="J837">
        <v>125.57</v>
      </c>
    </row>
    <row r="838" spans="1:10" x14ac:dyDescent="0.25">
      <c r="A838" t="s">
        <v>253</v>
      </c>
      <c r="B838" t="s">
        <v>252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31</v>
      </c>
      <c r="J838">
        <v>279.27</v>
      </c>
    </row>
    <row r="839" spans="1:10" x14ac:dyDescent="0.25">
      <c r="A839" t="s">
        <v>255</v>
      </c>
      <c r="B839" t="s">
        <v>254</v>
      </c>
      <c r="C839">
        <v>3</v>
      </c>
      <c r="D839">
        <v>135.37</v>
      </c>
      <c r="E839">
        <v>0</v>
      </c>
      <c r="F839">
        <v>0</v>
      </c>
      <c r="G839">
        <v>3</v>
      </c>
      <c r="H839">
        <v>135.37</v>
      </c>
      <c r="I839">
        <v>1</v>
      </c>
      <c r="J839">
        <v>44.44</v>
      </c>
    </row>
    <row r="840" spans="1:10" x14ac:dyDescent="0.25">
      <c r="A840" t="s">
        <v>257</v>
      </c>
      <c r="B840" t="s">
        <v>256</v>
      </c>
      <c r="C840">
        <v>3</v>
      </c>
      <c r="D840">
        <v>47.239999999999995</v>
      </c>
      <c r="E840">
        <v>0</v>
      </c>
      <c r="F840">
        <v>0</v>
      </c>
      <c r="G840">
        <v>3</v>
      </c>
      <c r="H840">
        <v>47.239999999999995</v>
      </c>
      <c r="I840">
        <v>10</v>
      </c>
      <c r="J840">
        <v>120.11</v>
      </c>
    </row>
    <row r="841" spans="1:10" x14ac:dyDescent="0.25">
      <c r="A841" t="s">
        <v>259</v>
      </c>
      <c r="B841" t="s">
        <v>258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 t="s">
        <v>261</v>
      </c>
      <c r="B842" t="s">
        <v>260</v>
      </c>
      <c r="C842">
        <v>8</v>
      </c>
      <c r="D842">
        <v>464.51</v>
      </c>
      <c r="E842">
        <v>0</v>
      </c>
      <c r="F842">
        <v>0</v>
      </c>
      <c r="G842">
        <v>8</v>
      </c>
      <c r="H842">
        <v>464.51</v>
      </c>
      <c r="I842">
        <v>0</v>
      </c>
      <c r="J842">
        <v>0</v>
      </c>
    </row>
    <row r="843" spans="1:10" x14ac:dyDescent="0.25">
      <c r="A843" t="s">
        <v>263</v>
      </c>
      <c r="B843" t="s">
        <v>262</v>
      </c>
      <c r="C843">
        <v>2</v>
      </c>
      <c r="D843">
        <v>35.200000000000003</v>
      </c>
      <c r="E843">
        <v>0</v>
      </c>
      <c r="F843">
        <v>0</v>
      </c>
      <c r="G843">
        <v>2</v>
      </c>
      <c r="H843">
        <v>35.200000000000003</v>
      </c>
      <c r="I843">
        <v>4</v>
      </c>
      <c r="J843">
        <v>45.769999999999996</v>
      </c>
    </row>
    <row r="844" spans="1:10" x14ac:dyDescent="0.25">
      <c r="A844" t="s">
        <v>265</v>
      </c>
      <c r="B844" t="s">
        <v>264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 t="s">
        <v>267</v>
      </c>
      <c r="B845" t="s">
        <v>266</v>
      </c>
      <c r="C845">
        <v>648</v>
      </c>
      <c r="D845">
        <v>6687.3600000000015</v>
      </c>
      <c r="E845">
        <v>0</v>
      </c>
      <c r="F845">
        <v>0</v>
      </c>
      <c r="G845">
        <v>648</v>
      </c>
      <c r="H845">
        <v>6687.3600000000015</v>
      </c>
      <c r="I845">
        <v>2490</v>
      </c>
      <c r="J845">
        <v>20695.780000000002</v>
      </c>
    </row>
    <row r="846" spans="1:10" x14ac:dyDescent="0.25">
      <c r="A846" t="s">
        <v>269</v>
      </c>
      <c r="B846" t="s">
        <v>268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9</v>
      </c>
      <c r="J846">
        <v>307.18</v>
      </c>
    </row>
    <row r="847" spans="1:10" x14ac:dyDescent="0.25">
      <c r="A847" t="s">
        <v>271</v>
      </c>
      <c r="B847" t="s">
        <v>270</v>
      </c>
      <c r="C847">
        <v>9</v>
      </c>
      <c r="D847">
        <v>536.88</v>
      </c>
      <c r="E847">
        <v>0</v>
      </c>
      <c r="F847">
        <v>0</v>
      </c>
      <c r="G847">
        <v>9</v>
      </c>
      <c r="H847">
        <v>536.88</v>
      </c>
      <c r="I847">
        <v>97</v>
      </c>
      <c r="J847">
        <v>6336.99</v>
      </c>
    </row>
    <row r="848" spans="1:10" x14ac:dyDescent="0.25">
      <c r="A848" t="s">
        <v>273</v>
      </c>
      <c r="B848" t="s">
        <v>272</v>
      </c>
      <c r="C848">
        <v>2</v>
      </c>
      <c r="D848">
        <v>28.38</v>
      </c>
      <c r="E848">
        <v>0</v>
      </c>
      <c r="F848">
        <v>0</v>
      </c>
      <c r="G848">
        <v>2</v>
      </c>
      <c r="H848">
        <v>28.38</v>
      </c>
      <c r="I848">
        <v>5</v>
      </c>
      <c r="J848">
        <v>81.83</v>
      </c>
    </row>
    <row r="849" spans="1:10" x14ac:dyDescent="0.25">
      <c r="A849" t="s">
        <v>275</v>
      </c>
      <c r="B849" t="s">
        <v>274</v>
      </c>
      <c r="C849">
        <v>3</v>
      </c>
      <c r="D849">
        <v>48.129999999999995</v>
      </c>
      <c r="E849">
        <v>0</v>
      </c>
      <c r="F849">
        <v>0</v>
      </c>
      <c r="G849">
        <v>3</v>
      </c>
      <c r="H849">
        <v>48.129999999999995</v>
      </c>
      <c r="I849">
        <v>11</v>
      </c>
      <c r="J849">
        <v>180.66000000000003</v>
      </c>
    </row>
    <row r="850" spans="1:10" x14ac:dyDescent="0.25">
      <c r="A850" t="s">
        <v>277</v>
      </c>
      <c r="B850" t="s">
        <v>276</v>
      </c>
      <c r="C850">
        <v>14</v>
      </c>
      <c r="D850">
        <v>154.4</v>
      </c>
      <c r="E850">
        <v>0</v>
      </c>
      <c r="F850">
        <v>0</v>
      </c>
      <c r="G850">
        <v>14</v>
      </c>
      <c r="H850">
        <v>154.4</v>
      </c>
      <c r="I850">
        <v>0</v>
      </c>
      <c r="J850">
        <v>0</v>
      </c>
    </row>
    <row r="851" spans="1:10" x14ac:dyDescent="0.25">
      <c r="A851" t="s">
        <v>279</v>
      </c>
      <c r="B851" t="s">
        <v>278</v>
      </c>
      <c r="C851">
        <v>9</v>
      </c>
      <c r="D851">
        <v>145.46</v>
      </c>
      <c r="E851">
        <v>0</v>
      </c>
      <c r="F851">
        <v>0</v>
      </c>
      <c r="G851">
        <v>9</v>
      </c>
      <c r="H851">
        <v>145.46</v>
      </c>
      <c r="I851">
        <v>1</v>
      </c>
      <c r="J851">
        <v>12.42</v>
      </c>
    </row>
    <row r="852" spans="1:10" x14ac:dyDescent="0.25">
      <c r="A852" t="s">
        <v>281</v>
      </c>
      <c r="B852" t="s">
        <v>280</v>
      </c>
      <c r="C852">
        <v>3</v>
      </c>
      <c r="D852">
        <v>18.72</v>
      </c>
      <c r="E852">
        <v>0</v>
      </c>
      <c r="F852">
        <v>0</v>
      </c>
      <c r="G852">
        <v>3</v>
      </c>
      <c r="H852">
        <v>18.72</v>
      </c>
      <c r="I852">
        <v>3</v>
      </c>
      <c r="J852">
        <v>24.75</v>
      </c>
    </row>
    <row r="853" spans="1:10" x14ac:dyDescent="0.25">
      <c r="A853" t="s">
        <v>283</v>
      </c>
      <c r="B853" t="s">
        <v>282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50</v>
      </c>
      <c r="J853">
        <v>369.54</v>
      </c>
    </row>
    <row r="854" spans="1:10" x14ac:dyDescent="0.25">
      <c r="A854" t="s">
        <v>285</v>
      </c>
      <c r="B854" t="s">
        <v>284</v>
      </c>
      <c r="C854">
        <v>42</v>
      </c>
      <c r="D854">
        <v>608.13</v>
      </c>
      <c r="E854">
        <v>0</v>
      </c>
      <c r="F854">
        <v>0</v>
      </c>
      <c r="G854">
        <v>42</v>
      </c>
      <c r="H854">
        <v>608.13</v>
      </c>
      <c r="I854">
        <v>77</v>
      </c>
      <c r="J854">
        <v>1157.01</v>
      </c>
    </row>
    <row r="855" spans="1:10" x14ac:dyDescent="0.25">
      <c r="A855" t="s">
        <v>287</v>
      </c>
      <c r="B855" t="s">
        <v>286</v>
      </c>
      <c r="C855">
        <v>4</v>
      </c>
      <c r="D855">
        <v>65.52</v>
      </c>
      <c r="E855">
        <v>0</v>
      </c>
      <c r="F855">
        <v>0</v>
      </c>
      <c r="G855">
        <v>4</v>
      </c>
      <c r="H855">
        <v>65.52</v>
      </c>
      <c r="I855">
        <v>576</v>
      </c>
      <c r="J855">
        <v>9142.880000000001</v>
      </c>
    </row>
    <row r="856" spans="1:10" x14ac:dyDescent="0.25">
      <c r="A856" t="s">
        <v>289</v>
      </c>
      <c r="B856" t="s">
        <v>288</v>
      </c>
      <c r="C856">
        <v>30</v>
      </c>
      <c r="D856">
        <v>418.83</v>
      </c>
      <c r="E856">
        <v>0</v>
      </c>
      <c r="F856">
        <v>0</v>
      </c>
      <c r="G856">
        <v>30</v>
      </c>
      <c r="H856">
        <v>418.83</v>
      </c>
      <c r="I856">
        <v>111</v>
      </c>
      <c r="J856">
        <v>1351.69</v>
      </c>
    </row>
    <row r="857" spans="1:10" x14ac:dyDescent="0.25">
      <c r="A857" t="s">
        <v>291</v>
      </c>
      <c r="B857" t="s">
        <v>290</v>
      </c>
      <c r="C857">
        <v>5</v>
      </c>
      <c r="D857">
        <v>112.74000000000001</v>
      </c>
      <c r="E857">
        <v>0</v>
      </c>
      <c r="F857">
        <v>0</v>
      </c>
      <c r="G857">
        <v>5</v>
      </c>
      <c r="H857">
        <v>112.74000000000001</v>
      </c>
      <c r="I857">
        <v>3</v>
      </c>
      <c r="J857">
        <v>74.550000000000011</v>
      </c>
    </row>
    <row r="858" spans="1:10" x14ac:dyDescent="0.25">
      <c r="A858" t="s">
        <v>293</v>
      </c>
      <c r="B858" t="s">
        <v>292</v>
      </c>
      <c r="C858">
        <v>343</v>
      </c>
      <c r="D858">
        <v>3486.6300000000006</v>
      </c>
      <c r="E858">
        <v>0</v>
      </c>
      <c r="F858">
        <v>0</v>
      </c>
      <c r="G858">
        <v>343</v>
      </c>
      <c r="H858">
        <v>3486.6300000000006</v>
      </c>
      <c r="I858">
        <v>3345</v>
      </c>
      <c r="J858">
        <v>27470.199999999997</v>
      </c>
    </row>
    <row r="859" spans="1:10" x14ac:dyDescent="0.25">
      <c r="A859" t="s">
        <v>295</v>
      </c>
      <c r="B859" t="s">
        <v>294</v>
      </c>
      <c r="C859">
        <v>29</v>
      </c>
      <c r="D859">
        <v>234.67000000000002</v>
      </c>
      <c r="E859">
        <v>0</v>
      </c>
      <c r="F859">
        <v>0</v>
      </c>
      <c r="G859">
        <v>29</v>
      </c>
      <c r="H859">
        <v>234.67000000000002</v>
      </c>
      <c r="I859">
        <v>59</v>
      </c>
      <c r="J859">
        <v>411.57</v>
      </c>
    </row>
    <row r="860" spans="1:10" x14ac:dyDescent="0.25">
      <c r="A860" t="s">
        <v>297</v>
      </c>
      <c r="B860" t="s">
        <v>296</v>
      </c>
      <c r="C860">
        <v>1</v>
      </c>
      <c r="D860">
        <v>9.51</v>
      </c>
      <c r="E860">
        <v>0</v>
      </c>
      <c r="F860">
        <v>0</v>
      </c>
      <c r="G860">
        <v>1</v>
      </c>
      <c r="H860">
        <v>9.51</v>
      </c>
      <c r="I860">
        <v>886</v>
      </c>
      <c r="J860">
        <v>11893.82</v>
      </c>
    </row>
    <row r="861" spans="1:10" x14ac:dyDescent="0.25">
      <c r="A861" t="s">
        <v>299</v>
      </c>
      <c r="B861" t="s">
        <v>298</v>
      </c>
      <c r="C861">
        <v>1</v>
      </c>
      <c r="D861">
        <v>16.45</v>
      </c>
      <c r="E861">
        <v>0</v>
      </c>
      <c r="F861">
        <v>0</v>
      </c>
      <c r="G861">
        <v>1</v>
      </c>
      <c r="H861">
        <v>16.45</v>
      </c>
      <c r="I861">
        <v>25</v>
      </c>
      <c r="J861">
        <v>271.59000000000003</v>
      </c>
    </row>
    <row r="862" spans="1:10" x14ac:dyDescent="0.25">
      <c r="A862" t="s">
        <v>301</v>
      </c>
      <c r="B862" t="s">
        <v>300</v>
      </c>
      <c r="C862">
        <v>678</v>
      </c>
      <c r="D862">
        <v>8596.59</v>
      </c>
      <c r="E862">
        <v>6</v>
      </c>
      <c r="F862">
        <v>91.4</v>
      </c>
      <c r="G862">
        <v>684</v>
      </c>
      <c r="H862">
        <v>8687.99</v>
      </c>
      <c r="I862">
        <v>3432</v>
      </c>
      <c r="J862">
        <v>40142.44</v>
      </c>
    </row>
    <row r="863" spans="1:10" x14ac:dyDescent="0.25">
      <c r="A863" t="s">
        <v>303</v>
      </c>
      <c r="B863" t="s">
        <v>302</v>
      </c>
      <c r="C863">
        <v>24</v>
      </c>
      <c r="D863">
        <v>276.97000000000003</v>
      </c>
      <c r="E863">
        <v>0</v>
      </c>
      <c r="F863">
        <v>0</v>
      </c>
      <c r="G863">
        <v>24</v>
      </c>
      <c r="H863">
        <v>276.97000000000003</v>
      </c>
      <c r="I863">
        <v>16</v>
      </c>
      <c r="J863">
        <v>153.32</v>
      </c>
    </row>
    <row r="864" spans="1:10" x14ac:dyDescent="0.25">
      <c r="A864" t="s">
        <v>305</v>
      </c>
      <c r="B864" t="s">
        <v>304</v>
      </c>
      <c r="C864">
        <v>1</v>
      </c>
      <c r="D864">
        <v>5.42</v>
      </c>
      <c r="E864">
        <v>0</v>
      </c>
      <c r="F864">
        <v>0</v>
      </c>
      <c r="G864">
        <v>1</v>
      </c>
      <c r="H864">
        <v>5.42</v>
      </c>
      <c r="I864">
        <v>0</v>
      </c>
      <c r="J864">
        <v>0</v>
      </c>
    </row>
    <row r="865" spans="1:10" x14ac:dyDescent="0.25">
      <c r="A865" t="s">
        <v>307</v>
      </c>
      <c r="B865" t="s">
        <v>306</v>
      </c>
      <c r="C865">
        <v>35</v>
      </c>
      <c r="D865">
        <v>428.14</v>
      </c>
      <c r="E865">
        <v>0</v>
      </c>
      <c r="F865">
        <v>0</v>
      </c>
      <c r="G865">
        <v>35</v>
      </c>
      <c r="H865">
        <v>428.14</v>
      </c>
      <c r="I865">
        <v>69</v>
      </c>
      <c r="J865">
        <v>767.14999999999986</v>
      </c>
    </row>
    <row r="866" spans="1:10" x14ac:dyDescent="0.25">
      <c r="A866" t="s">
        <v>309</v>
      </c>
      <c r="B866" t="s">
        <v>308</v>
      </c>
      <c r="C866">
        <v>2</v>
      </c>
      <c r="D866">
        <v>65.400000000000006</v>
      </c>
      <c r="E866">
        <v>0</v>
      </c>
      <c r="F866">
        <v>0</v>
      </c>
      <c r="G866">
        <v>2</v>
      </c>
      <c r="H866">
        <v>65.400000000000006</v>
      </c>
      <c r="I866">
        <v>9</v>
      </c>
      <c r="J866">
        <v>195.04</v>
      </c>
    </row>
    <row r="867" spans="1:10" x14ac:dyDescent="0.25">
      <c r="A867" t="s">
        <v>311</v>
      </c>
      <c r="B867" t="s">
        <v>310</v>
      </c>
      <c r="C867">
        <v>5</v>
      </c>
      <c r="D867">
        <v>150.29</v>
      </c>
      <c r="E867">
        <v>5</v>
      </c>
      <c r="F867">
        <v>189.5</v>
      </c>
      <c r="G867">
        <v>10</v>
      </c>
      <c r="H867">
        <v>339.78999999999996</v>
      </c>
      <c r="I867">
        <v>208</v>
      </c>
      <c r="J867">
        <v>6531.8099999999995</v>
      </c>
    </row>
    <row r="868" spans="1:10" x14ac:dyDescent="0.25">
      <c r="A868" t="s">
        <v>313</v>
      </c>
      <c r="B868" t="s">
        <v>312</v>
      </c>
      <c r="C868">
        <v>22</v>
      </c>
      <c r="D868">
        <v>1103.1299999999999</v>
      </c>
      <c r="E868">
        <v>0</v>
      </c>
      <c r="F868">
        <v>0</v>
      </c>
      <c r="G868">
        <v>22</v>
      </c>
      <c r="H868">
        <v>1103.1299999999999</v>
      </c>
      <c r="I868">
        <v>2</v>
      </c>
      <c r="J868">
        <v>107.2</v>
      </c>
    </row>
    <row r="869" spans="1:10" x14ac:dyDescent="0.25">
      <c r="A869" t="s">
        <v>315</v>
      </c>
      <c r="B869" t="s">
        <v>314</v>
      </c>
      <c r="C869">
        <v>21</v>
      </c>
      <c r="D869">
        <v>2.93</v>
      </c>
      <c r="E869">
        <v>0</v>
      </c>
      <c r="F869">
        <v>0</v>
      </c>
      <c r="G869">
        <v>21</v>
      </c>
      <c r="H869">
        <v>2.93</v>
      </c>
      <c r="I869">
        <v>1</v>
      </c>
      <c r="J869">
        <v>4.0199999999999996</v>
      </c>
    </row>
    <row r="870" spans="1:10" x14ac:dyDescent="0.25">
      <c r="A870" t="s">
        <v>317</v>
      </c>
      <c r="B870" t="s">
        <v>316</v>
      </c>
      <c r="C870">
        <v>5</v>
      </c>
      <c r="D870">
        <v>208.96</v>
      </c>
      <c r="E870">
        <v>0</v>
      </c>
      <c r="F870">
        <v>0</v>
      </c>
      <c r="G870">
        <v>5</v>
      </c>
      <c r="H870">
        <v>208.96</v>
      </c>
      <c r="I870">
        <v>64</v>
      </c>
      <c r="J870">
        <v>1788.4899999999998</v>
      </c>
    </row>
    <row r="871" spans="1:10" x14ac:dyDescent="0.25">
      <c r="A871" t="s">
        <v>319</v>
      </c>
      <c r="B871" t="s">
        <v>318</v>
      </c>
      <c r="C871">
        <v>243</v>
      </c>
      <c r="D871">
        <v>3443.5699999999997</v>
      </c>
      <c r="E871">
        <v>0</v>
      </c>
      <c r="F871">
        <v>0</v>
      </c>
      <c r="G871">
        <v>243</v>
      </c>
      <c r="H871">
        <v>3443.5699999999997</v>
      </c>
      <c r="I871">
        <v>12</v>
      </c>
      <c r="J871">
        <v>169.96</v>
      </c>
    </row>
    <row r="872" spans="1:10" x14ac:dyDescent="0.25">
      <c r="A872" t="s">
        <v>321</v>
      </c>
      <c r="B872" t="s">
        <v>320</v>
      </c>
      <c r="C872">
        <v>6</v>
      </c>
      <c r="D872">
        <v>91.74</v>
      </c>
      <c r="E872">
        <v>0</v>
      </c>
      <c r="F872">
        <v>0</v>
      </c>
      <c r="G872">
        <v>6</v>
      </c>
      <c r="H872">
        <v>91.74</v>
      </c>
      <c r="I872">
        <v>3</v>
      </c>
      <c r="J872">
        <v>65.8</v>
      </c>
    </row>
    <row r="873" spans="1:10" x14ac:dyDescent="0.25">
      <c r="A873" t="s">
        <v>323</v>
      </c>
      <c r="B873" t="s">
        <v>322</v>
      </c>
      <c r="C873">
        <v>9</v>
      </c>
      <c r="D873">
        <v>194.04</v>
      </c>
      <c r="E873">
        <v>0</v>
      </c>
      <c r="F873">
        <v>0</v>
      </c>
      <c r="G873">
        <v>9</v>
      </c>
      <c r="H873">
        <v>194.04</v>
      </c>
      <c r="I873">
        <v>10</v>
      </c>
      <c r="J873">
        <v>303.88</v>
      </c>
    </row>
    <row r="874" spans="1:10" x14ac:dyDescent="0.25">
      <c r="A874" t="s">
        <v>325</v>
      </c>
      <c r="B874" t="s">
        <v>324</v>
      </c>
      <c r="C874">
        <v>79</v>
      </c>
      <c r="D874">
        <v>2302.19</v>
      </c>
      <c r="E874">
        <v>0</v>
      </c>
      <c r="F874">
        <v>0</v>
      </c>
      <c r="G874">
        <v>79</v>
      </c>
      <c r="H874">
        <v>2302.19</v>
      </c>
      <c r="I874">
        <v>143</v>
      </c>
      <c r="J874">
        <v>4169.4299999999994</v>
      </c>
    </row>
    <row r="875" spans="1:10" x14ac:dyDescent="0.25">
      <c r="A875" t="s">
        <v>327</v>
      </c>
      <c r="B875" t="s">
        <v>326</v>
      </c>
      <c r="C875">
        <v>1</v>
      </c>
      <c r="D875">
        <v>61.57</v>
      </c>
      <c r="E875">
        <v>0</v>
      </c>
      <c r="F875">
        <v>0</v>
      </c>
      <c r="G875">
        <v>1</v>
      </c>
      <c r="H875">
        <v>61.57</v>
      </c>
      <c r="I875">
        <v>1</v>
      </c>
      <c r="J875">
        <v>60.04</v>
      </c>
    </row>
    <row r="876" spans="1:10" x14ac:dyDescent="0.25">
      <c r="A876" t="s">
        <v>329</v>
      </c>
      <c r="B876" t="s">
        <v>328</v>
      </c>
      <c r="C876">
        <v>188</v>
      </c>
      <c r="D876">
        <v>2349.3199999999997</v>
      </c>
      <c r="E876">
        <v>0</v>
      </c>
      <c r="F876">
        <v>0</v>
      </c>
      <c r="G876">
        <v>188</v>
      </c>
      <c r="H876">
        <v>2349.3199999999997</v>
      </c>
      <c r="I876">
        <v>247</v>
      </c>
      <c r="J876">
        <v>2823.97</v>
      </c>
    </row>
    <row r="877" spans="1:10" x14ac:dyDescent="0.25">
      <c r="A877" t="s">
        <v>331</v>
      </c>
      <c r="B877" t="s">
        <v>330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10</v>
      </c>
      <c r="J877">
        <v>258.82</v>
      </c>
    </row>
    <row r="878" spans="1:10" x14ac:dyDescent="0.25">
      <c r="A878" t="s">
        <v>333</v>
      </c>
      <c r="B878" t="s">
        <v>332</v>
      </c>
      <c r="C878">
        <v>16</v>
      </c>
      <c r="D878">
        <v>1706.5</v>
      </c>
      <c r="E878">
        <v>0</v>
      </c>
      <c r="F878">
        <v>0</v>
      </c>
      <c r="G878">
        <v>16</v>
      </c>
      <c r="H878">
        <v>1706.5</v>
      </c>
      <c r="I878">
        <v>34</v>
      </c>
      <c r="J878">
        <v>3216.54</v>
      </c>
    </row>
    <row r="879" spans="1:10" x14ac:dyDescent="0.25">
      <c r="A879" t="s">
        <v>335</v>
      </c>
      <c r="B879" t="s">
        <v>334</v>
      </c>
      <c r="C879">
        <v>10</v>
      </c>
      <c r="D879">
        <v>852.7</v>
      </c>
      <c r="E879">
        <v>0</v>
      </c>
      <c r="F879">
        <v>0</v>
      </c>
      <c r="G879">
        <v>10</v>
      </c>
      <c r="H879">
        <v>852.7</v>
      </c>
      <c r="I879">
        <v>0</v>
      </c>
      <c r="J879">
        <v>0</v>
      </c>
    </row>
    <row r="880" spans="1:10" x14ac:dyDescent="0.25">
      <c r="A880" t="s">
        <v>337</v>
      </c>
      <c r="B880" t="s">
        <v>336</v>
      </c>
      <c r="C880">
        <v>1</v>
      </c>
      <c r="D880">
        <v>58.2</v>
      </c>
      <c r="E880">
        <v>0</v>
      </c>
      <c r="F880">
        <v>0</v>
      </c>
      <c r="G880">
        <v>1</v>
      </c>
      <c r="H880">
        <v>58.2</v>
      </c>
      <c r="I880">
        <v>1</v>
      </c>
      <c r="J880">
        <v>57.3</v>
      </c>
    </row>
    <row r="881" spans="1:10" x14ac:dyDescent="0.25">
      <c r="A881" t="s">
        <v>339</v>
      </c>
      <c r="B881" t="s">
        <v>338</v>
      </c>
      <c r="C881">
        <v>28</v>
      </c>
      <c r="D881">
        <v>720.15000000000009</v>
      </c>
      <c r="E881">
        <v>0</v>
      </c>
      <c r="F881">
        <v>0</v>
      </c>
      <c r="G881">
        <v>28</v>
      </c>
      <c r="H881">
        <v>720.15000000000009</v>
      </c>
      <c r="I881">
        <v>324</v>
      </c>
      <c r="J881">
        <v>6508.53</v>
      </c>
    </row>
    <row r="882" spans="1:10" x14ac:dyDescent="0.25">
      <c r="A882" t="s">
        <v>341</v>
      </c>
      <c r="B882" t="s">
        <v>340</v>
      </c>
      <c r="C882">
        <v>20</v>
      </c>
      <c r="D882">
        <v>490.2</v>
      </c>
      <c r="E882">
        <v>0</v>
      </c>
      <c r="F882">
        <v>0</v>
      </c>
      <c r="G882">
        <v>20</v>
      </c>
      <c r="H882">
        <v>490.2</v>
      </c>
      <c r="I882">
        <v>14</v>
      </c>
      <c r="J882">
        <v>343.14</v>
      </c>
    </row>
    <row r="883" spans="1:10" x14ac:dyDescent="0.25">
      <c r="A883" t="s">
        <v>343</v>
      </c>
      <c r="B883" t="s">
        <v>342</v>
      </c>
      <c r="C883">
        <v>121</v>
      </c>
      <c r="D883">
        <v>2369.2999999999997</v>
      </c>
      <c r="E883">
        <v>0</v>
      </c>
      <c r="F883">
        <v>0</v>
      </c>
      <c r="G883">
        <v>121</v>
      </c>
      <c r="H883">
        <v>2369.2999999999997</v>
      </c>
      <c r="I883">
        <v>249</v>
      </c>
      <c r="J883">
        <v>4271.53</v>
      </c>
    </row>
    <row r="884" spans="1:10" x14ac:dyDescent="0.25">
      <c r="A884" t="s">
        <v>345</v>
      </c>
      <c r="B884" t="s">
        <v>344</v>
      </c>
      <c r="C884">
        <v>1</v>
      </c>
      <c r="D884">
        <v>49.1</v>
      </c>
      <c r="E884">
        <v>0</v>
      </c>
      <c r="F884">
        <v>0</v>
      </c>
      <c r="G884">
        <v>1</v>
      </c>
      <c r="H884">
        <v>49.1</v>
      </c>
      <c r="I884">
        <v>4</v>
      </c>
      <c r="J884">
        <v>193.97</v>
      </c>
    </row>
    <row r="885" spans="1:10" x14ac:dyDescent="0.25">
      <c r="A885" t="s">
        <v>347</v>
      </c>
      <c r="B885" t="s">
        <v>346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73</v>
      </c>
      <c r="J885">
        <v>1411.1000000000001</v>
      </c>
    </row>
    <row r="886" spans="1:10" x14ac:dyDescent="0.25">
      <c r="A886" t="s">
        <v>349</v>
      </c>
      <c r="B886" t="s">
        <v>348</v>
      </c>
      <c r="C886">
        <v>2</v>
      </c>
      <c r="D886">
        <v>12.32</v>
      </c>
      <c r="E886">
        <v>0</v>
      </c>
      <c r="F886">
        <v>0</v>
      </c>
      <c r="G886">
        <v>2</v>
      </c>
      <c r="H886">
        <v>12.32</v>
      </c>
      <c r="I886">
        <v>0</v>
      </c>
      <c r="J886">
        <v>0</v>
      </c>
    </row>
    <row r="887" spans="1:10" x14ac:dyDescent="0.25">
      <c r="A887" t="s">
        <v>351</v>
      </c>
      <c r="B887" t="s">
        <v>350</v>
      </c>
      <c r="C887">
        <v>8</v>
      </c>
      <c r="D887">
        <v>115.44</v>
      </c>
      <c r="E887">
        <v>0</v>
      </c>
      <c r="F887">
        <v>0</v>
      </c>
      <c r="G887">
        <v>8</v>
      </c>
      <c r="H887">
        <v>115.44</v>
      </c>
      <c r="I887">
        <v>5</v>
      </c>
      <c r="J887">
        <v>79.16</v>
      </c>
    </row>
    <row r="888" spans="1:10" x14ac:dyDescent="0.25">
      <c r="A888" t="s">
        <v>353</v>
      </c>
      <c r="B888" t="s">
        <v>352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60.97</v>
      </c>
    </row>
    <row r="889" spans="1:10" x14ac:dyDescent="0.25">
      <c r="A889" t="s">
        <v>355</v>
      </c>
      <c r="B889" t="s">
        <v>354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32.08</v>
      </c>
    </row>
    <row r="890" spans="1:10" x14ac:dyDescent="0.25">
      <c r="A890" t="s">
        <v>357</v>
      </c>
      <c r="B890" t="s">
        <v>356</v>
      </c>
      <c r="C890">
        <v>5</v>
      </c>
      <c r="D890">
        <v>425.66999999999996</v>
      </c>
      <c r="E890">
        <v>0</v>
      </c>
      <c r="F890">
        <v>0</v>
      </c>
      <c r="G890">
        <v>5</v>
      </c>
      <c r="H890">
        <v>425.66999999999996</v>
      </c>
      <c r="I890">
        <v>15</v>
      </c>
      <c r="J890">
        <v>1203.3599999999999</v>
      </c>
    </row>
    <row r="891" spans="1:10" x14ac:dyDescent="0.25">
      <c r="A891" t="s">
        <v>359</v>
      </c>
      <c r="B891" t="s">
        <v>358</v>
      </c>
      <c r="C891">
        <v>3</v>
      </c>
      <c r="D891">
        <v>106.26</v>
      </c>
      <c r="E891">
        <v>0</v>
      </c>
      <c r="F891">
        <v>0</v>
      </c>
      <c r="G891">
        <v>3</v>
      </c>
      <c r="H891">
        <v>106.26</v>
      </c>
      <c r="I891">
        <v>1</v>
      </c>
      <c r="J891">
        <v>17.309999999999999</v>
      </c>
    </row>
    <row r="892" spans="1:10" x14ac:dyDescent="0.25">
      <c r="A892" t="s">
        <v>361</v>
      </c>
      <c r="B892" t="s">
        <v>360</v>
      </c>
      <c r="C892">
        <v>110</v>
      </c>
      <c r="D892">
        <v>1527.2000000000003</v>
      </c>
      <c r="E892">
        <v>4</v>
      </c>
      <c r="F892">
        <v>99.6</v>
      </c>
      <c r="G892">
        <v>114</v>
      </c>
      <c r="H892">
        <v>1626.8000000000002</v>
      </c>
      <c r="I892">
        <v>750</v>
      </c>
      <c r="J892">
        <v>9839.76</v>
      </c>
    </row>
    <row r="893" spans="1:10" x14ac:dyDescent="0.25">
      <c r="A893" t="s">
        <v>363</v>
      </c>
      <c r="B893" t="s">
        <v>362</v>
      </c>
      <c r="C893">
        <v>2</v>
      </c>
      <c r="D893">
        <v>21.41</v>
      </c>
      <c r="E893">
        <v>0</v>
      </c>
      <c r="F893">
        <v>0</v>
      </c>
      <c r="G893">
        <v>2</v>
      </c>
      <c r="H893">
        <v>21.41</v>
      </c>
      <c r="I893">
        <v>3</v>
      </c>
      <c r="J893">
        <v>37.22</v>
      </c>
    </row>
    <row r="894" spans="1:10" x14ac:dyDescent="0.25">
      <c r="A894" t="s">
        <v>365</v>
      </c>
      <c r="B894" t="s">
        <v>364</v>
      </c>
      <c r="C894">
        <v>44</v>
      </c>
      <c r="D894">
        <v>1593.6399999999999</v>
      </c>
      <c r="E894">
        <v>0</v>
      </c>
      <c r="F894">
        <v>0</v>
      </c>
      <c r="G894">
        <v>44</v>
      </c>
      <c r="H894">
        <v>1593.6399999999999</v>
      </c>
      <c r="I894">
        <v>86</v>
      </c>
      <c r="J894">
        <v>3244.49</v>
      </c>
    </row>
    <row r="895" spans="1:10" x14ac:dyDescent="0.25">
      <c r="A895" t="s">
        <v>367</v>
      </c>
      <c r="B895" t="s">
        <v>366</v>
      </c>
      <c r="C895">
        <v>15</v>
      </c>
      <c r="D895">
        <v>379.73999999999995</v>
      </c>
      <c r="E895">
        <v>0</v>
      </c>
      <c r="F895">
        <v>0</v>
      </c>
      <c r="G895">
        <v>15</v>
      </c>
      <c r="H895">
        <v>379.73999999999995</v>
      </c>
      <c r="I895">
        <v>17</v>
      </c>
      <c r="J895">
        <v>395.35999999999996</v>
      </c>
    </row>
    <row r="896" spans="1:10" x14ac:dyDescent="0.25">
      <c r="A896" t="s">
        <v>369</v>
      </c>
      <c r="B896" t="s">
        <v>368</v>
      </c>
      <c r="C896">
        <v>520</v>
      </c>
      <c r="D896">
        <v>5611.14</v>
      </c>
      <c r="E896">
        <v>7</v>
      </c>
      <c r="F896">
        <v>76.300000000000011</v>
      </c>
      <c r="G896">
        <v>527</v>
      </c>
      <c r="H896">
        <v>5687.4400000000005</v>
      </c>
      <c r="I896">
        <v>1304</v>
      </c>
      <c r="J896">
        <v>10598.41</v>
      </c>
    </row>
    <row r="897" spans="1:10" x14ac:dyDescent="0.25">
      <c r="A897" t="s">
        <v>371</v>
      </c>
      <c r="B897" t="s">
        <v>370</v>
      </c>
      <c r="C897">
        <v>16</v>
      </c>
      <c r="D897">
        <v>526.41</v>
      </c>
      <c r="E897">
        <v>0</v>
      </c>
      <c r="F897">
        <v>0</v>
      </c>
      <c r="G897">
        <v>16</v>
      </c>
      <c r="H897">
        <v>526.41</v>
      </c>
      <c r="I897">
        <v>37</v>
      </c>
      <c r="J897">
        <v>1200.03</v>
      </c>
    </row>
    <row r="898" spans="1:10" x14ac:dyDescent="0.25">
      <c r="A898" t="s">
        <v>373</v>
      </c>
      <c r="B898" t="s">
        <v>372</v>
      </c>
      <c r="C898">
        <v>4</v>
      </c>
      <c r="D898">
        <v>187.86</v>
      </c>
      <c r="E898">
        <v>0</v>
      </c>
      <c r="F898">
        <v>0</v>
      </c>
      <c r="G898">
        <v>4</v>
      </c>
      <c r="H898">
        <v>187.86</v>
      </c>
      <c r="I898">
        <v>2</v>
      </c>
      <c r="J898">
        <v>99.42</v>
      </c>
    </row>
    <row r="899" spans="1:10" x14ac:dyDescent="0.25">
      <c r="A899" t="s">
        <v>375</v>
      </c>
      <c r="B899" t="s">
        <v>374</v>
      </c>
      <c r="C899">
        <v>12</v>
      </c>
      <c r="D899">
        <v>236.48000000000002</v>
      </c>
      <c r="E899">
        <v>0</v>
      </c>
      <c r="F899">
        <v>0</v>
      </c>
      <c r="G899">
        <v>12</v>
      </c>
      <c r="H899">
        <v>236.48000000000002</v>
      </c>
      <c r="I899">
        <v>63</v>
      </c>
      <c r="J899">
        <v>1059.8300000000002</v>
      </c>
    </row>
    <row r="900" spans="1:10" x14ac:dyDescent="0.25">
      <c r="A900" t="s">
        <v>377</v>
      </c>
      <c r="B900" t="s">
        <v>376</v>
      </c>
      <c r="C900">
        <v>20</v>
      </c>
      <c r="D900">
        <v>366.40999999999997</v>
      </c>
      <c r="E900">
        <v>0</v>
      </c>
      <c r="F900">
        <v>0</v>
      </c>
      <c r="G900">
        <v>20</v>
      </c>
      <c r="H900">
        <v>366.40999999999997</v>
      </c>
      <c r="I900">
        <v>67</v>
      </c>
      <c r="J900">
        <v>1108.97</v>
      </c>
    </row>
    <row r="901" spans="1:10" x14ac:dyDescent="0.25">
      <c r="A901" t="s">
        <v>379</v>
      </c>
      <c r="B901" t="s">
        <v>378</v>
      </c>
      <c r="C901">
        <v>32</v>
      </c>
      <c r="D901">
        <v>608.34</v>
      </c>
      <c r="E901">
        <v>2</v>
      </c>
      <c r="F901">
        <v>44.8</v>
      </c>
      <c r="G901">
        <v>34</v>
      </c>
      <c r="H901">
        <v>653.14</v>
      </c>
      <c r="I901">
        <v>9</v>
      </c>
      <c r="J901">
        <v>149.38999999999999</v>
      </c>
    </row>
    <row r="902" spans="1:10" x14ac:dyDescent="0.25">
      <c r="A902" t="s">
        <v>381</v>
      </c>
      <c r="B902" t="s">
        <v>380</v>
      </c>
      <c r="C902">
        <v>3</v>
      </c>
      <c r="D902">
        <v>123.25999999999999</v>
      </c>
      <c r="E902">
        <v>0</v>
      </c>
      <c r="F902">
        <v>0</v>
      </c>
      <c r="G902">
        <v>3</v>
      </c>
      <c r="H902">
        <v>123.25999999999999</v>
      </c>
      <c r="I902">
        <v>8</v>
      </c>
      <c r="J902">
        <v>329.32</v>
      </c>
    </row>
    <row r="903" spans="1:10" x14ac:dyDescent="0.25">
      <c r="A903" t="s">
        <v>383</v>
      </c>
      <c r="B903" t="s">
        <v>382</v>
      </c>
      <c r="C903">
        <v>10</v>
      </c>
      <c r="D903">
        <v>136.38999999999999</v>
      </c>
      <c r="E903">
        <v>0</v>
      </c>
      <c r="F903">
        <v>0</v>
      </c>
      <c r="G903">
        <v>10</v>
      </c>
      <c r="H903">
        <v>136.38999999999999</v>
      </c>
      <c r="I903">
        <v>5</v>
      </c>
      <c r="J903">
        <v>86.26</v>
      </c>
    </row>
    <row r="904" spans="1:10" x14ac:dyDescent="0.25">
      <c r="A904" t="s">
        <v>385</v>
      </c>
      <c r="B904" t="s">
        <v>384</v>
      </c>
      <c r="C904">
        <v>114</v>
      </c>
      <c r="D904">
        <v>1866.3</v>
      </c>
      <c r="E904">
        <v>8</v>
      </c>
      <c r="F904">
        <v>199.20000000000002</v>
      </c>
      <c r="G904">
        <v>122</v>
      </c>
      <c r="H904">
        <v>2065.5</v>
      </c>
      <c r="I904">
        <v>1118</v>
      </c>
      <c r="J904">
        <v>18298.170000000002</v>
      </c>
    </row>
    <row r="905" spans="1:10" x14ac:dyDescent="0.25">
      <c r="A905" t="s">
        <v>387</v>
      </c>
      <c r="B905" t="s">
        <v>386</v>
      </c>
      <c r="C905">
        <v>88</v>
      </c>
      <c r="D905">
        <v>3901.1</v>
      </c>
      <c r="E905">
        <v>0</v>
      </c>
      <c r="F905">
        <v>0</v>
      </c>
      <c r="G905">
        <v>88</v>
      </c>
      <c r="H905">
        <v>3901.1</v>
      </c>
      <c r="I905">
        <v>3</v>
      </c>
      <c r="J905">
        <v>118.37</v>
      </c>
    </row>
    <row r="906" spans="1:10" x14ac:dyDescent="0.25">
      <c r="A906" t="s">
        <v>389</v>
      </c>
      <c r="B906" t="s">
        <v>388</v>
      </c>
      <c r="C906">
        <v>9</v>
      </c>
      <c r="D906">
        <v>72.989999999999995</v>
      </c>
      <c r="E906">
        <v>0</v>
      </c>
      <c r="F906">
        <v>0</v>
      </c>
      <c r="G906">
        <v>9</v>
      </c>
      <c r="H906">
        <v>72.989999999999995</v>
      </c>
      <c r="I906">
        <v>30</v>
      </c>
      <c r="J906">
        <v>242.78</v>
      </c>
    </row>
    <row r="907" spans="1:10" x14ac:dyDescent="0.25">
      <c r="A907" t="s">
        <v>391</v>
      </c>
      <c r="B907" t="s">
        <v>390</v>
      </c>
      <c r="C907">
        <v>74</v>
      </c>
      <c r="D907">
        <v>6564.6100000000006</v>
      </c>
      <c r="E907">
        <v>0</v>
      </c>
      <c r="F907">
        <v>0</v>
      </c>
      <c r="G907">
        <v>74</v>
      </c>
      <c r="H907">
        <v>6564.6100000000006</v>
      </c>
      <c r="I907">
        <v>39</v>
      </c>
      <c r="J907">
        <v>3209.21</v>
      </c>
    </row>
    <row r="908" spans="1:10" x14ac:dyDescent="0.25">
      <c r="A908" t="s">
        <v>393</v>
      </c>
      <c r="B908" t="s">
        <v>392</v>
      </c>
      <c r="C908">
        <v>4</v>
      </c>
      <c r="D908">
        <v>380.8</v>
      </c>
      <c r="E908">
        <v>0</v>
      </c>
      <c r="F908">
        <v>0</v>
      </c>
      <c r="G908">
        <v>4</v>
      </c>
      <c r="H908">
        <v>380.8</v>
      </c>
      <c r="I908">
        <v>6</v>
      </c>
      <c r="J908">
        <v>491.34</v>
      </c>
    </row>
    <row r="909" spans="1:10" x14ac:dyDescent="0.25">
      <c r="A909" t="s">
        <v>395</v>
      </c>
      <c r="B909" t="s">
        <v>394</v>
      </c>
      <c r="C909">
        <v>148</v>
      </c>
      <c r="D909">
        <v>1752.33</v>
      </c>
      <c r="E909">
        <v>0</v>
      </c>
      <c r="F909">
        <v>0</v>
      </c>
      <c r="G909">
        <v>148</v>
      </c>
      <c r="H909">
        <v>1752.33</v>
      </c>
      <c r="I909">
        <v>640</v>
      </c>
      <c r="J909">
        <v>6850.6100000000006</v>
      </c>
    </row>
    <row r="910" spans="1:10" x14ac:dyDescent="0.25">
      <c r="A910" t="s">
        <v>397</v>
      </c>
      <c r="B910" t="s">
        <v>396</v>
      </c>
      <c r="C910">
        <v>1</v>
      </c>
      <c r="D910">
        <v>58.74</v>
      </c>
      <c r="E910">
        <v>0</v>
      </c>
      <c r="F910">
        <v>0</v>
      </c>
      <c r="G910">
        <v>1</v>
      </c>
      <c r="H910">
        <v>58.74</v>
      </c>
      <c r="I910">
        <v>2</v>
      </c>
      <c r="J910">
        <v>114.6</v>
      </c>
    </row>
    <row r="911" spans="1:10" x14ac:dyDescent="0.25">
      <c r="A911" t="s">
        <v>399</v>
      </c>
      <c r="B911" t="s">
        <v>398</v>
      </c>
      <c r="C911">
        <v>2</v>
      </c>
      <c r="D911">
        <v>88.34</v>
      </c>
      <c r="E911">
        <v>0</v>
      </c>
      <c r="F911">
        <v>0</v>
      </c>
      <c r="G911">
        <v>2</v>
      </c>
      <c r="H911">
        <v>88.34</v>
      </c>
      <c r="I911">
        <v>12</v>
      </c>
      <c r="J911">
        <v>451.15999999999997</v>
      </c>
    </row>
    <row r="912" spans="1:10" x14ac:dyDescent="0.25">
      <c r="A912" t="s">
        <v>401</v>
      </c>
      <c r="B912" t="s">
        <v>400</v>
      </c>
      <c r="C912">
        <v>623</v>
      </c>
      <c r="D912">
        <v>10619.670000000002</v>
      </c>
      <c r="E912">
        <v>0</v>
      </c>
      <c r="F912">
        <v>0</v>
      </c>
      <c r="G912">
        <v>623</v>
      </c>
      <c r="H912">
        <v>10619.670000000002</v>
      </c>
      <c r="I912">
        <v>0</v>
      </c>
      <c r="J912">
        <v>0</v>
      </c>
    </row>
    <row r="913" spans="1:10" x14ac:dyDescent="0.25">
      <c r="A913" t="s">
        <v>403</v>
      </c>
      <c r="B913" t="s">
        <v>402</v>
      </c>
      <c r="C913">
        <v>2</v>
      </c>
      <c r="D913">
        <v>96.87</v>
      </c>
      <c r="E913">
        <v>0</v>
      </c>
      <c r="F913">
        <v>0</v>
      </c>
      <c r="G913">
        <v>2</v>
      </c>
      <c r="H913">
        <v>96.87</v>
      </c>
      <c r="I913">
        <v>5</v>
      </c>
      <c r="J913">
        <v>165.14</v>
      </c>
    </row>
    <row r="914" spans="1:10" x14ac:dyDescent="0.25">
      <c r="A914" t="s">
        <v>405</v>
      </c>
      <c r="B914" t="s">
        <v>404</v>
      </c>
      <c r="C914">
        <v>1</v>
      </c>
      <c r="D914">
        <v>160.65</v>
      </c>
      <c r="E914">
        <v>0</v>
      </c>
      <c r="F914">
        <v>0</v>
      </c>
      <c r="G914">
        <v>1</v>
      </c>
      <c r="H914">
        <v>160.65</v>
      </c>
      <c r="I914">
        <v>2</v>
      </c>
      <c r="J914">
        <v>226.06</v>
      </c>
    </row>
    <row r="915" spans="1:10" x14ac:dyDescent="0.25">
      <c r="A915" t="s">
        <v>407</v>
      </c>
      <c r="B915" t="s">
        <v>406</v>
      </c>
      <c r="C915">
        <v>569</v>
      </c>
      <c r="D915">
        <v>2809.4100000000003</v>
      </c>
      <c r="E915">
        <v>0</v>
      </c>
      <c r="F915">
        <v>0</v>
      </c>
      <c r="G915">
        <v>569</v>
      </c>
      <c r="H915">
        <v>2809.4100000000003</v>
      </c>
      <c r="I915">
        <v>1146</v>
      </c>
      <c r="J915">
        <v>4758.41</v>
      </c>
    </row>
    <row r="916" spans="1:10" x14ac:dyDescent="0.25">
      <c r="A916" t="s">
        <v>409</v>
      </c>
      <c r="B916" t="s">
        <v>408</v>
      </c>
      <c r="C916">
        <v>144</v>
      </c>
      <c r="D916">
        <v>920.59</v>
      </c>
      <c r="E916">
        <v>0</v>
      </c>
      <c r="F916">
        <v>0</v>
      </c>
      <c r="G916">
        <v>144</v>
      </c>
      <c r="H916">
        <v>920.59</v>
      </c>
      <c r="I916">
        <v>0</v>
      </c>
      <c r="J916">
        <v>0</v>
      </c>
    </row>
    <row r="917" spans="1:10" x14ac:dyDescent="0.25">
      <c r="A917" t="s">
        <v>411</v>
      </c>
      <c r="B917" t="s">
        <v>410</v>
      </c>
      <c r="C917">
        <v>9</v>
      </c>
      <c r="D917">
        <v>33.79</v>
      </c>
      <c r="E917">
        <v>0</v>
      </c>
      <c r="F917">
        <v>0</v>
      </c>
      <c r="G917">
        <v>9</v>
      </c>
      <c r="H917">
        <v>33.79</v>
      </c>
      <c r="I917">
        <v>0</v>
      </c>
      <c r="J917">
        <v>0</v>
      </c>
    </row>
    <row r="918" spans="1:10" x14ac:dyDescent="0.25">
      <c r="A918" t="s">
        <v>413</v>
      </c>
      <c r="B918" t="s">
        <v>412</v>
      </c>
      <c r="C918">
        <v>1</v>
      </c>
      <c r="D918">
        <v>62.18</v>
      </c>
      <c r="E918">
        <v>0</v>
      </c>
      <c r="F918">
        <v>0</v>
      </c>
      <c r="G918">
        <v>1</v>
      </c>
      <c r="H918">
        <v>62.18</v>
      </c>
      <c r="I918">
        <v>1</v>
      </c>
      <c r="J918">
        <v>83.19</v>
      </c>
    </row>
    <row r="919" spans="1:10" x14ac:dyDescent="0.25">
      <c r="A919" t="s">
        <v>415</v>
      </c>
      <c r="B919" t="s">
        <v>414</v>
      </c>
      <c r="C919">
        <v>306</v>
      </c>
      <c r="D919">
        <v>3686.1200000000003</v>
      </c>
      <c r="E919">
        <v>0</v>
      </c>
      <c r="F919">
        <v>0</v>
      </c>
      <c r="G919">
        <v>306</v>
      </c>
      <c r="H919">
        <v>3686.1200000000003</v>
      </c>
      <c r="I919">
        <v>0</v>
      </c>
      <c r="J919">
        <v>0</v>
      </c>
    </row>
    <row r="920" spans="1:10" x14ac:dyDescent="0.25">
      <c r="A920" t="s">
        <v>417</v>
      </c>
      <c r="B920" t="s">
        <v>416</v>
      </c>
      <c r="C920">
        <v>13</v>
      </c>
      <c r="D920">
        <v>546.92000000000007</v>
      </c>
      <c r="E920">
        <v>0</v>
      </c>
      <c r="F920">
        <v>0</v>
      </c>
      <c r="G920">
        <v>13</v>
      </c>
      <c r="H920">
        <v>546.92000000000007</v>
      </c>
      <c r="I920">
        <v>3</v>
      </c>
      <c r="J920">
        <v>152.28</v>
      </c>
    </row>
    <row r="921" spans="1:10" x14ac:dyDescent="0.25">
      <c r="A921" t="s">
        <v>419</v>
      </c>
      <c r="B921" t="s">
        <v>418</v>
      </c>
      <c r="C921">
        <v>264</v>
      </c>
      <c r="D921">
        <v>2285.4</v>
      </c>
      <c r="E921">
        <v>0</v>
      </c>
      <c r="F921">
        <v>0</v>
      </c>
      <c r="G921">
        <v>264</v>
      </c>
      <c r="H921">
        <v>2285.4</v>
      </c>
      <c r="I921">
        <v>38</v>
      </c>
      <c r="J921">
        <v>323.26</v>
      </c>
    </row>
    <row r="922" spans="1:10" x14ac:dyDescent="0.25">
      <c r="A922" t="s">
        <v>421</v>
      </c>
      <c r="B922" t="s">
        <v>420</v>
      </c>
      <c r="C922">
        <v>22</v>
      </c>
      <c r="D922">
        <v>908.24000000000012</v>
      </c>
      <c r="E922">
        <v>0</v>
      </c>
      <c r="F922">
        <v>0</v>
      </c>
      <c r="G922">
        <v>22</v>
      </c>
      <c r="H922">
        <v>908.24000000000012</v>
      </c>
      <c r="I922">
        <v>0</v>
      </c>
      <c r="J922">
        <v>0</v>
      </c>
    </row>
    <row r="923" spans="1:10" x14ac:dyDescent="0.25">
      <c r="A923" t="s">
        <v>423</v>
      </c>
      <c r="B923" t="s">
        <v>422</v>
      </c>
      <c r="C923">
        <v>35</v>
      </c>
      <c r="D923">
        <v>1273.7199999999998</v>
      </c>
      <c r="E923">
        <v>0</v>
      </c>
      <c r="F923">
        <v>0</v>
      </c>
      <c r="G923">
        <v>35</v>
      </c>
      <c r="H923">
        <v>1273.7199999999998</v>
      </c>
      <c r="I923">
        <v>0</v>
      </c>
      <c r="J923">
        <v>0</v>
      </c>
    </row>
    <row r="924" spans="1:10" x14ac:dyDescent="0.25">
      <c r="A924" t="s">
        <v>425</v>
      </c>
      <c r="B924" t="s">
        <v>424</v>
      </c>
      <c r="C924">
        <v>3</v>
      </c>
      <c r="D924">
        <v>64.400000000000006</v>
      </c>
      <c r="E924">
        <v>0</v>
      </c>
      <c r="F924">
        <v>0</v>
      </c>
      <c r="G924">
        <v>3</v>
      </c>
      <c r="H924">
        <v>64.400000000000006</v>
      </c>
      <c r="I924">
        <v>0</v>
      </c>
      <c r="J924">
        <v>0</v>
      </c>
    </row>
    <row r="925" spans="1:10" x14ac:dyDescent="0.25">
      <c r="A925" t="s">
        <v>427</v>
      </c>
      <c r="B925" t="s">
        <v>426</v>
      </c>
      <c r="C925">
        <v>4</v>
      </c>
      <c r="D925">
        <v>170.14999999999998</v>
      </c>
      <c r="E925">
        <v>0</v>
      </c>
      <c r="F925">
        <v>0</v>
      </c>
      <c r="G925">
        <v>4</v>
      </c>
      <c r="H925">
        <v>170.14999999999998</v>
      </c>
      <c r="I925">
        <v>0</v>
      </c>
      <c r="J925">
        <v>0</v>
      </c>
    </row>
    <row r="926" spans="1:10" x14ac:dyDescent="0.25">
      <c r="A926" t="s">
        <v>429</v>
      </c>
      <c r="B926" t="s">
        <v>428</v>
      </c>
      <c r="C926">
        <v>1</v>
      </c>
      <c r="D926">
        <v>32.369999999999997</v>
      </c>
      <c r="E926">
        <v>0</v>
      </c>
      <c r="F926">
        <v>0</v>
      </c>
      <c r="G926">
        <v>1</v>
      </c>
      <c r="H926">
        <v>32.369999999999997</v>
      </c>
      <c r="I926">
        <v>0</v>
      </c>
      <c r="J926">
        <v>0</v>
      </c>
    </row>
    <row r="927" spans="1:10" x14ac:dyDescent="0.25">
      <c r="A927" t="s">
        <v>431</v>
      </c>
      <c r="B927" t="s">
        <v>430</v>
      </c>
      <c r="C927">
        <v>6</v>
      </c>
      <c r="D927">
        <v>176.59</v>
      </c>
      <c r="E927">
        <v>0</v>
      </c>
      <c r="F927">
        <v>0</v>
      </c>
      <c r="G927">
        <v>6</v>
      </c>
      <c r="H927">
        <v>176.59</v>
      </c>
      <c r="I927">
        <v>0</v>
      </c>
      <c r="J927">
        <v>0</v>
      </c>
    </row>
    <row r="928" spans="1:10" x14ac:dyDescent="0.25">
      <c r="A928" t="s">
        <v>433</v>
      </c>
      <c r="B928" t="s">
        <v>432</v>
      </c>
      <c r="C928">
        <v>2</v>
      </c>
      <c r="D928">
        <v>65.599999999999994</v>
      </c>
      <c r="E928">
        <v>0</v>
      </c>
      <c r="F928">
        <v>0</v>
      </c>
      <c r="G928">
        <v>2</v>
      </c>
      <c r="H928">
        <v>65.599999999999994</v>
      </c>
      <c r="I928">
        <v>0</v>
      </c>
      <c r="J928">
        <v>0</v>
      </c>
    </row>
    <row r="929" spans="1:10" x14ac:dyDescent="0.25">
      <c r="A929" t="s">
        <v>435</v>
      </c>
      <c r="B929" t="s">
        <v>434</v>
      </c>
      <c r="C929">
        <v>2</v>
      </c>
      <c r="D929">
        <v>67.09</v>
      </c>
      <c r="E929">
        <v>0</v>
      </c>
      <c r="F929">
        <v>0</v>
      </c>
      <c r="G929">
        <v>2</v>
      </c>
      <c r="H929">
        <v>67.09</v>
      </c>
      <c r="I929">
        <v>0</v>
      </c>
      <c r="J929">
        <v>0</v>
      </c>
    </row>
    <row r="930" spans="1:10" x14ac:dyDescent="0.25">
      <c r="A930" t="s">
        <v>437</v>
      </c>
      <c r="B930" t="s">
        <v>436</v>
      </c>
      <c r="C930">
        <v>17</v>
      </c>
      <c r="D930">
        <v>315.93</v>
      </c>
      <c r="E930">
        <v>0</v>
      </c>
      <c r="F930">
        <v>0</v>
      </c>
      <c r="G930">
        <v>17</v>
      </c>
      <c r="H930">
        <v>315.93</v>
      </c>
      <c r="I930">
        <v>0</v>
      </c>
      <c r="J930">
        <v>0</v>
      </c>
    </row>
    <row r="931" spans="1:10" x14ac:dyDescent="0.25">
      <c r="A931" t="s">
        <v>439</v>
      </c>
      <c r="B931" t="s">
        <v>438</v>
      </c>
      <c r="C931">
        <v>315</v>
      </c>
      <c r="D931">
        <v>30.99</v>
      </c>
      <c r="E931">
        <v>0</v>
      </c>
      <c r="F931">
        <v>0</v>
      </c>
      <c r="G931">
        <v>315</v>
      </c>
      <c r="H931">
        <v>30.99</v>
      </c>
      <c r="I931">
        <v>0</v>
      </c>
      <c r="J931">
        <v>0</v>
      </c>
    </row>
    <row r="932" spans="1:10" x14ac:dyDescent="0.25">
      <c r="A932" t="s">
        <v>441</v>
      </c>
      <c r="B932" t="s">
        <v>440</v>
      </c>
      <c r="C932">
        <v>4</v>
      </c>
      <c r="D932">
        <v>15.36</v>
      </c>
      <c r="E932">
        <v>0</v>
      </c>
      <c r="F932">
        <v>0</v>
      </c>
      <c r="G932">
        <v>4</v>
      </c>
      <c r="H932">
        <v>15.36</v>
      </c>
      <c r="I932">
        <v>0</v>
      </c>
      <c r="J932">
        <v>0</v>
      </c>
    </row>
    <row r="933" spans="1:10" x14ac:dyDescent="0.25">
      <c r="A933" t="s">
        <v>443</v>
      </c>
      <c r="B933" t="s">
        <v>442</v>
      </c>
      <c r="C933">
        <v>3</v>
      </c>
      <c r="D933">
        <v>400.21</v>
      </c>
      <c r="E933">
        <v>0</v>
      </c>
      <c r="F933">
        <v>0</v>
      </c>
      <c r="G933">
        <v>3</v>
      </c>
      <c r="H933">
        <v>400.21</v>
      </c>
      <c r="I933">
        <v>0</v>
      </c>
      <c r="J933">
        <v>0</v>
      </c>
    </row>
    <row r="934" spans="1:10" x14ac:dyDescent="0.25">
      <c r="A934" t="s">
        <v>445</v>
      </c>
      <c r="B934" t="s">
        <v>444</v>
      </c>
      <c r="C934">
        <v>39</v>
      </c>
      <c r="D934">
        <v>863.03000000000009</v>
      </c>
      <c r="E934">
        <v>0</v>
      </c>
      <c r="F934">
        <v>0</v>
      </c>
      <c r="G934">
        <v>39</v>
      </c>
      <c r="H934">
        <v>863.03000000000009</v>
      </c>
      <c r="I934">
        <v>0</v>
      </c>
      <c r="J934">
        <v>0</v>
      </c>
    </row>
    <row r="935" spans="1:10" x14ac:dyDescent="0.25">
      <c r="A935" t="s">
        <v>447</v>
      </c>
      <c r="B935" t="s">
        <v>446</v>
      </c>
      <c r="C935">
        <v>24</v>
      </c>
      <c r="D935">
        <v>122.81</v>
      </c>
      <c r="E935">
        <v>0</v>
      </c>
      <c r="F935">
        <v>0</v>
      </c>
      <c r="G935">
        <v>24</v>
      </c>
      <c r="H935">
        <v>122.81</v>
      </c>
      <c r="I935">
        <v>0</v>
      </c>
      <c r="J935">
        <v>0</v>
      </c>
    </row>
    <row r="936" spans="1:10" x14ac:dyDescent="0.25">
      <c r="A936" t="s">
        <v>449</v>
      </c>
      <c r="B936" t="s">
        <v>448</v>
      </c>
      <c r="C936">
        <v>18</v>
      </c>
      <c r="D936">
        <v>119.77</v>
      </c>
      <c r="E936">
        <v>0</v>
      </c>
      <c r="F936">
        <v>0</v>
      </c>
      <c r="G936">
        <v>18</v>
      </c>
      <c r="H936">
        <v>119.77</v>
      </c>
      <c r="I936">
        <v>0</v>
      </c>
      <c r="J936">
        <v>0</v>
      </c>
    </row>
    <row r="937" spans="1:10" x14ac:dyDescent="0.25">
      <c r="A937" t="s">
        <v>451</v>
      </c>
      <c r="B937" t="s">
        <v>450</v>
      </c>
      <c r="C937">
        <v>423</v>
      </c>
      <c r="D937">
        <v>2621.3000000000002</v>
      </c>
      <c r="E937">
        <v>0</v>
      </c>
      <c r="F937">
        <v>0</v>
      </c>
      <c r="G937">
        <v>423</v>
      </c>
      <c r="H937">
        <v>2621.3000000000002</v>
      </c>
      <c r="I937">
        <v>0</v>
      </c>
      <c r="J937">
        <v>0</v>
      </c>
    </row>
    <row r="938" spans="1:10" x14ac:dyDescent="0.25">
      <c r="A938" t="s">
        <v>453</v>
      </c>
      <c r="B938" t="s">
        <v>452</v>
      </c>
      <c r="C938">
        <v>93</v>
      </c>
      <c r="D938">
        <v>2805.25</v>
      </c>
      <c r="E938">
        <v>0</v>
      </c>
      <c r="F938">
        <v>0</v>
      </c>
      <c r="G938">
        <v>93</v>
      </c>
      <c r="H938">
        <v>2805.25</v>
      </c>
      <c r="I938">
        <v>0</v>
      </c>
      <c r="J938">
        <v>0</v>
      </c>
    </row>
    <row r="939" spans="1:10" x14ac:dyDescent="0.25">
      <c r="A939" t="s">
        <v>455</v>
      </c>
      <c r="B939" t="s">
        <v>454</v>
      </c>
      <c r="C939">
        <v>234</v>
      </c>
      <c r="D939">
        <v>3595.7999999999997</v>
      </c>
      <c r="E939">
        <v>0</v>
      </c>
      <c r="F939">
        <v>0</v>
      </c>
      <c r="G939">
        <v>234</v>
      </c>
      <c r="H939">
        <v>3595.7999999999997</v>
      </c>
      <c r="I939">
        <v>0</v>
      </c>
      <c r="J939">
        <v>0</v>
      </c>
    </row>
    <row r="940" spans="1:10" x14ac:dyDescent="0.25">
      <c r="A940" t="s">
        <v>457</v>
      </c>
      <c r="B940" t="s">
        <v>456</v>
      </c>
      <c r="C940">
        <v>2</v>
      </c>
      <c r="D940">
        <v>102.32</v>
      </c>
      <c r="E940">
        <v>0</v>
      </c>
      <c r="F940">
        <v>0</v>
      </c>
      <c r="G940">
        <v>2</v>
      </c>
      <c r="H940">
        <v>102.32</v>
      </c>
      <c r="I940">
        <v>0</v>
      </c>
      <c r="J940">
        <v>0</v>
      </c>
    </row>
    <row r="941" spans="1:10" x14ac:dyDescent="0.25">
      <c r="A941" t="s">
        <v>459</v>
      </c>
      <c r="B941" t="s">
        <v>458</v>
      </c>
      <c r="C941">
        <v>21</v>
      </c>
      <c r="D941">
        <v>869.78</v>
      </c>
      <c r="E941">
        <v>0</v>
      </c>
      <c r="F941">
        <v>0</v>
      </c>
      <c r="G941">
        <v>21</v>
      </c>
      <c r="H941">
        <v>869.78</v>
      </c>
      <c r="I941">
        <v>0</v>
      </c>
      <c r="J941">
        <v>0</v>
      </c>
    </row>
    <row r="942" spans="1:10" x14ac:dyDescent="0.25">
      <c r="A942" t="s">
        <v>461</v>
      </c>
      <c r="B942" t="s">
        <v>460</v>
      </c>
      <c r="C942">
        <v>101</v>
      </c>
      <c r="D942">
        <v>1663.64</v>
      </c>
      <c r="E942">
        <v>5</v>
      </c>
      <c r="F942">
        <v>124.5</v>
      </c>
      <c r="G942">
        <v>106</v>
      </c>
      <c r="H942">
        <v>1788.14</v>
      </c>
      <c r="I942">
        <v>0</v>
      </c>
      <c r="J942">
        <v>0</v>
      </c>
    </row>
    <row r="943" spans="1:10" x14ac:dyDescent="0.25">
      <c r="A943" t="s">
        <v>463</v>
      </c>
      <c r="B943" t="s">
        <v>462</v>
      </c>
      <c r="C943">
        <v>372</v>
      </c>
      <c r="D943">
        <v>6196.29</v>
      </c>
      <c r="E943">
        <v>56</v>
      </c>
      <c r="F943">
        <v>1063.5799999999995</v>
      </c>
      <c r="G943">
        <v>428</v>
      </c>
      <c r="H943">
        <v>7259.869999999999</v>
      </c>
      <c r="I943">
        <v>0</v>
      </c>
      <c r="J943">
        <v>0</v>
      </c>
    </row>
    <row r="944" spans="1:10" x14ac:dyDescent="0.25">
      <c r="A944" t="s">
        <v>465</v>
      </c>
      <c r="B944" t="s">
        <v>464</v>
      </c>
      <c r="C944">
        <v>137</v>
      </c>
      <c r="D944">
        <v>2234.4699999999998</v>
      </c>
      <c r="E944">
        <v>107</v>
      </c>
      <c r="F944">
        <v>2664.3000000000025</v>
      </c>
      <c r="G944">
        <v>244</v>
      </c>
      <c r="H944">
        <v>4898.7700000000023</v>
      </c>
      <c r="I944">
        <v>0</v>
      </c>
      <c r="J944">
        <v>0</v>
      </c>
    </row>
    <row r="945" spans="1:10" x14ac:dyDescent="0.25">
      <c r="A945" t="s">
        <v>467</v>
      </c>
      <c r="B945" t="s">
        <v>466</v>
      </c>
      <c r="C945">
        <v>3</v>
      </c>
      <c r="D945">
        <v>115.5</v>
      </c>
      <c r="E945">
        <v>0</v>
      </c>
      <c r="F945">
        <v>0</v>
      </c>
      <c r="G945">
        <v>3</v>
      </c>
      <c r="H945">
        <v>115.5</v>
      </c>
      <c r="I945">
        <v>0</v>
      </c>
      <c r="J945">
        <v>0</v>
      </c>
    </row>
    <row r="946" spans="1:10" x14ac:dyDescent="0.25">
      <c r="A946" t="s">
        <v>469</v>
      </c>
      <c r="B946" t="s">
        <v>468</v>
      </c>
      <c r="C946">
        <v>74</v>
      </c>
      <c r="D946">
        <v>2091.16</v>
      </c>
      <c r="E946">
        <v>0</v>
      </c>
      <c r="F946">
        <v>0</v>
      </c>
      <c r="G946">
        <v>74</v>
      </c>
      <c r="H946">
        <v>2091.16</v>
      </c>
      <c r="I946">
        <v>0</v>
      </c>
      <c r="J946">
        <v>0</v>
      </c>
    </row>
    <row r="947" spans="1:10" x14ac:dyDescent="0.25">
      <c r="A947" t="s">
        <v>471</v>
      </c>
      <c r="B947" t="s">
        <v>470</v>
      </c>
      <c r="C947">
        <v>13</v>
      </c>
      <c r="D947">
        <v>191.48999999999998</v>
      </c>
      <c r="E947">
        <v>0</v>
      </c>
      <c r="F947">
        <v>0</v>
      </c>
      <c r="G947">
        <v>13</v>
      </c>
      <c r="H947">
        <v>191.48999999999998</v>
      </c>
      <c r="I947">
        <v>0</v>
      </c>
      <c r="J947">
        <v>0</v>
      </c>
    </row>
    <row r="948" spans="1:10" x14ac:dyDescent="0.25">
      <c r="A948" t="s">
        <v>473</v>
      </c>
      <c r="B948" t="s">
        <v>472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10.64</v>
      </c>
    </row>
    <row r="949" spans="1:10" x14ac:dyDescent="0.25">
      <c r="A949" t="s">
        <v>475</v>
      </c>
      <c r="B949" t="s">
        <v>474</v>
      </c>
      <c r="C949">
        <v>5</v>
      </c>
      <c r="D949">
        <v>97.62</v>
      </c>
      <c r="E949">
        <v>0</v>
      </c>
      <c r="F949">
        <v>0</v>
      </c>
      <c r="G949">
        <v>5</v>
      </c>
      <c r="H949">
        <v>97.62</v>
      </c>
      <c r="I949">
        <v>15</v>
      </c>
      <c r="J949">
        <v>248.05</v>
      </c>
    </row>
    <row r="950" spans="1:10" x14ac:dyDescent="0.25">
      <c r="A950" t="s">
        <v>477</v>
      </c>
      <c r="B950" t="s">
        <v>476</v>
      </c>
      <c r="C950">
        <v>72</v>
      </c>
      <c r="D950">
        <v>2028.94</v>
      </c>
      <c r="E950">
        <v>561</v>
      </c>
      <c r="F950">
        <v>16981.76999999988</v>
      </c>
      <c r="G950">
        <v>633</v>
      </c>
      <c r="H950">
        <v>19010.709999999879</v>
      </c>
      <c r="I950">
        <v>243</v>
      </c>
      <c r="J950">
        <v>7185.6299999999992</v>
      </c>
    </row>
    <row r="951" spans="1:10" x14ac:dyDescent="0.25">
      <c r="A951" t="s">
        <v>479</v>
      </c>
      <c r="B951" t="s">
        <v>478</v>
      </c>
      <c r="C951">
        <v>30</v>
      </c>
      <c r="D951">
        <v>665.80000000000007</v>
      </c>
      <c r="E951">
        <v>0</v>
      </c>
      <c r="F951">
        <v>0</v>
      </c>
      <c r="G951">
        <v>30</v>
      </c>
      <c r="H951">
        <v>665.80000000000007</v>
      </c>
      <c r="I951">
        <v>130</v>
      </c>
      <c r="J951">
        <v>2560.5</v>
      </c>
    </row>
    <row r="952" spans="1:10" x14ac:dyDescent="0.25">
      <c r="A952" t="s">
        <v>482</v>
      </c>
      <c r="B952" t="s">
        <v>481</v>
      </c>
      <c r="C952">
        <v>25</v>
      </c>
      <c r="D952">
        <v>993.72</v>
      </c>
      <c r="E952">
        <v>1</v>
      </c>
      <c r="F952">
        <v>59.9</v>
      </c>
      <c r="G952">
        <v>26</v>
      </c>
      <c r="H952">
        <v>1053.6200000000001</v>
      </c>
      <c r="I952">
        <v>17</v>
      </c>
      <c r="J952">
        <v>716.4</v>
      </c>
    </row>
    <row r="953" spans="1:10" x14ac:dyDescent="0.25">
      <c r="A953" t="s">
        <v>484</v>
      </c>
      <c r="B953" t="s">
        <v>483</v>
      </c>
      <c r="C953">
        <v>5</v>
      </c>
      <c r="D953">
        <v>100.64000000000001</v>
      </c>
      <c r="E953">
        <v>0</v>
      </c>
      <c r="F953">
        <v>0</v>
      </c>
      <c r="G953">
        <v>5</v>
      </c>
      <c r="H953">
        <v>100.64000000000001</v>
      </c>
      <c r="I953">
        <v>10</v>
      </c>
      <c r="J953">
        <v>204.26999999999998</v>
      </c>
    </row>
    <row r="954" spans="1:10" x14ac:dyDescent="0.25">
      <c r="A954" t="s">
        <v>486</v>
      </c>
      <c r="B954" t="s">
        <v>485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9.86</v>
      </c>
    </row>
    <row r="955" spans="1:10" x14ac:dyDescent="0.25">
      <c r="A955" t="s">
        <v>488</v>
      </c>
      <c r="B955" t="s">
        <v>487</v>
      </c>
      <c r="C955">
        <v>24</v>
      </c>
      <c r="D955">
        <v>339.75</v>
      </c>
      <c r="E955">
        <v>0</v>
      </c>
      <c r="F955">
        <v>0</v>
      </c>
      <c r="G955">
        <v>24</v>
      </c>
      <c r="H955">
        <v>339.75</v>
      </c>
      <c r="I955">
        <v>0</v>
      </c>
      <c r="J955">
        <v>0</v>
      </c>
    </row>
    <row r="956" spans="1:10" x14ac:dyDescent="0.25">
      <c r="A956" t="s">
        <v>490</v>
      </c>
      <c r="B956" t="s">
        <v>489</v>
      </c>
      <c r="C956">
        <v>5</v>
      </c>
      <c r="D956">
        <v>186.48000000000002</v>
      </c>
      <c r="E956">
        <v>12</v>
      </c>
      <c r="F956">
        <v>506.69999999999993</v>
      </c>
      <c r="G956">
        <v>17</v>
      </c>
      <c r="H956">
        <v>693.18</v>
      </c>
      <c r="I956">
        <v>190</v>
      </c>
      <c r="J956">
        <v>7207.1499999999987</v>
      </c>
    </row>
    <row r="957" spans="1:10" x14ac:dyDescent="0.25">
      <c r="A957" t="s">
        <v>492</v>
      </c>
      <c r="B957" t="s">
        <v>491</v>
      </c>
      <c r="C957">
        <v>0</v>
      </c>
      <c r="D957">
        <v>0</v>
      </c>
      <c r="E957">
        <v>31</v>
      </c>
      <c r="F957">
        <v>1442.9000000000005</v>
      </c>
      <c r="G957">
        <v>31</v>
      </c>
      <c r="H957">
        <v>1442.9000000000005</v>
      </c>
      <c r="I957">
        <v>159</v>
      </c>
      <c r="J957">
        <v>4548.99</v>
      </c>
    </row>
    <row r="958" spans="1:10" x14ac:dyDescent="0.25">
      <c r="A958" t="s">
        <v>494</v>
      </c>
      <c r="B958" t="s">
        <v>493</v>
      </c>
      <c r="C958">
        <v>47</v>
      </c>
      <c r="D958">
        <v>1409.6499999999999</v>
      </c>
      <c r="E958">
        <v>1</v>
      </c>
      <c r="F958">
        <v>39.9</v>
      </c>
      <c r="G958">
        <v>48</v>
      </c>
      <c r="H958">
        <v>1449.55</v>
      </c>
      <c r="I958">
        <v>68</v>
      </c>
      <c r="J958">
        <v>1929.5399999999997</v>
      </c>
    </row>
    <row r="959" spans="1:10" x14ac:dyDescent="0.25">
      <c r="A959" t="s">
        <v>496</v>
      </c>
      <c r="B959" t="s">
        <v>495</v>
      </c>
      <c r="C959">
        <v>8</v>
      </c>
      <c r="D959">
        <v>198.73000000000002</v>
      </c>
      <c r="E959">
        <v>0</v>
      </c>
      <c r="F959">
        <v>0</v>
      </c>
      <c r="G959">
        <v>8</v>
      </c>
      <c r="H959">
        <v>198.73000000000002</v>
      </c>
      <c r="I959">
        <v>4</v>
      </c>
      <c r="J959">
        <v>94.68</v>
      </c>
    </row>
    <row r="960" spans="1:10" x14ac:dyDescent="0.25">
      <c r="A960" t="s">
        <v>498</v>
      </c>
      <c r="B960" t="s">
        <v>497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t="s">
        <v>500</v>
      </c>
      <c r="B961" t="s">
        <v>499</v>
      </c>
      <c r="C961">
        <v>1</v>
      </c>
      <c r="D961">
        <v>26.97</v>
      </c>
      <c r="E961">
        <v>511</v>
      </c>
      <c r="F961">
        <v>16991.059999999899</v>
      </c>
      <c r="G961">
        <v>512</v>
      </c>
      <c r="H961">
        <v>17018.029999999901</v>
      </c>
      <c r="I961">
        <v>1091</v>
      </c>
      <c r="J961">
        <v>29204.000000000004</v>
      </c>
    </row>
    <row r="962" spans="1:10" x14ac:dyDescent="0.25">
      <c r="A962" t="s">
        <v>502</v>
      </c>
      <c r="B962" t="s">
        <v>501</v>
      </c>
      <c r="C962">
        <v>2</v>
      </c>
      <c r="D962">
        <v>151.86000000000001</v>
      </c>
      <c r="E962">
        <v>0</v>
      </c>
      <c r="F962">
        <v>0</v>
      </c>
      <c r="G962">
        <v>2</v>
      </c>
      <c r="H962">
        <v>151.86000000000001</v>
      </c>
      <c r="I962">
        <v>8</v>
      </c>
      <c r="J962">
        <v>684.63</v>
      </c>
    </row>
    <row r="963" spans="1:10" x14ac:dyDescent="0.25">
      <c r="A963" t="s">
        <v>504</v>
      </c>
      <c r="B963" t="s">
        <v>503</v>
      </c>
      <c r="C963">
        <v>14</v>
      </c>
      <c r="D963">
        <v>58.41</v>
      </c>
      <c r="E963">
        <v>0</v>
      </c>
      <c r="F963">
        <v>0</v>
      </c>
      <c r="G963">
        <v>14</v>
      </c>
      <c r="H963">
        <v>58.41</v>
      </c>
      <c r="I963">
        <v>6</v>
      </c>
      <c r="J963">
        <v>32.700000000000003</v>
      </c>
    </row>
    <row r="964" spans="1:10" x14ac:dyDescent="0.25">
      <c r="A964" t="s">
        <v>506</v>
      </c>
      <c r="B964" t="s">
        <v>505</v>
      </c>
      <c r="C964">
        <v>1</v>
      </c>
      <c r="D964">
        <v>66.58</v>
      </c>
      <c r="E964">
        <v>0</v>
      </c>
      <c r="F964">
        <v>0</v>
      </c>
      <c r="G964">
        <v>1</v>
      </c>
      <c r="H964">
        <v>66.58</v>
      </c>
      <c r="I964">
        <v>2</v>
      </c>
      <c r="J964">
        <v>118.81</v>
      </c>
    </row>
    <row r="965" spans="1:10" x14ac:dyDescent="0.25">
      <c r="A965" t="s">
        <v>508</v>
      </c>
      <c r="B965" t="s">
        <v>507</v>
      </c>
      <c r="C965">
        <v>3</v>
      </c>
      <c r="D965">
        <v>10.49</v>
      </c>
      <c r="E965">
        <v>0</v>
      </c>
      <c r="F965">
        <v>0</v>
      </c>
      <c r="G965">
        <v>3</v>
      </c>
      <c r="H965">
        <v>10.49</v>
      </c>
      <c r="I965">
        <v>11</v>
      </c>
      <c r="J965">
        <v>39.089999999999996</v>
      </c>
    </row>
    <row r="966" spans="1:10" x14ac:dyDescent="0.25">
      <c r="A966" t="s">
        <v>510</v>
      </c>
      <c r="B966" t="s">
        <v>509</v>
      </c>
      <c r="C966">
        <v>199</v>
      </c>
      <c r="D966">
        <v>2973.83</v>
      </c>
      <c r="E966">
        <v>0</v>
      </c>
      <c r="F966">
        <v>0</v>
      </c>
      <c r="G966">
        <v>199</v>
      </c>
      <c r="H966">
        <v>2973.83</v>
      </c>
      <c r="I966">
        <v>200</v>
      </c>
      <c r="J966">
        <v>2480.7799999999997</v>
      </c>
    </row>
    <row r="967" spans="1:10" x14ac:dyDescent="0.25">
      <c r="A967" t="s">
        <v>512</v>
      </c>
      <c r="B967" t="s">
        <v>511</v>
      </c>
      <c r="C967">
        <v>66</v>
      </c>
      <c r="D967">
        <v>1357.8700000000001</v>
      </c>
      <c r="E967">
        <v>0</v>
      </c>
      <c r="F967">
        <v>0</v>
      </c>
      <c r="G967">
        <v>66</v>
      </c>
      <c r="H967">
        <v>1357.8700000000001</v>
      </c>
      <c r="I967">
        <v>57</v>
      </c>
      <c r="J967">
        <v>1206.24</v>
      </c>
    </row>
    <row r="968" spans="1:10" x14ac:dyDescent="0.25">
      <c r="A968" t="s">
        <v>480</v>
      </c>
      <c r="B968" t="s">
        <v>478</v>
      </c>
      <c r="C968">
        <v>2</v>
      </c>
      <c r="D968">
        <v>22.14</v>
      </c>
      <c r="E968">
        <v>253</v>
      </c>
      <c r="F968">
        <v>3814.7000000000157</v>
      </c>
      <c r="G968">
        <v>255</v>
      </c>
      <c r="H968">
        <v>3836.8400000000156</v>
      </c>
      <c r="I968">
        <v>610</v>
      </c>
      <c r="J968">
        <v>6077.06</v>
      </c>
    </row>
    <row r="969" spans="1:10" x14ac:dyDescent="0.25">
      <c r="A969" t="s">
        <v>514</v>
      </c>
      <c r="B969" t="s">
        <v>513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3</v>
      </c>
      <c r="J969">
        <v>74.5</v>
      </c>
    </row>
    <row r="970" spans="1:10" x14ac:dyDescent="0.25">
      <c r="A970" t="s">
        <v>516</v>
      </c>
      <c r="B970" t="s">
        <v>515</v>
      </c>
      <c r="C970">
        <v>361</v>
      </c>
      <c r="D970">
        <v>5152.8799999999992</v>
      </c>
      <c r="E970">
        <v>0</v>
      </c>
      <c r="F970">
        <v>0</v>
      </c>
      <c r="G970">
        <v>361</v>
      </c>
      <c r="H970">
        <v>5152.8799999999992</v>
      </c>
      <c r="I970">
        <v>61</v>
      </c>
      <c r="J970">
        <v>964.33999999999992</v>
      </c>
    </row>
    <row r="971" spans="1:10" x14ac:dyDescent="0.25">
      <c r="A971" t="s">
        <v>518</v>
      </c>
      <c r="B971" t="s">
        <v>517</v>
      </c>
      <c r="C971">
        <v>5</v>
      </c>
      <c r="D971">
        <v>103.55</v>
      </c>
      <c r="E971">
        <v>107</v>
      </c>
      <c r="F971">
        <v>2748.5900000000051</v>
      </c>
      <c r="G971">
        <v>112</v>
      </c>
      <c r="H971">
        <v>2852.1400000000053</v>
      </c>
      <c r="I971">
        <v>479</v>
      </c>
      <c r="J971">
        <v>9698.7800000000007</v>
      </c>
    </row>
    <row r="972" spans="1:10" x14ac:dyDescent="0.25">
      <c r="A972" t="s">
        <v>520</v>
      </c>
      <c r="B972" t="s">
        <v>519</v>
      </c>
      <c r="C972">
        <v>-4</v>
      </c>
      <c r="D972">
        <v>-230.16</v>
      </c>
      <c r="E972">
        <v>0</v>
      </c>
      <c r="F972">
        <v>0</v>
      </c>
      <c r="G972">
        <v>-4</v>
      </c>
      <c r="H972">
        <v>-230.16</v>
      </c>
      <c r="I972">
        <v>69</v>
      </c>
      <c r="J972">
        <v>4358.68</v>
      </c>
    </row>
    <row r="973" spans="1:10" x14ac:dyDescent="0.25">
      <c r="A973" t="s">
        <v>522</v>
      </c>
      <c r="B973" t="s">
        <v>521</v>
      </c>
      <c r="C973">
        <v>62</v>
      </c>
      <c r="D973">
        <v>2621.2599999999998</v>
      </c>
      <c r="E973">
        <v>16</v>
      </c>
      <c r="F973">
        <v>958.39999999999975</v>
      </c>
      <c r="G973">
        <v>78</v>
      </c>
      <c r="H973">
        <v>3579.6599999999994</v>
      </c>
      <c r="I973">
        <v>81</v>
      </c>
      <c r="J973">
        <v>3497.3799999999997</v>
      </c>
    </row>
    <row r="974" spans="1:10" x14ac:dyDescent="0.25">
      <c r="A974" t="s">
        <v>524</v>
      </c>
      <c r="B974" t="s">
        <v>523</v>
      </c>
      <c r="C974">
        <v>36</v>
      </c>
      <c r="D974">
        <v>3.64</v>
      </c>
      <c r="E974">
        <v>0</v>
      </c>
      <c r="F974">
        <v>0</v>
      </c>
      <c r="G974">
        <v>36</v>
      </c>
      <c r="H974">
        <v>3.64</v>
      </c>
      <c r="I974">
        <v>128</v>
      </c>
      <c r="J974">
        <v>492.45</v>
      </c>
    </row>
    <row r="975" spans="1:10" x14ac:dyDescent="0.25">
      <c r="A975" t="s">
        <v>526</v>
      </c>
      <c r="B975" t="s">
        <v>525</v>
      </c>
      <c r="C975">
        <v>9</v>
      </c>
      <c r="D975">
        <v>199.98</v>
      </c>
      <c r="E975">
        <v>3</v>
      </c>
      <c r="F975">
        <v>104.69999999999999</v>
      </c>
      <c r="G975">
        <v>12</v>
      </c>
      <c r="H975">
        <v>304.67999999999995</v>
      </c>
      <c r="I975">
        <v>62</v>
      </c>
      <c r="J975">
        <v>1299.4100000000001</v>
      </c>
    </row>
    <row r="976" spans="1:10" x14ac:dyDescent="0.25">
      <c r="A976" t="s">
        <v>528</v>
      </c>
      <c r="B976" t="s">
        <v>527</v>
      </c>
      <c r="C976">
        <v>43</v>
      </c>
      <c r="D976">
        <v>1896.1</v>
      </c>
      <c r="E976">
        <v>23</v>
      </c>
      <c r="F976">
        <v>1095.6999999999998</v>
      </c>
      <c r="G976">
        <v>66</v>
      </c>
      <c r="H976">
        <v>2991.7999999999997</v>
      </c>
      <c r="I976">
        <v>136</v>
      </c>
      <c r="J976">
        <v>5664.4500000000007</v>
      </c>
    </row>
    <row r="977" spans="1:10" x14ac:dyDescent="0.25">
      <c r="A977" t="s">
        <v>530</v>
      </c>
      <c r="B977" t="s">
        <v>529</v>
      </c>
      <c r="C977">
        <v>7</v>
      </c>
      <c r="D977">
        <v>332.73</v>
      </c>
      <c r="E977">
        <v>0</v>
      </c>
      <c r="F977">
        <v>0</v>
      </c>
      <c r="G977">
        <v>7</v>
      </c>
      <c r="H977">
        <v>332.73</v>
      </c>
      <c r="I977">
        <v>29</v>
      </c>
      <c r="J977">
        <v>1092.56</v>
      </c>
    </row>
    <row r="978" spans="1:10" x14ac:dyDescent="0.25">
      <c r="A978" t="s">
        <v>532</v>
      </c>
      <c r="B978" t="s">
        <v>531</v>
      </c>
      <c r="C978">
        <v>48</v>
      </c>
      <c r="D978">
        <v>271.81</v>
      </c>
      <c r="E978">
        <v>0</v>
      </c>
      <c r="F978">
        <v>0</v>
      </c>
      <c r="G978">
        <v>48</v>
      </c>
      <c r="H978">
        <v>271.81</v>
      </c>
      <c r="I978">
        <v>107</v>
      </c>
      <c r="J978">
        <v>604.37</v>
      </c>
    </row>
    <row r="979" spans="1:10" x14ac:dyDescent="0.25">
      <c r="A979" t="s">
        <v>534</v>
      </c>
      <c r="B979" t="s">
        <v>533</v>
      </c>
      <c r="C979">
        <v>2</v>
      </c>
      <c r="D979">
        <v>98.08</v>
      </c>
      <c r="E979">
        <v>0</v>
      </c>
      <c r="F979">
        <v>0</v>
      </c>
      <c r="G979">
        <v>2</v>
      </c>
      <c r="H979">
        <v>98.08</v>
      </c>
      <c r="I979">
        <v>7</v>
      </c>
      <c r="J979">
        <v>345.81</v>
      </c>
    </row>
    <row r="980" spans="1:10" x14ac:dyDescent="0.25">
      <c r="A980" t="s">
        <v>536</v>
      </c>
      <c r="B980" t="s">
        <v>535</v>
      </c>
      <c r="C980">
        <v>1</v>
      </c>
      <c r="D980">
        <v>18.03</v>
      </c>
      <c r="E980">
        <v>0</v>
      </c>
      <c r="F980">
        <v>0</v>
      </c>
      <c r="G980">
        <v>1</v>
      </c>
      <c r="H980">
        <v>18.03</v>
      </c>
      <c r="I980">
        <v>0</v>
      </c>
      <c r="J980">
        <v>0</v>
      </c>
    </row>
    <row r="981" spans="1:10" x14ac:dyDescent="0.25">
      <c r="A981" t="s">
        <v>538</v>
      </c>
      <c r="B981" t="s">
        <v>537</v>
      </c>
      <c r="C981">
        <v>15</v>
      </c>
      <c r="D981">
        <v>942.38</v>
      </c>
      <c r="E981">
        <v>2</v>
      </c>
      <c r="F981">
        <v>159.80000000000001</v>
      </c>
      <c r="G981">
        <v>17</v>
      </c>
      <c r="H981">
        <v>1102.18</v>
      </c>
      <c r="I981">
        <v>64</v>
      </c>
      <c r="J981">
        <v>3830.5099999999998</v>
      </c>
    </row>
    <row r="982" spans="1:10" x14ac:dyDescent="0.25">
      <c r="A982" t="s">
        <v>540</v>
      </c>
      <c r="B982" t="s">
        <v>539</v>
      </c>
      <c r="C982">
        <v>3</v>
      </c>
      <c r="D982">
        <v>101.14</v>
      </c>
      <c r="E982">
        <v>0</v>
      </c>
      <c r="F982">
        <v>0</v>
      </c>
      <c r="G982">
        <v>3</v>
      </c>
      <c r="H982">
        <v>101.14</v>
      </c>
      <c r="I982">
        <v>10</v>
      </c>
      <c r="J982">
        <v>349.02</v>
      </c>
    </row>
    <row r="983" spans="1:10" x14ac:dyDescent="0.25">
      <c r="A983" t="s">
        <v>542</v>
      </c>
      <c r="B983" t="s">
        <v>541</v>
      </c>
      <c r="C983">
        <v>-1</v>
      </c>
      <c r="D983">
        <v>-5.12</v>
      </c>
      <c r="E983">
        <v>0</v>
      </c>
      <c r="F983">
        <v>0</v>
      </c>
      <c r="G983">
        <v>-1</v>
      </c>
      <c r="H983">
        <v>-5.12</v>
      </c>
      <c r="I983">
        <v>1</v>
      </c>
      <c r="J983">
        <v>6.68</v>
      </c>
    </row>
    <row r="984" spans="1:10" x14ac:dyDescent="0.25">
      <c r="A984" t="s">
        <v>544</v>
      </c>
      <c r="B984" t="s">
        <v>543</v>
      </c>
      <c r="C984">
        <v>178</v>
      </c>
      <c r="D984">
        <v>3604.5600000000004</v>
      </c>
      <c r="E984">
        <v>0</v>
      </c>
      <c r="F984">
        <v>0</v>
      </c>
      <c r="G984">
        <v>178</v>
      </c>
      <c r="H984">
        <v>3604.5600000000004</v>
      </c>
      <c r="I984">
        <v>399</v>
      </c>
      <c r="J984">
        <v>8196.3599999999988</v>
      </c>
    </row>
    <row r="985" spans="1:10" x14ac:dyDescent="0.25">
      <c r="A985" t="s">
        <v>546</v>
      </c>
      <c r="B985" t="s">
        <v>545</v>
      </c>
      <c r="C985">
        <v>93</v>
      </c>
      <c r="D985">
        <v>687.96</v>
      </c>
      <c r="E985">
        <v>0</v>
      </c>
      <c r="F985">
        <v>0</v>
      </c>
      <c r="G985">
        <v>93</v>
      </c>
      <c r="H985">
        <v>687.96</v>
      </c>
      <c r="I985">
        <v>93</v>
      </c>
      <c r="J985">
        <v>765.85</v>
      </c>
    </row>
    <row r="986" spans="1:10" x14ac:dyDescent="0.25">
      <c r="A986" t="s">
        <v>548</v>
      </c>
      <c r="B986" t="s">
        <v>547</v>
      </c>
      <c r="C986">
        <v>16</v>
      </c>
      <c r="D986">
        <v>317.03000000000003</v>
      </c>
      <c r="E986">
        <v>0</v>
      </c>
      <c r="F986">
        <v>0</v>
      </c>
      <c r="G986">
        <v>16</v>
      </c>
      <c r="H986">
        <v>317.03000000000003</v>
      </c>
      <c r="I986">
        <v>18</v>
      </c>
      <c r="J986">
        <v>357.93</v>
      </c>
    </row>
    <row r="987" spans="1:10" x14ac:dyDescent="0.25">
      <c r="A987" t="s">
        <v>550</v>
      </c>
      <c r="B987" t="s">
        <v>549</v>
      </c>
      <c r="C987">
        <v>62</v>
      </c>
      <c r="D987">
        <v>393.92</v>
      </c>
      <c r="E987">
        <v>0</v>
      </c>
      <c r="F987">
        <v>0</v>
      </c>
      <c r="G987">
        <v>62</v>
      </c>
      <c r="H987">
        <v>393.92</v>
      </c>
      <c r="I987">
        <v>93</v>
      </c>
      <c r="J987">
        <v>418.45</v>
      </c>
    </row>
    <row r="988" spans="1:10" x14ac:dyDescent="0.25">
      <c r="A988" t="s">
        <v>552</v>
      </c>
      <c r="B988" t="s">
        <v>551</v>
      </c>
      <c r="C988">
        <v>51</v>
      </c>
      <c r="D988">
        <v>1264.3</v>
      </c>
      <c r="E988">
        <v>0</v>
      </c>
      <c r="F988">
        <v>0</v>
      </c>
      <c r="G988">
        <v>51</v>
      </c>
      <c r="H988">
        <v>1264.3</v>
      </c>
      <c r="I988">
        <v>197</v>
      </c>
      <c r="J988">
        <v>4353.119999999999</v>
      </c>
    </row>
    <row r="989" spans="1:10" x14ac:dyDescent="0.25">
      <c r="A989" t="s">
        <v>554</v>
      </c>
      <c r="B989" t="s">
        <v>553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 t="s">
        <v>556</v>
      </c>
      <c r="B990" t="s">
        <v>555</v>
      </c>
      <c r="C990">
        <v>11</v>
      </c>
      <c r="D990">
        <v>45.739999999999995</v>
      </c>
      <c r="E990">
        <v>0</v>
      </c>
      <c r="F990">
        <v>0</v>
      </c>
      <c r="G990">
        <v>11</v>
      </c>
      <c r="H990">
        <v>45.739999999999995</v>
      </c>
      <c r="I990">
        <v>0</v>
      </c>
      <c r="J990">
        <v>0</v>
      </c>
    </row>
    <row r="991" spans="1:10" x14ac:dyDescent="0.25">
      <c r="A991" t="s">
        <v>558</v>
      </c>
      <c r="B991" t="s">
        <v>557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 t="s">
        <v>560</v>
      </c>
      <c r="B992" t="s">
        <v>559</v>
      </c>
      <c r="C992">
        <v>40</v>
      </c>
      <c r="D992">
        <v>465.02000000000004</v>
      </c>
      <c r="E992">
        <v>0</v>
      </c>
      <c r="F992">
        <v>0</v>
      </c>
      <c r="G992">
        <v>40</v>
      </c>
      <c r="H992">
        <v>465.02000000000004</v>
      </c>
      <c r="I992">
        <v>127</v>
      </c>
      <c r="J992">
        <v>1220.3300000000002</v>
      </c>
    </row>
    <row r="993" spans="1:10" x14ac:dyDescent="0.25">
      <c r="A993" t="s">
        <v>562</v>
      </c>
      <c r="B993" t="s">
        <v>561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12</v>
      </c>
      <c r="J993">
        <v>97.32</v>
      </c>
    </row>
    <row r="994" spans="1:10" x14ac:dyDescent="0.25">
      <c r="A994" t="s">
        <v>564</v>
      </c>
      <c r="B994" t="s">
        <v>563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t="s">
        <v>566</v>
      </c>
      <c r="B995" t="s">
        <v>565</v>
      </c>
      <c r="C995">
        <v>0</v>
      </c>
      <c r="D995">
        <v>0</v>
      </c>
      <c r="E995">
        <v>28</v>
      </c>
      <c r="F995">
        <v>2304.0100000000007</v>
      </c>
      <c r="G995">
        <v>28</v>
      </c>
      <c r="H995">
        <v>2304.0100000000007</v>
      </c>
      <c r="I995">
        <v>14</v>
      </c>
      <c r="J995">
        <v>873.36</v>
      </c>
    </row>
    <row r="996" spans="1:10" x14ac:dyDescent="0.25">
      <c r="A996" t="s">
        <v>568</v>
      </c>
      <c r="B996" t="s">
        <v>567</v>
      </c>
      <c r="C996">
        <v>95</v>
      </c>
      <c r="D996">
        <v>1248.69</v>
      </c>
      <c r="E996">
        <v>0</v>
      </c>
      <c r="F996">
        <v>0</v>
      </c>
      <c r="G996">
        <v>95</v>
      </c>
      <c r="H996">
        <v>1248.69</v>
      </c>
      <c r="I996">
        <v>37</v>
      </c>
      <c r="J996">
        <v>505.47</v>
      </c>
    </row>
    <row r="997" spans="1:10" x14ac:dyDescent="0.25">
      <c r="A997" t="s">
        <v>570</v>
      </c>
      <c r="B997" t="s">
        <v>569</v>
      </c>
      <c r="C997">
        <v>3</v>
      </c>
      <c r="D997">
        <v>130.44</v>
      </c>
      <c r="E997">
        <v>0</v>
      </c>
      <c r="F997">
        <v>0</v>
      </c>
      <c r="G997">
        <v>3</v>
      </c>
      <c r="H997">
        <v>130.44</v>
      </c>
      <c r="I997">
        <v>3</v>
      </c>
      <c r="J997">
        <v>130.54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F443-D1E7-482C-AACA-CB660B942F5E}">
  <dimension ref="A1:N1055"/>
  <sheetViews>
    <sheetView topLeftCell="A3" workbookViewId="0">
      <selection activeCell="A3" sqref="A3:N1055"/>
    </sheetView>
  </sheetViews>
  <sheetFormatPr defaultRowHeight="15" x14ac:dyDescent="0.25"/>
  <cols>
    <col min="1" max="1" width="18.28515625" bestFit="1" customWidth="1"/>
    <col min="2" max="2" width="15.85546875" bestFit="1" customWidth="1"/>
    <col min="3" max="3" width="16.140625" bestFit="1" customWidth="1"/>
    <col min="4" max="4" width="21.85546875" bestFit="1" customWidth="1"/>
    <col min="5" max="5" width="14.7109375" bestFit="1" customWidth="1"/>
    <col min="6" max="6" width="20.28515625" bestFit="1" customWidth="1"/>
    <col min="7" max="7" width="28.85546875" bestFit="1" customWidth="1"/>
    <col min="8" max="8" width="20.42578125" bestFit="1" customWidth="1"/>
    <col min="9" max="9" width="26.140625" bestFit="1" customWidth="1"/>
    <col min="10" max="10" width="16.140625" bestFit="1" customWidth="1"/>
    <col min="11" max="11" width="21.85546875" bestFit="1" customWidth="1"/>
    <col min="12" max="12" width="16.42578125" bestFit="1" customWidth="1"/>
    <col min="13" max="13" width="16.7109375" bestFit="1" customWidth="1"/>
    <col min="14" max="14" width="18.85546875" bestFit="1" customWidth="1"/>
  </cols>
  <sheetData>
    <row r="1" spans="1:14" ht="23.25" x14ac:dyDescent="0.25">
      <c r="A1" s="107" t="s">
        <v>805</v>
      </c>
      <c r="B1" s="108"/>
      <c r="C1" s="111">
        <v>2024</v>
      </c>
      <c r="D1" s="111"/>
      <c r="E1" s="111"/>
      <c r="F1" s="111"/>
      <c r="G1" s="111"/>
      <c r="H1" s="111"/>
      <c r="I1" s="111"/>
      <c r="J1" s="112">
        <v>2023</v>
      </c>
      <c r="K1" s="112"/>
      <c r="L1" s="113" t="s">
        <v>801</v>
      </c>
      <c r="M1" s="114"/>
      <c r="N1" s="115"/>
    </row>
    <row r="2" spans="1:14" ht="23.25" x14ac:dyDescent="0.25">
      <c r="A2" s="109"/>
      <c r="B2" s="110"/>
      <c r="C2" s="119" t="s">
        <v>797</v>
      </c>
      <c r="D2" s="119"/>
      <c r="E2" s="111" t="s">
        <v>798</v>
      </c>
      <c r="F2" s="111"/>
      <c r="G2" s="15" t="s">
        <v>806</v>
      </c>
      <c r="H2" s="111" t="s">
        <v>800</v>
      </c>
      <c r="I2" s="111"/>
      <c r="J2" s="112"/>
      <c r="K2" s="112"/>
      <c r="L2" s="116"/>
      <c r="M2" s="117"/>
      <c r="N2" s="118"/>
    </row>
    <row r="3" spans="1:14" x14ac:dyDescent="0.25">
      <c r="A3" s="2" t="s">
        <v>1</v>
      </c>
      <c r="B3" s="2" t="s">
        <v>0</v>
      </c>
      <c r="C3" s="16" t="s">
        <v>789</v>
      </c>
      <c r="D3" s="17" t="s">
        <v>790</v>
      </c>
      <c r="E3" s="16" t="s">
        <v>807</v>
      </c>
      <c r="F3" s="17" t="s">
        <v>808</v>
      </c>
      <c r="G3" s="18" t="s">
        <v>809</v>
      </c>
      <c r="H3" s="16" t="s">
        <v>793</v>
      </c>
      <c r="I3" s="17" t="s">
        <v>794</v>
      </c>
      <c r="J3" s="16" t="s">
        <v>795</v>
      </c>
      <c r="K3" s="17" t="s">
        <v>796</v>
      </c>
      <c r="L3" s="19" t="s">
        <v>802</v>
      </c>
      <c r="M3" s="20" t="s">
        <v>803</v>
      </c>
      <c r="N3" s="18" t="s">
        <v>804</v>
      </c>
    </row>
    <row r="4" spans="1:14" x14ac:dyDescent="0.25">
      <c r="A4" s="21" t="s">
        <v>11</v>
      </c>
      <c r="B4" s="22" t="s">
        <v>10</v>
      </c>
      <c r="C4" s="21">
        <f>VLOOKUP(A4,[1]v_2024!F:I,3,FALSE)</f>
        <v>486</v>
      </c>
      <c r="D4" s="23">
        <f>VLOOKUP(A4,[1]v_2024!F:I,4,FALSE)</f>
        <v>6983.03</v>
      </c>
      <c r="E4" s="21">
        <f>VLOOKUP(A4,[1]s_2024!E:G,2,FALSE)</f>
        <v>3</v>
      </c>
      <c r="F4" s="23">
        <f>VLOOKUP(A4,[1]s_2024!E:G,3,FALSE)</f>
        <v>60.699999999999996</v>
      </c>
      <c r="G4" s="24">
        <f>F4/I4</f>
        <v>8.6175932354022652E-3</v>
      </c>
      <c r="H4" s="21">
        <f t="shared" ref="H4:I67" si="0">E4+C4</f>
        <v>489</v>
      </c>
      <c r="I4" s="23">
        <f t="shared" si="0"/>
        <v>7043.73</v>
      </c>
      <c r="J4" s="21">
        <f>VLOOKUP(A4,[1]v_2023!F:I,3,FALSE)</f>
        <v>14</v>
      </c>
      <c r="K4" s="23">
        <f>VLOOKUP(A4,[1]v_2023!F:I,4,FALSE)</f>
        <v>182.42</v>
      </c>
      <c r="L4" s="21">
        <f t="shared" ref="L4:M67" si="1">H4-J4</f>
        <v>475</v>
      </c>
      <c r="M4" s="25">
        <f t="shared" si="1"/>
        <v>6861.3099999999995</v>
      </c>
      <c r="N4" s="26">
        <f>M4/K4</f>
        <v>37.612706940028502</v>
      </c>
    </row>
    <row r="5" spans="1:14" x14ac:dyDescent="0.25">
      <c r="A5" s="21" t="s">
        <v>13</v>
      </c>
      <c r="B5" s="22" t="s">
        <v>12</v>
      </c>
      <c r="C5" s="21">
        <v>0</v>
      </c>
      <c r="D5" s="23">
        <v>0</v>
      </c>
      <c r="E5" s="21">
        <v>0</v>
      </c>
      <c r="F5" s="23">
        <v>0</v>
      </c>
      <c r="G5" s="24"/>
      <c r="H5" s="21">
        <f t="shared" si="0"/>
        <v>0</v>
      </c>
      <c r="I5" s="23">
        <f t="shared" si="0"/>
        <v>0</v>
      </c>
      <c r="J5" s="21">
        <v>0</v>
      </c>
      <c r="K5" s="23">
        <v>0</v>
      </c>
      <c r="L5" s="21">
        <f t="shared" si="1"/>
        <v>0</v>
      </c>
      <c r="M5" s="25">
        <f t="shared" si="1"/>
        <v>0</v>
      </c>
      <c r="N5" s="26"/>
    </row>
    <row r="6" spans="1:14" x14ac:dyDescent="0.25">
      <c r="A6" s="21" t="s">
        <v>15</v>
      </c>
      <c r="B6" s="22" t="s">
        <v>14</v>
      </c>
      <c r="C6" s="21">
        <f>VLOOKUP(A6,[1]v_2024!F:I,3,FALSE)</f>
        <v>6</v>
      </c>
      <c r="D6" s="23">
        <f>VLOOKUP(A6,[1]v_2024!F:I,4,FALSE)</f>
        <v>83.1</v>
      </c>
      <c r="E6" s="21">
        <v>0</v>
      </c>
      <c r="F6" s="23">
        <v>0</v>
      </c>
      <c r="G6" s="24">
        <f>F6/I6</f>
        <v>0</v>
      </c>
      <c r="H6" s="21">
        <f t="shared" si="0"/>
        <v>6</v>
      </c>
      <c r="I6" s="23">
        <f t="shared" si="0"/>
        <v>83.1</v>
      </c>
      <c r="J6" s="21">
        <f>VLOOKUP(A6,[1]v_2023!F:I,3,FALSE)</f>
        <v>1</v>
      </c>
      <c r="K6" s="23">
        <f>VLOOKUP(A6,[1]v_2023!F:I,4,FALSE)</f>
        <v>20.59</v>
      </c>
      <c r="L6" s="21">
        <f t="shared" si="1"/>
        <v>5</v>
      </c>
      <c r="M6" s="25">
        <f t="shared" si="1"/>
        <v>62.509999999999991</v>
      </c>
      <c r="N6" s="26">
        <f>M6/K6</f>
        <v>3.0359397765905776</v>
      </c>
    </row>
    <row r="7" spans="1:14" x14ac:dyDescent="0.25">
      <c r="A7" s="21" t="s">
        <v>17</v>
      </c>
      <c r="B7" s="22" t="s">
        <v>16</v>
      </c>
      <c r="C7" s="21">
        <v>0</v>
      </c>
      <c r="D7" s="23">
        <v>0</v>
      </c>
      <c r="E7" s="21">
        <v>0</v>
      </c>
      <c r="F7" s="23">
        <v>0</v>
      </c>
      <c r="G7" s="24"/>
      <c r="H7" s="21">
        <f t="shared" si="0"/>
        <v>0</v>
      </c>
      <c r="I7" s="23">
        <f t="shared" si="0"/>
        <v>0</v>
      </c>
      <c r="J7" s="21">
        <f>VLOOKUP(A7,[1]v_2023!F:I,3,FALSE)</f>
        <v>1</v>
      </c>
      <c r="K7" s="23">
        <f>VLOOKUP(A7,[1]v_2023!F:I,4,FALSE)</f>
        <v>19.690000000000001</v>
      </c>
      <c r="L7" s="21">
        <f t="shared" si="1"/>
        <v>-1</v>
      </c>
      <c r="M7" s="25">
        <f t="shared" si="1"/>
        <v>-19.690000000000001</v>
      </c>
      <c r="N7" s="26">
        <f>M7/K7</f>
        <v>-1</v>
      </c>
    </row>
    <row r="8" spans="1:14" x14ac:dyDescent="0.25">
      <c r="A8" s="21" t="s">
        <v>532</v>
      </c>
      <c r="B8" s="22" t="s">
        <v>531</v>
      </c>
      <c r="C8" s="21">
        <f>VLOOKUP(A8,[1]v_2024!F:I,3,FALSE)</f>
        <v>36</v>
      </c>
      <c r="D8" s="23">
        <f>VLOOKUP(A8,[1]v_2024!F:I,4,FALSE)</f>
        <v>211.74</v>
      </c>
      <c r="E8" s="21">
        <v>0</v>
      </c>
      <c r="F8" s="23">
        <v>0</v>
      </c>
      <c r="G8" s="24">
        <f>F8/I8</f>
        <v>0</v>
      </c>
      <c r="H8" s="21">
        <f t="shared" si="0"/>
        <v>36</v>
      </c>
      <c r="I8" s="23">
        <f t="shared" si="0"/>
        <v>211.74</v>
      </c>
      <c r="J8" s="21">
        <f>VLOOKUP(A8,[1]v_2023!F:I,3,FALSE)</f>
        <v>109</v>
      </c>
      <c r="K8" s="23">
        <f>VLOOKUP(A8,[1]v_2023!F:I,4,FALSE)</f>
        <v>755.85</v>
      </c>
      <c r="L8" s="21">
        <f t="shared" si="1"/>
        <v>-73</v>
      </c>
      <c r="M8" s="25">
        <f t="shared" si="1"/>
        <v>-544.11</v>
      </c>
      <c r="N8" s="26">
        <f>M8/K8</f>
        <v>-0.7198650525897996</v>
      </c>
    </row>
    <row r="9" spans="1:14" x14ac:dyDescent="0.25">
      <c r="A9" s="21" t="s">
        <v>19</v>
      </c>
      <c r="B9" s="22" t="s">
        <v>18</v>
      </c>
      <c r="C9" s="21">
        <f>VLOOKUP(A9,[1]v_2024!F:I,3,FALSE)</f>
        <v>0</v>
      </c>
      <c r="D9" s="23">
        <f>VLOOKUP(A9,[1]v_2024!F:I,4,FALSE)</f>
        <v>0</v>
      </c>
      <c r="E9" s="21">
        <v>0</v>
      </c>
      <c r="F9" s="23">
        <v>0</v>
      </c>
      <c r="G9" s="24"/>
      <c r="H9" s="21">
        <f t="shared" si="0"/>
        <v>0</v>
      </c>
      <c r="I9" s="23">
        <f t="shared" si="0"/>
        <v>0</v>
      </c>
      <c r="J9" s="21">
        <f>VLOOKUP(A9,[1]v_2023!F:I,3,FALSE)</f>
        <v>9</v>
      </c>
      <c r="K9" s="23">
        <f>VLOOKUP(A9,[1]v_2023!F:I,4,FALSE)</f>
        <v>71.489999999999995</v>
      </c>
      <c r="L9" s="21">
        <f t="shared" si="1"/>
        <v>-9</v>
      </c>
      <c r="M9" s="25">
        <f t="shared" si="1"/>
        <v>-71.489999999999995</v>
      </c>
      <c r="N9" s="26">
        <f>M9/K9</f>
        <v>-1</v>
      </c>
    </row>
    <row r="10" spans="1:14" x14ac:dyDescent="0.25">
      <c r="A10" s="21" t="s">
        <v>554</v>
      </c>
      <c r="B10" s="22" t="s">
        <v>553</v>
      </c>
      <c r="C10" s="21">
        <v>0</v>
      </c>
      <c r="D10" s="23">
        <v>0</v>
      </c>
      <c r="E10" s="21">
        <v>0</v>
      </c>
      <c r="F10" s="23">
        <v>0</v>
      </c>
      <c r="G10" s="24"/>
      <c r="H10" s="21">
        <f t="shared" si="0"/>
        <v>0</v>
      </c>
      <c r="I10" s="23">
        <f t="shared" si="0"/>
        <v>0</v>
      </c>
      <c r="J10" s="21">
        <v>0</v>
      </c>
      <c r="K10" s="23">
        <v>0</v>
      </c>
      <c r="L10" s="21">
        <f t="shared" si="1"/>
        <v>0</v>
      </c>
      <c r="M10" s="25">
        <f t="shared" si="1"/>
        <v>0</v>
      </c>
      <c r="N10" s="26"/>
    </row>
    <row r="11" spans="1:14" x14ac:dyDescent="0.25">
      <c r="A11" s="21" t="s">
        <v>21</v>
      </c>
      <c r="B11" s="22" t="s">
        <v>20</v>
      </c>
      <c r="C11" s="21">
        <f>VLOOKUP(A11,[1]v_2024!F:I,3,FALSE)</f>
        <v>6</v>
      </c>
      <c r="D11" s="23">
        <f>VLOOKUP(A11,[1]v_2024!F:I,4,FALSE)</f>
        <v>147.9</v>
      </c>
      <c r="E11" s="21">
        <v>0</v>
      </c>
      <c r="F11" s="23">
        <v>0</v>
      </c>
      <c r="G11" s="24">
        <f t="shared" ref="G11:G34" si="2">F11/I11</f>
        <v>0</v>
      </c>
      <c r="H11" s="21">
        <f t="shared" si="0"/>
        <v>6</v>
      </c>
      <c r="I11" s="23">
        <f t="shared" si="0"/>
        <v>147.9</v>
      </c>
      <c r="J11" s="21">
        <f>VLOOKUP(A11,[1]v_2023!F:I,3,FALSE)</f>
        <v>20</v>
      </c>
      <c r="K11" s="23">
        <f>VLOOKUP(A11,[1]v_2023!F:I,4,FALSE)</f>
        <v>325.83999999999997</v>
      </c>
      <c r="L11" s="21">
        <f t="shared" si="1"/>
        <v>-14</v>
      </c>
      <c r="M11" s="25">
        <f t="shared" si="1"/>
        <v>-177.93999999999997</v>
      </c>
      <c r="N11" s="26">
        <f>M11/K11</f>
        <v>-0.54609624355511899</v>
      </c>
    </row>
    <row r="12" spans="1:14" x14ac:dyDescent="0.25">
      <c r="A12" s="21" t="s">
        <v>23</v>
      </c>
      <c r="B12" s="22" t="s">
        <v>22</v>
      </c>
      <c r="C12" s="21">
        <f>VLOOKUP(A12,[1]v_2024!F:I,3,FALSE)</f>
        <v>275</v>
      </c>
      <c r="D12" s="23">
        <f>VLOOKUP(A12,[1]v_2024!F:I,4,FALSE)</f>
        <v>5023.29</v>
      </c>
      <c r="E12" s="21">
        <v>0</v>
      </c>
      <c r="F12" s="23">
        <v>0</v>
      </c>
      <c r="G12" s="24">
        <f t="shared" si="2"/>
        <v>0</v>
      </c>
      <c r="H12" s="21">
        <f t="shared" si="0"/>
        <v>275</v>
      </c>
      <c r="I12" s="23">
        <f t="shared" si="0"/>
        <v>5023.29</v>
      </c>
      <c r="J12" s="21">
        <f>VLOOKUP(A12,[1]v_2023!F:I,3,FALSE)</f>
        <v>258</v>
      </c>
      <c r="K12" s="23">
        <f>VLOOKUP(A12,[1]v_2023!F:I,4,FALSE)</f>
        <v>4379.4399999999996</v>
      </c>
      <c r="L12" s="21">
        <f t="shared" si="1"/>
        <v>17</v>
      </c>
      <c r="M12" s="25">
        <f t="shared" si="1"/>
        <v>643.85000000000036</v>
      </c>
      <c r="N12" s="26">
        <f>M12/K12</f>
        <v>0.14701651352684372</v>
      </c>
    </row>
    <row r="13" spans="1:14" x14ac:dyDescent="0.25">
      <c r="A13" s="21" t="s">
        <v>25</v>
      </c>
      <c r="B13" s="22" t="s">
        <v>24</v>
      </c>
      <c r="C13" s="21">
        <f>VLOOKUP(A13,[1]v_2024!F:I,3,FALSE)</f>
        <v>1</v>
      </c>
      <c r="D13" s="23">
        <f>VLOOKUP(A13,[1]v_2024!F:I,4,FALSE)</f>
        <v>20.41</v>
      </c>
      <c r="E13" s="21">
        <f>VLOOKUP(A13,[1]s_2024!E:G,2,FALSE)</f>
        <v>48</v>
      </c>
      <c r="F13" s="23">
        <f>VLOOKUP(A13,[1]s_2024!E:G,3,FALSE)</f>
        <v>1440.2000000000007</v>
      </c>
      <c r="G13" s="24">
        <f t="shared" si="2"/>
        <v>0.98602638623588768</v>
      </c>
      <c r="H13" s="21">
        <f t="shared" si="0"/>
        <v>49</v>
      </c>
      <c r="I13" s="23">
        <f t="shared" si="0"/>
        <v>1460.6100000000008</v>
      </c>
      <c r="J13" s="21">
        <f>VLOOKUP(A13,[1]v_2023!F:I,3,FALSE)</f>
        <v>388</v>
      </c>
      <c r="K13" s="23">
        <f>VLOOKUP(A13,[1]v_2023!F:I,4,FALSE)</f>
        <v>7919.08</v>
      </c>
      <c r="L13" s="21">
        <f t="shared" si="1"/>
        <v>-339</v>
      </c>
      <c r="M13" s="25">
        <f t="shared" si="1"/>
        <v>-6458.4699999999993</v>
      </c>
      <c r="N13" s="26">
        <f>M13/K13</f>
        <v>-0.81555812038772169</v>
      </c>
    </row>
    <row r="14" spans="1:14" x14ac:dyDescent="0.25">
      <c r="A14" s="21" t="s">
        <v>534</v>
      </c>
      <c r="B14" s="22" t="s">
        <v>533</v>
      </c>
      <c r="C14" s="21">
        <f>VLOOKUP(A14,[1]v_2024!F:I,3,FALSE)</f>
        <v>2</v>
      </c>
      <c r="D14" s="23">
        <f>VLOOKUP(A14,[1]v_2024!F:I,4,FALSE)</f>
        <v>98.08</v>
      </c>
      <c r="E14" s="21">
        <v>0</v>
      </c>
      <c r="F14" s="23">
        <v>0</v>
      </c>
      <c r="G14" s="24">
        <f t="shared" si="2"/>
        <v>0</v>
      </c>
      <c r="H14" s="21">
        <f t="shared" si="0"/>
        <v>2</v>
      </c>
      <c r="I14" s="23">
        <f t="shared" si="0"/>
        <v>98.08</v>
      </c>
      <c r="J14" s="21">
        <f>VLOOKUP(A14,[1]v_2023!F:I,3,FALSE)</f>
        <v>7</v>
      </c>
      <c r="K14" s="23">
        <f>VLOOKUP(A14,[1]v_2023!F:I,4,FALSE)</f>
        <v>364.33</v>
      </c>
      <c r="L14" s="21">
        <f t="shared" si="1"/>
        <v>-5</v>
      </c>
      <c r="M14" s="25">
        <f t="shared" si="1"/>
        <v>-266.25</v>
      </c>
      <c r="N14" s="26">
        <f>M14/K14</f>
        <v>-0.73079351137704829</v>
      </c>
    </row>
    <row r="15" spans="1:14" x14ac:dyDescent="0.25">
      <c r="A15" s="21" t="s">
        <v>27</v>
      </c>
      <c r="B15" s="22" t="s">
        <v>26</v>
      </c>
      <c r="C15" s="21">
        <f>VLOOKUP(A15,[1]v_2024!F:I,3,FALSE)</f>
        <v>1</v>
      </c>
      <c r="D15" s="23">
        <f>VLOOKUP(A15,[1]v_2024!F:I,4,FALSE)</f>
        <v>7.43</v>
      </c>
      <c r="E15" s="21">
        <v>0</v>
      </c>
      <c r="F15" s="23">
        <v>0</v>
      </c>
      <c r="G15" s="24">
        <f t="shared" si="2"/>
        <v>0</v>
      </c>
      <c r="H15" s="21">
        <f t="shared" si="0"/>
        <v>1</v>
      </c>
      <c r="I15" s="23">
        <f t="shared" si="0"/>
        <v>7.43</v>
      </c>
      <c r="J15" s="21">
        <v>0</v>
      </c>
      <c r="K15" s="23">
        <v>0</v>
      </c>
      <c r="L15" s="21">
        <f t="shared" si="1"/>
        <v>1</v>
      </c>
      <c r="M15" s="25">
        <f t="shared" si="1"/>
        <v>7.43</v>
      </c>
      <c r="N15" s="26"/>
    </row>
    <row r="16" spans="1:14" x14ac:dyDescent="0.25">
      <c r="A16" s="21" t="s">
        <v>29</v>
      </c>
      <c r="B16" s="22" t="s">
        <v>28</v>
      </c>
      <c r="C16" s="21">
        <f>VLOOKUP(A16,[1]v_2024!F:I,3,FALSE)</f>
        <v>2</v>
      </c>
      <c r="D16" s="23">
        <f>VLOOKUP(A16,[1]v_2024!F:I,4,FALSE)</f>
        <v>12.96</v>
      </c>
      <c r="E16" s="21">
        <v>0</v>
      </c>
      <c r="F16" s="23">
        <v>0</v>
      </c>
      <c r="G16" s="24">
        <f t="shared" si="2"/>
        <v>0</v>
      </c>
      <c r="H16" s="21">
        <f t="shared" si="0"/>
        <v>2</v>
      </c>
      <c r="I16" s="23">
        <f t="shared" si="0"/>
        <v>12.96</v>
      </c>
      <c r="J16" s="21">
        <v>0</v>
      </c>
      <c r="K16" s="23">
        <v>0</v>
      </c>
      <c r="L16" s="21">
        <f t="shared" si="1"/>
        <v>2</v>
      </c>
      <c r="M16" s="25">
        <f t="shared" si="1"/>
        <v>12.96</v>
      </c>
      <c r="N16" s="26"/>
    </row>
    <row r="17" spans="1:14" x14ac:dyDescent="0.25">
      <c r="A17" s="21" t="s">
        <v>31</v>
      </c>
      <c r="B17" s="22" t="s">
        <v>30</v>
      </c>
      <c r="C17" s="21">
        <f>VLOOKUP(A17,[1]v_2024!F:I,3,FALSE)</f>
        <v>19</v>
      </c>
      <c r="D17" s="23">
        <f>VLOOKUP(A17,[1]v_2024!F:I,4,FALSE)</f>
        <v>686.19</v>
      </c>
      <c r="E17" s="21">
        <v>0</v>
      </c>
      <c r="F17" s="23">
        <v>0</v>
      </c>
      <c r="G17" s="24">
        <f t="shared" si="2"/>
        <v>0</v>
      </c>
      <c r="H17" s="21">
        <f t="shared" si="0"/>
        <v>19</v>
      </c>
      <c r="I17" s="23">
        <f t="shared" si="0"/>
        <v>686.19</v>
      </c>
      <c r="J17" s="21">
        <f>VLOOKUP(A17,[1]v_2023!F:I,3,FALSE)</f>
        <v>99</v>
      </c>
      <c r="K17" s="23">
        <f>VLOOKUP(A17,[1]v_2023!F:I,4,FALSE)</f>
        <v>2832.39</v>
      </c>
      <c r="L17" s="21">
        <f t="shared" si="1"/>
        <v>-80</v>
      </c>
      <c r="M17" s="25">
        <f t="shared" si="1"/>
        <v>-2146.1999999999998</v>
      </c>
      <c r="N17" s="26">
        <f>M17/K17</f>
        <v>-0.75773463400167351</v>
      </c>
    </row>
    <row r="18" spans="1:14" x14ac:dyDescent="0.25">
      <c r="A18" s="21" t="s">
        <v>33</v>
      </c>
      <c r="B18" s="22" t="s">
        <v>32</v>
      </c>
      <c r="C18" s="21">
        <f>VLOOKUP(A18,[1]v_2024!F:I,3,FALSE)</f>
        <v>15</v>
      </c>
      <c r="D18" s="23">
        <f>VLOOKUP(A18,[1]v_2024!F:I,4,FALSE)</f>
        <v>209.45</v>
      </c>
      <c r="E18" s="21">
        <v>0</v>
      </c>
      <c r="F18" s="23">
        <v>0</v>
      </c>
      <c r="G18" s="24">
        <f t="shared" si="2"/>
        <v>0</v>
      </c>
      <c r="H18" s="21">
        <f t="shared" si="0"/>
        <v>15</v>
      </c>
      <c r="I18" s="23">
        <f t="shared" si="0"/>
        <v>209.45</v>
      </c>
      <c r="J18" s="21">
        <f>VLOOKUP(A18,[1]v_2023!F:I,3,FALSE)</f>
        <v>1487</v>
      </c>
      <c r="K18" s="23">
        <f>VLOOKUP(A18,[1]v_2023!F:I,4,FALSE)</f>
        <v>19352.55</v>
      </c>
      <c r="L18" s="21">
        <f t="shared" si="1"/>
        <v>-1472</v>
      </c>
      <c r="M18" s="25">
        <f t="shared" si="1"/>
        <v>-19143.099999999999</v>
      </c>
      <c r="N18" s="26">
        <f>M18/K18</f>
        <v>-0.98917713686310071</v>
      </c>
    </row>
    <row r="19" spans="1:14" x14ac:dyDescent="0.25">
      <c r="A19" s="21" t="s">
        <v>35</v>
      </c>
      <c r="B19" s="22" t="s">
        <v>34</v>
      </c>
      <c r="C19" s="21">
        <f>VLOOKUP(A19,[1]v_2024!F:I,3,FALSE)</f>
        <v>1</v>
      </c>
      <c r="D19" s="23">
        <f>VLOOKUP(A19,[1]v_2024!F:I,4,FALSE)</f>
        <v>15.05</v>
      </c>
      <c r="E19" s="21">
        <v>0</v>
      </c>
      <c r="F19" s="23">
        <v>0</v>
      </c>
      <c r="G19" s="24">
        <f t="shared" si="2"/>
        <v>0</v>
      </c>
      <c r="H19" s="21">
        <f t="shared" si="0"/>
        <v>1</v>
      </c>
      <c r="I19" s="23">
        <f t="shared" si="0"/>
        <v>15.05</v>
      </c>
      <c r="J19" s="21">
        <v>0</v>
      </c>
      <c r="K19" s="23">
        <v>0</v>
      </c>
      <c r="L19" s="21">
        <f t="shared" si="1"/>
        <v>1</v>
      </c>
      <c r="M19" s="25">
        <f t="shared" si="1"/>
        <v>15.05</v>
      </c>
      <c r="N19" s="26"/>
    </row>
    <row r="20" spans="1:14" x14ac:dyDescent="0.25">
      <c r="A20" s="21" t="s">
        <v>536</v>
      </c>
      <c r="B20" s="22" t="s">
        <v>535</v>
      </c>
      <c r="C20" s="21">
        <v>0</v>
      </c>
      <c r="D20" s="23">
        <v>0</v>
      </c>
      <c r="E20" s="21">
        <v>0</v>
      </c>
      <c r="F20" s="23">
        <v>0</v>
      </c>
      <c r="G20" s="24"/>
      <c r="H20" s="21">
        <f t="shared" si="0"/>
        <v>0</v>
      </c>
      <c r="I20" s="23">
        <f t="shared" si="0"/>
        <v>0</v>
      </c>
      <c r="J20" s="21">
        <v>0</v>
      </c>
      <c r="K20" s="23">
        <v>0</v>
      </c>
      <c r="L20" s="21">
        <f t="shared" si="1"/>
        <v>0</v>
      </c>
      <c r="M20" s="25">
        <f t="shared" si="1"/>
        <v>0</v>
      </c>
      <c r="N20" s="26"/>
    </row>
    <row r="21" spans="1:14" x14ac:dyDescent="0.25">
      <c r="A21" s="21" t="s">
        <v>37</v>
      </c>
      <c r="B21" s="22" t="s">
        <v>36</v>
      </c>
      <c r="C21" s="21">
        <f>VLOOKUP(A21,[1]v_2024!F:I,3,FALSE)</f>
        <v>0</v>
      </c>
      <c r="D21" s="23">
        <f>VLOOKUP(A21,[1]v_2024!F:I,4,FALSE)</f>
        <v>0</v>
      </c>
      <c r="E21" s="21">
        <v>0</v>
      </c>
      <c r="F21" s="23">
        <v>0</v>
      </c>
      <c r="G21" s="24"/>
      <c r="H21" s="21">
        <f t="shared" si="0"/>
        <v>0</v>
      </c>
      <c r="I21" s="23">
        <f t="shared" si="0"/>
        <v>0</v>
      </c>
      <c r="J21" s="21">
        <v>0</v>
      </c>
      <c r="K21" s="23">
        <v>0</v>
      </c>
      <c r="L21" s="21">
        <f t="shared" si="1"/>
        <v>0</v>
      </c>
      <c r="M21" s="25">
        <f t="shared" si="1"/>
        <v>0</v>
      </c>
      <c r="N21" s="26"/>
    </row>
    <row r="22" spans="1:14" x14ac:dyDescent="0.25">
      <c r="A22" s="21" t="s">
        <v>526</v>
      </c>
      <c r="B22" s="22" t="s">
        <v>525</v>
      </c>
      <c r="C22" s="21">
        <v>0</v>
      </c>
      <c r="D22" s="23">
        <v>0</v>
      </c>
      <c r="E22" s="21">
        <v>0</v>
      </c>
      <c r="F22" s="23">
        <v>0</v>
      </c>
      <c r="G22" s="24"/>
      <c r="H22" s="21">
        <f t="shared" si="0"/>
        <v>0</v>
      </c>
      <c r="I22" s="23">
        <f t="shared" si="0"/>
        <v>0</v>
      </c>
      <c r="J22" s="21">
        <v>0</v>
      </c>
      <c r="K22" s="23">
        <v>0</v>
      </c>
      <c r="L22" s="21">
        <f t="shared" si="1"/>
        <v>0</v>
      </c>
      <c r="M22" s="25">
        <f t="shared" si="1"/>
        <v>0</v>
      </c>
      <c r="N22" s="26"/>
    </row>
    <row r="23" spans="1:14" x14ac:dyDescent="0.25">
      <c r="A23" s="21" t="s">
        <v>39</v>
      </c>
      <c r="B23" s="22" t="s">
        <v>38</v>
      </c>
      <c r="C23" s="21">
        <v>0</v>
      </c>
      <c r="D23" s="23">
        <v>0</v>
      </c>
      <c r="E23" s="21">
        <f>VLOOKUP(A23,[1]s_2024!E:G,2,FALSE)</f>
        <v>6</v>
      </c>
      <c r="F23" s="23">
        <f>VLOOKUP(A23,[1]s_2024!E:G,3,FALSE)</f>
        <v>281.39999999999998</v>
      </c>
      <c r="G23" s="24">
        <f t="shared" si="2"/>
        <v>1</v>
      </c>
      <c r="H23" s="21">
        <f t="shared" si="0"/>
        <v>6</v>
      </c>
      <c r="I23" s="23">
        <f t="shared" si="0"/>
        <v>281.39999999999998</v>
      </c>
      <c r="J23" s="21">
        <v>0</v>
      </c>
      <c r="K23" s="23">
        <v>0</v>
      </c>
      <c r="L23" s="21">
        <f t="shared" si="1"/>
        <v>6</v>
      </c>
      <c r="M23" s="25">
        <f t="shared" si="1"/>
        <v>281.39999999999998</v>
      </c>
      <c r="N23" s="26"/>
    </row>
    <row r="24" spans="1:14" x14ac:dyDescent="0.25">
      <c r="A24" s="21" t="s">
        <v>41</v>
      </c>
      <c r="B24" s="22" t="s">
        <v>40</v>
      </c>
      <c r="C24" s="21">
        <f>VLOOKUP(A24,[1]v_2024!F:I,3,FALSE)</f>
        <v>1</v>
      </c>
      <c r="D24" s="23">
        <f>VLOOKUP(A24,[1]v_2024!F:I,4,FALSE)</f>
        <v>86.86</v>
      </c>
      <c r="E24" s="21">
        <v>0</v>
      </c>
      <c r="F24" s="23">
        <v>0</v>
      </c>
      <c r="G24" s="24">
        <f t="shared" si="2"/>
        <v>0</v>
      </c>
      <c r="H24" s="21">
        <f t="shared" si="0"/>
        <v>1</v>
      </c>
      <c r="I24" s="23">
        <f t="shared" si="0"/>
        <v>86.86</v>
      </c>
      <c r="J24" s="21">
        <f>VLOOKUP(A24,[1]v_2023!F:I,3,FALSE)</f>
        <v>3</v>
      </c>
      <c r="K24" s="23">
        <f>VLOOKUP(A24,[1]v_2023!F:I,4,FALSE)</f>
        <v>238.42</v>
      </c>
      <c r="L24" s="21">
        <f t="shared" si="1"/>
        <v>-2</v>
      </c>
      <c r="M24" s="25">
        <f t="shared" si="1"/>
        <v>-151.56</v>
      </c>
      <c r="N24" s="26">
        <f t="shared" ref="N24:N31" si="3">M24/K24</f>
        <v>-0.63568492576126168</v>
      </c>
    </row>
    <row r="25" spans="1:14" x14ac:dyDescent="0.25">
      <c r="A25" s="21" t="s">
        <v>508</v>
      </c>
      <c r="B25" s="22" t="s">
        <v>507</v>
      </c>
      <c r="C25" s="21">
        <f>VLOOKUP(A25,[1]v_2024!F:I,3,FALSE)</f>
        <v>2</v>
      </c>
      <c r="D25" s="23">
        <f>VLOOKUP(A25,[1]v_2024!F:I,4,FALSE)</f>
        <v>7.25</v>
      </c>
      <c r="E25" s="21">
        <v>0</v>
      </c>
      <c r="F25" s="23">
        <v>0</v>
      </c>
      <c r="G25" s="24">
        <f t="shared" si="2"/>
        <v>0</v>
      </c>
      <c r="H25" s="21">
        <f t="shared" si="0"/>
        <v>2</v>
      </c>
      <c r="I25" s="23">
        <f t="shared" si="0"/>
        <v>7.25</v>
      </c>
      <c r="J25" s="21">
        <f>VLOOKUP(A25,[1]v_2023!F:I,3,FALSE)</f>
        <v>13</v>
      </c>
      <c r="K25" s="23">
        <f>VLOOKUP(A25,[1]v_2023!F:I,4,FALSE)</f>
        <v>44.07</v>
      </c>
      <c r="L25" s="21">
        <f t="shared" si="1"/>
        <v>-11</v>
      </c>
      <c r="M25" s="25">
        <f t="shared" si="1"/>
        <v>-36.82</v>
      </c>
      <c r="N25" s="26">
        <f t="shared" si="3"/>
        <v>-0.83548899478103023</v>
      </c>
    </row>
    <row r="26" spans="1:14" x14ac:dyDescent="0.25">
      <c r="A26" s="21" t="s">
        <v>43</v>
      </c>
      <c r="B26" s="22" t="s">
        <v>42</v>
      </c>
      <c r="C26" s="21">
        <f>VLOOKUP(A26,[1]v_2024!F:I,3,FALSE)</f>
        <v>14</v>
      </c>
      <c r="D26" s="23">
        <f>VLOOKUP(A26,[1]v_2024!F:I,4,FALSE)</f>
        <v>260.2</v>
      </c>
      <c r="E26" s="21">
        <f>VLOOKUP(A26,[1]s_2024!E:G,2,FALSE)</f>
        <v>534</v>
      </c>
      <c r="F26" s="23">
        <f>VLOOKUP(A26,[1]s_2024!E:G,3,FALSE)</f>
        <v>10674.529999999895</v>
      </c>
      <c r="G26" s="24">
        <f t="shared" si="2"/>
        <v>0.97620425927297672</v>
      </c>
      <c r="H26" s="21">
        <f t="shared" si="0"/>
        <v>548</v>
      </c>
      <c r="I26" s="23">
        <f t="shared" si="0"/>
        <v>10934.729999999896</v>
      </c>
      <c r="J26" s="21">
        <f>VLOOKUP(A26,[1]v_2023!F:I,3,FALSE)</f>
        <v>2922</v>
      </c>
      <c r="K26" s="23">
        <f>VLOOKUP(A26,[1]v_2023!F:I,4,FALSE)</f>
        <v>34319.58</v>
      </c>
      <c r="L26" s="21">
        <f t="shared" si="1"/>
        <v>-2374</v>
      </c>
      <c r="M26" s="25">
        <f t="shared" si="1"/>
        <v>-23384.850000000108</v>
      </c>
      <c r="N26" s="26">
        <f t="shared" si="3"/>
        <v>-0.68138508688043697</v>
      </c>
    </row>
    <row r="27" spans="1:14" x14ac:dyDescent="0.25">
      <c r="A27" s="21" t="s">
        <v>504</v>
      </c>
      <c r="B27" s="22" t="s">
        <v>503</v>
      </c>
      <c r="C27" s="21">
        <f>VLOOKUP(A27,[1]v_2024!F:I,3,FALSE)</f>
        <v>14</v>
      </c>
      <c r="D27" s="23">
        <f>VLOOKUP(A27,[1]v_2024!F:I,4,FALSE)</f>
        <v>58.41</v>
      </c>
      <c r="E27" s="21">
        <v>0</v>
      </c>
      <c r="F27" s="23">
        <v>0</v>
      </c>
      <c r="G27" s="24">
        <f t="shared" si="2"/>
        <v>0</v>
      </c>
      <c r="H27" s="21">
        <f t="shared" si="0"/>
        <v>14</v>
      </c>
      <c r="I27" s="23">
        <f t="shared" si="0"/>
        <v>58.41</v>
      </c>
      <c r="J27" s="21">
        <f>VLOOKUP(A27,[1]v_2023!F:I,3,FALSE)</f>
        <v>9</v>
      </c>
      <c r="K27" s="23">
        <f>VLOOKUP(A27,[1]v_2023!F:I,4,FALSE)</f>
        <v>37.22</v>
      </c>
      <c r="L27" s="21">
        <f t="shared" si="1"/>
        <v>5</v>
      </c>
      <c r="M27" s="25">
        <f t="shared" si="1"/>
        <v>21.189999999999998</v>
      </c>
      <c r="N27" s="26">
        <f t="shared" si="3"/>
        <v>0.56931757119828041</v>
      </c>
    </row>
    <row r="28" spans="1:14" x14ac:dyDescent="0.25">
      <c r="A28" s="21" t="s">
        <v>45</v>
      </c>
      <c r="B28" s="22" t="s">
        <v>44</v>
      </c>
      <c r="C28" s="21">
        <v>0</v>
      </c>
      <c r="D28" s="23">
        <v>0</v>
      </c>
      <c r="E28" s="21">
        <v>0</v>
      </c>
      <c r="F28" s="23">
        <v>0</v>
      </c>
      <c r="G28" s="24"/>
      <c r="H28" s="21">
        <f t="shared" si="0"/>
        <v>0</v>
      </c>
      <c r="I28" s="23">
        <f t="shared" si="0"/>
        <v>0</v>
      </c>
      <c r="J28" s="21">
        <f>VLOOKUP(A28,[1]v_2023!F:I,3,FALSE)</f>
        <v>7</v>
      </c>
      <c r="K28" s="23">
        <f>VLOOKUP(A28,[1]v_2023!F:I,4,FALSE)</f>
        <v>42.76</v>
      </c>
      <c r="L28" s="21">
        <f t="shared" si="1"/>
        <v>-7</v>
      </c>
      <c r="M28" s="25">
        <f t="shared" si="1"/>
        <v>-42.76</v>
      </c>
      <c r="N28" s="26">
        <f t="shared" si="3"/>
        <v>-1</v>
      </c>
    </row>
    <row r="29" spans="1:14" x14ac:dyDescent="0.25">
      <c r="A29" s="21" t="s">
        <v>47</v>
      </c>
      <c r="B29" s="22" t="s">
        <v>46</v>
      </c>
      <c r="C29" s="21">
        <f>VLOOKUP(A29,[1]v_2024!F:I,3,FALSE)</f>
        <v>1</v>
      </c>
      <c r="D29" s="23">
        <f>VLOOKUP(A29,[1]v_2024!F:I,4,FALSE)</f>
        <v>35.32</v>
      </c>
      <c r="E29" s="21">
        <f>VLOOKUP(A29,[1]s_2024!E:G,2,FALSE)</f>
        <v>317</v>
      </c>
      <c r="F29" s="23">
        <f>VLOOKUP(A29,[1]s_2024!E:G,3,FALSE)</f>
        <v>11062.429999999938</v>
      </c>
      <c r="G29" s="24">
        <f t="shared" si="2"/>
        <v>0.99681737289090133</v>
      </c>
      <c r="H29" s="21">
        <f t="shared" si="0"/>
        <v>318</v>
      </c>
      <c r="I29" s="23">
        <f t="shared" si="0"/>
        <v>11097.749999999938</v>
      </c>
      <c r="J29" s="21">
        <f>VLOOKUP(A29,[1]v_2023!F:I,3,FALSE)</f>
        <v>597</v>
      </c>
      <c r="K29" s="23">
        <f>VLOOKUP(A29,[1]v_2023!F:I,4,FALSE)</f>
        <v>17144.47</v>
      </c>
      <c r="L29" s="21">
        <f t="shared" si="1"/>
        <v>-279</v>
      </c>
      <c r="M29" s="25">
        <f t="shared" si="1"/>
        <v>-6046.720000000063</v>
      </c>
      <c r="N29" s="26">
        <f t="shared" si="3"/>
        <v>-0.35269215088014166</v>
      </c>
    </row>
    <row r="30" spans="1:14" x14ac:dyDescent="0.25">
      <c r="A30" s="21" t="s">
        <v>512</v>
      </c>
      <c r="B30" s="22" t="s">
        <v>511</v>
      </c>
      <c r="C30" s="21">
        <f>VLOOKUP(A30,[1]v_2024!F:I,3,FALSE)</f>
        <v>37</v>
      </c>
      <c r="D30" s="23">
        <f>VLOOKUP(A30,[1]v_2024!F:I,4,FALSE)</f>
        <v>755.17</v>
      </c>
      <c r="E30" s="21">
        <v>0</v>
      </c>
      <c r="F30" s="23">
        <v>0</v>
      </c>
      <c r="G30" s="24">
        <f t="shared" si="2"/>
        <v>0</v>
      </c>
      <c r="H30" s="21">
        <f t="shared" si="0"/>
        <v>37</v>
      </c>
      <c r="I30" s="23">
        <f t="shared" si="0"/>
        <v>755.17</v>
      </c>
      <c r="J30" s="21">
        <f>VLOOKUP(A30,[1]v_2023!F:I,3,FALSE)</f>
        <v>60</v>
      </c>
      <c r="K30" s="23">
        <f>VLOOKUP(A30,[1]v_2023!F:I,4,FALSE)</f>
        <v>1297.24</v>
      </c>
      <c r="L30" s="21">
        <f t="shared" si="1"/>
        <v>-23</v>
      </c>
      <c r="M30" s="25">
        <f t="shared" si="1"/>
        <v>-542.07000000000005</v>
      </c>
      <c r="N30" s="26">
        <f t="shared" si="3"/>
        <v>-0.41786408066356268</v>
      </c>
    </row>
    <row r="31" spans="1:14" x14ac:dyDescent="0.25">
      <c r="A31" s="21" t="s">
        <v>492</v>
      </c>
      <c r="B31" s="22" t="s">
        <v>491</v>
      </c>
      <c r="C31" s="21">
        <f>VLOOKUP(A31,[1]v_2024!F:I,3,FALSE)</f>
        <v>0</v>
      </c>
      <c r="D31" s="23">
        <f>VLOOKUP(A31,[1]v_2024!F:I,4,FALSE)</f>
        <v>0</v>
      </c>
      <c r="E31" s="21">
        <f>VLOOKUP(A31,[1]s_2024!E:G,2,FALSE)</f>
        <v>8</v>
      </c>
      <c r="F31" s="23">
        <f>VLOOKUP(A31,[1]s_2024!E:G,3,FALSE)</f>
        <v>432.79999999999995</v>
      </c>
      <c r="G31" s="24">
        <f t="shared" si="2"/>
        <v>1</v>
      </c>
      <c r="H31" s="21">
        <f t="shared" si="0"/>
        <v>8</v>
      </c>
      <c r="I31" s="23">
        <f t="shared" si="0"/>
        <v>432.79999999999995</v>
      </c>
      <c r="J31" s="21">
        <f>VLOOKUP(A31,[1]v_2023!F:I,3,FALSE)</f>
        <v>266</v>
      </c>
      <c r="K31" s="23">
        <f>VLOOKUP(A31,[1]v_2023!F:I,4,FALSE)</f>
        <v>7610.26</v>
      </c>
      <c r="L31" s="21">
        <f t="shared" si="1"/>
        <v>-258</v>
      </c>
      <c r="M31" s="25">
        <f t="shared" si="1"/>
        <v>-7177.46</v>
      </c>
      <c r="N31" s="26">
        <f t="shared" si="3"/>
        <v>-0.94312940687965985</v>
      </c>
    </row>
    <row r="32" spans="1:14" x14ac:dyDescent="0.25">
      <c r="A32" s="21" t="s">
        <v>556</v>
      </c>
      <c r="B32" s="22" t="s">
        <v>555</v>
      </c>
      <c r="C32" s="21">
        <v>0</v>
      </c>
      <c r="D32" s="23">
        <v>0</v>
      </c>
      <c r="E32" s="21">
        <v>0</v>
      </c>
      <c r="F32" s="23">
        <v>0</v>
      </c>
      <c r="G32" s="24"/>
      <c r="H32" s="21">
        <f t="shared" si="0"/>
        <v>0</v>
      </c>
      <c r="I32" s="23">
        <f t="shared" si="0"/>
        <v>0</v>
      </c>
      <c r="J32" s="21">
        <v>0</v>
      </c>
      <c r="K32" s="23">
        <v>0</v>
      </c>
      <c r="L32" s="21">
        <f t="shared" si="1"/>
        <v>0</v>
      </c>
      <c r="M32" s="25">
        <f t="shared" si="1"/>
        <v>0</v>
      </c>
      <c r="N32" s="26"/>
    </row>
    <row r="33" spans="1:14" x14ac:dyDescent="0.25">
      <c r="A33" s="21" t="s">
        <v>49</v>
      </c>
      <c r="B33" s="22" t="s">
        <v>48</v>
      </c>
      <c r="C33" s="21">
        <f>VLOOKUP(A33,[1]v_2024!F:I,3,FALSE)</f>
        <v>2</v>
      </c>
      <c r="D33" s="23">
        <f>VLOOKUP(A33,[1]v_2024!F:I,4,FALSE)</f>
        <v>27.28</v>
      </c>
      <c r="E33" s="21">
        <v>0</v>
      </c>
      <c r="F33" s="23">
        <v>0</v>
      </c>
      <c r="G33" s="24">
        <f t="shared" si="2"/>
        <v>0</v>
      </c>
      <c r="H33" s="21">
        <f t="shared" si="0"/>
        <v>2</v>
      </c>
      <c r="I33" s="23">
        <f t="shared" si="0"/>
        <v>27.28</v>
      </c>
      <c r="J33" s="21">
        <f>VLOOKUP(A33,[1]v_2023!F:I,3,FALSE)</f>
        <v>8</v>
      </c>
      <c r="K33" s="23">
        <f>VLOOKUP(A33,[1]v_2023!F:I,4,FALSE)</f>
        <v>100.16</v>
      </c>
      <c r="L33" s="21">
        <f t="shared" si="1"/>
        <v>-6</v>
      </c>
      <c r="M33" s="25">
        <f t="shared" si="1"/>
        <v>-72.88</v>
      </c>
      <c r="N33" s="26">
        <f>M33/K33</f>
        <v>-0.72763578274760377</v>
      </c>
    </row>
    <row r="34" spans="1:14" x14ac:dyDescent="0.25">
      <c r="A34" s="21" t="s">
        <v>51</v>
      </c>
      <c r="B34" s="22" t="s">
        <v>50</v>
      </c>
      <c r="C34" s="21">
        <f>VLOOKUP(A34,[1]v_2024!F:I,3,FALSE)</f>
        <v>2</v>
      </c>
      <c r="D34" s="23">
        <f>VLOOKUP(A34,[1]v_2024!F:I,4,FALSE)</f>
        <v>31.65</v>
      </c>
      <c r="E34" s="21">
        <v>0</v>
      </c>
      <c r="F34" s="23">
        <v>0</v>
      </c>
      <c r="G34" s="24">
        <f t="shared" si="2"/>
        <v>0</v>
      </c>
      <c r="H34" s="21">
        <f t="shared" si="0"/>
        <v>2</v>
      </c>
      <c r="I34" s="23">
        <f t="shared" si="0"/>
        <v>31.65</v>
      </c>
      <c r="J34" s="21">
        <f>VLOOKUP(A34,[1]v_2023!F:I,3,FALSE)</f>
        <v>3</v>
      </c>
      <c r="K34" s="23">
        <f>VLOOKUP(A34,[1]v_2023!F:I,4,FALSE)</f>
        <v>48.93</v>
      </c>
      <c r="L34" s="21">
        <f t="shared" si="1"/>
        <v>-1</v>
      </c>
      <c r="M34" s="25">
        <f t="shared" si="1"/>
        <v>-17.28</v>
      </c>
      <c r="N34" s="26">
        <f>M34/K34</f>
        <v>-0.35315757204169224</v>
      </c>
    </row>
    <row r="35" spans="1:14" x14ac:dyDescent="0.25">
      <c r="A35" s="21" t="s">
        <v>524</v>
      </c>
      <c r="B35" s="22" t="s">
        <v>523</v>
      </c>
      <c r="C35" s="21">
        <f>VLOOKUP(A35,[1]v_2024!F:I,3,FALSE)</f>
        <v>0</v>
      </c>
      <c r="D35" s="23">
        <f>VLOOKUP(A35,[1]v_2024!F:I,4,FALSE)</f>
        <v>0</v>
      </c>
      <c r="E35" s="21">
        <v>0</v>
      </c>
      <c r="F35" s="23">
        <v>0</v>
      </c>
      <c r="G35" s="24"/>
      <c r="H35" s="21">
        <f t="shared" si="0"/>
        <v>0</v>
      </c>
      <c r="I35" s="23">
        <f t="shared" si="0"/>
        <v>0</v>
      </c>
      <c r="J35" s="21">
        <f>VLOOKUP(A35,[1]v_2023!F:I,3,FALSE)</f>
        <v>1</v>
      </c>
      <c r="K35" s="23">
        <f>VLOOKUP(A35,[1]v_2023!F:I,4,FALSE)</f>
        <v>6.89</v>
      </c>
      <c r="L35" s="21">
        <f t="shared" si="1"/>
        <v>-1</v>
      </c>
      <c r="M35" s="25">
        <f t="shared" si="1"/>
        <v>-6.89</v>
      </c>
      <c r="N35" s="26">
        <f>M35/K35</f>
        <v>-1</v>
      </c>
    </row>
    <row r="36" spans="1:14" x14ac:dyDescent="0.25">
      <c r="A36" s="21" t="s">
        <v>498</v>
      </c>
      <c r="B36" s="22" t="s">
        <v>497</v>
      </c>
      <c r="C36" s="21">
        <v>0</v>
      </c>
      <c r="D36" s="23">
        <v>0</v>
      </c>
      <c r="E36" s="21">
        <v>0</v>
      </c>
      <c r="F36" s="23">
        <v>0</v>
      </c>
      <c r="G36" s="24"/>
      <c r="H36" s="21">
        <f t="shared" si="0"/>
        <v>0</v>
      </c>
      <c r="I36" s="23">
        <f t="shared" si="0"/>
        <v>0</v>
      </c>
      <c r="J36" s="21">
        <v>0</v>
      </c>
      <c r="K36" s="23">
        <v>0</v>
      </c>
      <c r="L36" s="21">
        <f t="shared" si="1"/>
        <v>0</v>
      </c>
      <c r="M36" s="25">
        <f t="shared" si="1"/>
        <v>0</v>
      </c>
      <c r="N36" s="26"/>
    </row>
    <row r="37" spans="1:14" x14ac:dyDescent="0.25">
      <c r="A37" s="21" t="s">
        <v>558</v>
      </c>
      <c r="B37" s="22" t="s">
        <v>557</v>
      </c>
      <c r="C37" s="21">
        <f>VLOOKUP(A37,[1]v_2024!F:I,3,FALSE)</f>
        <v>0</v>
      </c>
      <c r="D37" s="23">
        <f>VLOOKUP(A37,[1]v_2024!F:I,4,FALSE)</f>
        <v>0</v>
      </c>
      <c r="E37" s="21">
        <v>0</v>
      </c>
      <c r="F37" s="23">
        <v>0</v>
      </c>
      <c r="G37" s="24"/>
      <c r="H37" s="21">
        <f t="shared" si="0"/>
        <v>0</v>
      </c>
      <c r="I37" s="23">
        <f t="shared" si="0"/>
        <v>0</v>
      </c>
      <c r="J37" s="21">
        <v>0</v>
      </c>
      <c r="K37" s="23">
        <v>0</v>
      </c>
      <c r="L37" s="21">
        <f t="shared" si="1"/>
        <v>0</v>
      </c>
      <c r="M37" s="25">
        <f t="shared" si="1"/>
        <v>0</v>
      </c>
      <c r="N37" s="26"/>
    </row>
    <row r="38" spans="1:14" x14ac:dyDescent="0.25">
      <c r="A38" s="21" t="s">
        <v>53</v>
      </c>
      <c r="B38" s="22" t="s">
        <v>52</v>
      </c>
      <c r="C38" s="21">
        <f>VLOOKUP(A38,[1]v_2024!F:I,3,FALSE)</f>
        <v>0</v>
      </c>
      <c r="D38" s="23">
        <f>VLOOKUP(A38,[1]v_2024!F:I,4,FALSE)</f>
        <v>0</v>
      </c>
      <c r="E38" s="21">
        <v>0</v>
      </c>
      <c r="F38" s="23">
        <v>0</v>
      </c>
      <c r="G38" s="24"/>
      <c r="H38" s="21">
        <f t="shared" si="0"/>
        <v>0</v>
      </c>
      <c r="I38" s="23">
        <f t="shared" si="0"/>
        <v>0</v>
      </c>
      <c r="J38" s="21">
        <v>0</v>
      </c>
      <c r="K38" s="23">
        <v>0</v>
      </c>
      <c r="L38" s="21">
        <f t="shared" si="1"/>
        <v>0</v>
      </c>
      <c r="M38" s="25">
        <f t="shared" si="1"/>
        <v>0</v>
      </c>
      <c r="N38" s="26"/>
    </row>
    <row r="39" spans="1:14" x14ac:dyDescent="0.25">
      <c r="A39" s="21" t="s">
        <v>55</v>
      </c>
      <c r="B39" s="22" t="s">
        <v>54</v>
      </c>
      <c r="C39" s="21">
        <f>VLOOKUP(A39,[1]v_2024!F:I,3,FALSE)</f>
        <v>49</v>
      </c>
      <c r="D39" s="23">
        <f>VLOOKUP(A39,[1]v_2024!F:I,4,FALSE)</f>
        <v>1395.95</v>
      </c>
      <c r="E39" s="21">
        <v>0</v>
      </c>
      <c r="F39" s="23">
        <v>0</v>
      </c>
      <c r="G39" s="24">
        <f t="shared" ref="G39:G47" si="4">F39/I39</f>
        <v>0</v>
      </c>
      <c r="H39" s="21">
        <f t="shared" si="0"/>
        <v>49</v>
      </c>
      <c r="I39" s="23">
        <f t="shared" si="0"/>
        <v>1395.95</v>
      </c>
      <c r="J39" s="21">
        <f>VLOOKUP(A39,[1]v_2023!F:I,3,FALSE)</f>
        <v>586</v>
      </c>
      <c r="K39" s="23">
        <f>VLOOKUP(A39,[1]v_2023!F:I,4,FALSE)</f>
        <v>14362.86</v>
      </c>
      <c r="L39" s="21">
        <f t="shared" si="1"/>
        <v>-537</v>
      </c>
      <c r="M39" s="25">
        <f t="shared" si="1"/>
        <v>-12966.91</v>
      </c>
      <c r="N39" s="26">
        <f>M39/K39</f>
        <v>-0.90280835432497419</v>
      </c>
    </row>
    <row r="40" spans="1:14" x14ac:dyDescent="0.25">
      <c r="A40" s="21" t="s">
        <v>57</v>
      </c>
      <c r="B40" s="22" t="s">
        <v>56</v>
      </c>
      <c r="C40" s="21">
        <v>0</v>
      </c>
      <c r="D40" s="23">
        <v>0</v>
      </c>
      <c r="E40" s="21">
        <f>VLOOKUP(A40,[1]s_2024!E:G,2,FALSE)</f>
        <v>18</v>
      </c>
      <c r="F40" s="23">
        <f>VLOOKUP(A40,[1]s_2024!E:G,3,FALSE)</f>
        <v>898.1999999999997</v>
      </c>
      <c r="G40" s="24">
        <f t="shared" si="4"/>
        <v>1</v>
      </c>
      <c r="H40" s="21">
        <f t="shared" si="0"/>
        <v>18</v>
      </c>
      <c r="I40" s="23">
        <f t="shared" si="0"/>
        <v>898.1999999999997</v>
      </c>
      <c r="J40" s="21">
        <v>0</v>
      </c>
      <c r="K40" s="23">
        <v>0</v>
      </c>
      <c r="L40" s="21">
        <f t="shared" si="1"/>
        <v>18</v>
      </c>
      <c r="M40" s="25">
        <f t="shared" si="1"/>
        <v>898.1999999999997</v>
      </c>
      <c r="N40" s="26"/>
    </row>
    <row r="41" spans="1:14" x14ac:dyDescent="0.25">
      <c r="A41" s="21" t="s">
        <v>538</v>
      </c>
      <c r="B41" s="22" t="s">
        <v>537</v>
      </c>
      <c r="C41" s="21">
        <f>VLOOKUP(A41,[1]v_2024!F:I,3,FALSE)</f>
        <v>11</v>
      </c>
      <c r="D41" s="23">
        <f>VLOOKUP(A41,[1]v_2024!F:I,4,FALSE)</f>
        <v>685.1</v>
      </c>
      <c r="E41" s="21">
        <v>0</v>
      </c>
      <c r="F41" s="23">
        <v>0</v>
      </c>
      <c r="G41" s="24">
        <f t="shared" si="4"/>
        <v>0</v>
      </c>
      <c r="H41" s="21">
        <f t="shared" si="0"/>
        <v>11</v>
      </c>
      <c r="I41" s="23">
        <f t="shared" si="0"/>
        <v>685.1</v>
      </c>
      <c r="J41" s="21">
        <f>VLOOKUP(A41,[1]v_2023!F:I,3,FALSE)</f>
        <v>65</v>
      </c>
      <c r="K41" s="23">
        <f>VLOOKUP(A41,[1]v_2023!F:I,4,FALSE)</f>
        <v>3560.59</v>
      </c>
      <c r="L41" s="21">
        <f t="shared" si="1"/>
        <v>-54</v>
      </c>
      <c r="M41" s="25">
        <f t="shared" si="1"/>
        <v>-2875.4900000000002</v>
      </c>
      <c r="N41" s="26">
        <f>M41/K41</f>
        <v>-0.80758806826958451</v>
      </c>
    </row>
    <row r="42" spans="1:14" x14ac:dyDescent="0.25">
      <c r="A42" s="21" t="s">
        <v>506</v>
      </c>
      <c r="B42" s="22" t="s">
        <v>505</v>
      </c>
      <c r="C42" s="21">
        <v>0</v>
      </c>
      <c r="D42" s="23">
        <v>0</v>
      </c>
      <c r="E42" s="21">
        <v>0</v>
      </c>
      <c r="F42" s="23">
        <v>0</v>
      </c>
      <c r="G42" s="24"/>
      <c r="H42" s="21">
        <f t="shared" si="0"/>
        <v>0</v>
      </c>
      <c r="I42" s="23">
        <f t="shared" si="0"/>
        <v>0</v>
      </c>
      <c r="J42" s="21">
        <v>0</v>
      </c>
      <c r="K42" s="23">
        <v>0</v>
      </c>
      <c r="L42" s="21">
        <f t="shared" si="1"/>
        <v>0</v>
      </c>
      <c r="M42" s="25">
        <f t="shared" si="1"/>
        <v>0</v>
      </c>
      <c r="N42" s="26"/>
    </row>
    <row r="43" spans="1:14" x14ac:dyDescent="0.25">
      <c r="A43" s="21" t="s">
        <v>59</v>
      </c>
      <c r="B43" s="22" t="s">
        <v>58</v>
      </c>
      <c r="C43" s="21">
        <f>VLOOKUP(A43,[1]v_2024!F:I,3,FALSE)</f>
        <v>14</v>
      </c>
      <c r="D43" s="23">
        <f>VLOOKUP(A43,[1]v_2024!F:I,4,FALSE)</f>
        <v>1136.27</v>
      </c>
      <c r="E43" s="21">
        <v>0</v>
      </c>
      <c r="F43" s="23">
        <v>0</v>
      </c>
      <c r="G43" s="24">
        <f t="shared" si="4"/>
        <v>0</v>
      </c>
      <c r="H43" s="21">
        <f t="shared" si="0"/>
        <v>14</v>
      </c>
      <c r="I43" s="23">
        <f t="shared" si="0"/>
        <v>1136.27</v>
      </c>
      <c r="J43" s="21">
        <f>VLOOKUP(A43,[1]v_2023!F:I,3,FALSE)</f>
        <v>38</v>
      </c>
      <c r="K43" s="23">
        <f>VLOOKUP(A43,[1]v_2023!F:I,4,FALSE)</f>
        <v>2800.22</v>
      </c>
      <c r="L43" s="21">
        <f t="shared" si="1"/>
        <v>-24</v>
      </c>
      <c r="M43" s="25">
        <f t="shared" si="1"/>
        <v>-1663.9499999999998</v>
      </c>
      <c r="N43" s="26">
        <f t="shared" ref="N43:N53" si="5">M43/K43</f>
        <v>-0.59422116833677352</v>
      </c>
    </row>
    <row r="44" spans="1:14" x14ac:dyDescent="0.25">
      <c r="A44" s="21" t="s">
        <v>500</v>
      </c>
      <c r="B44" s="22" t="s">
        <v>499</v>
      </c>
      <c r="C44" s="21">
        <f>VLOOKUP(A44,[1]v_2024!F:I,3,FALSE)</f>
        <v>1</v>
      </c>
      <c r="D44" s="23">
        <f>VLOOKUP(A44,[1]v_2024!F:I,4,FALSE)</f>
        <v>26.97</v>
      </c>
      <c r="E44" s="21">
        <f>VLOOKUP(A44,[1]s_2024!E:G,2,FALSE)</f>
        <v>385</v>
      </c>
      <c r="F44" s="23">
        <f>VLOOKUP(A44,[1]s_2024!E:G,3,FALSE)</f>
        <v>12660.569999999912</v>
      </c>
      <c r="G44" s="24">
        <f t="shared" si="4"/>
        <v>0.99787429241602399</v>
      </c>
      <c r="H44" s="21">
        <f t="shared" si="0"/>
        <v>386</v>
      </c>
      <c r="I44" s="23">
        <f t="shared" si="0"/>
        <v>12687.539999999912</v>
      </c>
      <c r="J44" s="21">
        <f>VLOOKUP(A44,[1]v_2023!F:I,3,FALSE)</f>
        <v>304</v>
      </c>
      <c r="K44" s="23">
        <f>VLOOKUP(A44,[1]v_2023!F:I,4,FALSE)</f>
        <v>8435.0400000000009</v>
      </c>
      <c r="L44" s="21">
        <f t="shared" si="1"/>
        <v>82</v>
      </c>
      <c r="M44" s="25">
        <f t="shared" si="1"/>
        <v>4252.4999999999109</v>
      </c>
      <c r="N44" s="26">
        <f t="shared" si="5"/>
        <v>0.50414698685482351</v>
      </c>
    </row>
    <row r="45" spans="1:14" x14ac:dyDescent="0.25">
      <c r="A45" s="21" t="s">
        <v>540</v>
      </c>
      <c r="B45" s="22" t="s">
        <v>539</v>
      </c>
      <c r="C45" s="21">
        <v>0</v>
      </c>
      <c r="D45" s="23">
        <v>0</v>
      </c>
      <c r="E45" s="21">
        <v>0</v>
      </c>
      <c r="F45" s="23">
        <v>0</v>
      </c>
      <c r="G45" s="24"/>
      <c r="H45" s="21">
        <f t="shared" si="0"/>
        <v>0</v>
      </c>
      <c r="I45" s="23">
        <f t="shared" si="0"/>
        <v>0</v>
      </c>
      <c r="J45" s="21">
        <v>0</v>
      </c>
      <c r="K45" s="23">
        <v>0</v>
      </c>
      <c r="L45" s="21">
        <f t="shared" si="1"/>
        <v>0</v>
      </c>
      <c r="M45" s="25">
        <f t="shared" si="1"/>
        <v>0</v>
      </c>
      <c r="N45" s="26"/>
    </row>
    <row r="46" spans="1:14" x14ac:dyDescent="0.25">
      <c r="A46" s="21" t="s">
        <v>61</v>
      </c>
      <c r="B46" s="22" t="s">
        <v>60</v>
      </c>
      <c r="C46" s="21">
        <f>VLOOKUP(A46,[1]v_2024!F:I,3,FALSE)</f>
        <v>2</v>
      </c>
      <c r="D46" s="23">
        <f>VLOOKUP(A46,[1]v_2024!F:I,4,FALSE)</f>
        <v>40.82</v>
      </c>
      <c r="E46" s="21">
        <v>0</v>
      </c>
      <c r="F46" s="23">
        <v>0</v>
      </c>
      <c r="G46" s="24">
        <f t="shared" si="4"/>
        <v>0</v>
      </c>
      <c r="H46" s="21">
        <f t="shared" si="0"/>
        <v>2</v>
      </c>
      <c r="I46" s="23">
        <f t="shared" si="0"/>
        <v>40.82</v>
      </c>
      <c r="J46" s="21">
        <f>VLOOKUP(A46,[1]v_2023!F:I,3,FALSE)</f>
        <v>-1</v>
      </c>
      <c r="K46" s="23">
        <f>VLOOKUP(A46,[1]v_2023!F:I,4,FALSE)</f>
        <v>-14.75</v>
      </c>
      <c r="L46" s="21">
        <f t="shared" si="1"/>
        <v>3</v>
      </c>
      <c r="M46" s="25">
        <f t="shared" si="1"/>
        <v>55.57</v>
      </c>
      <c r="N46" s="26">
        <f t="shared" si="5"/>
        <v>-3.767457627118644</v>
      </c>
    </row>
    <row r="47" spans="1:14" x14ac:dyDescent="0.25">
      <c r="A47" s="21" t="s">
        <v>63</v>
      </c>
      <c r="B47" s="22" t="s">
        <v>62</v>
      </c>
      <c r="C47" s="21">
        <f>VLOOKUP(A47,[1]v_2024!F:I,3,FALSE)</f>
        <v>5</v>
      </c>
      <c r="D47" s="23">
        <f>VLOOKUP(A47,[1]v_2024!F:I,4,FALSE)</f>
        <v>129.21</v>
      </c>
      <c r="E47" s="21">
        <v>0</v>
      </c>
      <c r="F47" s="23">
        <v>0</v>
      </c>
      <c r="G47" s="24">
        <f t="shared" si="4"/>
        <v>0</v>
      </c>
      <c r="H47" s="21">
        <f t="shared" si="0"/>
        <v>5</v>
      </c>
      <c r="I47" s="23">
        <f t="shared" si="0"/>
        <v>129.21</v>
      </c>
      <c r="J47" s="21">
        <f>VLOOKUP(A47,[1]v_2023!F:I,3,FALSE)</f>
        <v>19</v>
      </c>
      <c r="K47" s="23">
        <f>VLOOKUP(A47,[1]v_2023!F:I,4,FALSE)</f>
        <v>465.69</v>
      </c>
      <c r="L47" s="21">
        <f t="shared" si="1"/>
        <v>-14</v>
      </c>
      <c r="M47" s="25">
        <f t="shared" si="1"/>
        <v>-336.48</v>
      </c>
      <c r="N47" s="26">
        <f t="shared" si="5"/>
        <v>-0.72254074598982154</v>
      </c>
    </row>
    <row r="48" spans="1:14" x14ac:dyDescent="0.25">
      <c r="A48" s="21" t="s">
        <v>65</v>
      </c>
      <c r="B48" s="22" t="s">
        <v>64</v>
      </c>
      <c r="C48" s="21">
        <f>VLOOKUP(A48,[1]v_2024!F:I,3,FALSE)</f>
        <v>0</v>
      </c>
      <c r="D48" s="23">
        <f>VLOOKUP(A48,[1]v_2024!F:I,4,FALSE)</f>
        <v>0</v>
      </c>
      <c r="E48" s="21">
        <v>0</v>
      </c>
      <c r="F48" s="23">
        <v>0</v>
      </c>
      <c r="G48" s="24"/>
      <c r="H48" s="21">
        <f t="shared" si="0"/>
        <v>0</v>
      </c>
      <c r="I48" s="23">
        <f t="shared" si="0"/>
        <v>0</v>
      </c>
      <c r="J48" s="21">
        <f>VLOOKUP(A48,[1]v_2023!F:I,3,FALSE)</f>
        <v>2</v>
      </c>
      <c r="K48" s="23">
        <f>VLOOKUP(A48,[1]v_2023!F:I,4,FALSE)</f>
        <v>49.02</v>
      </c>
      <c r="L48" s="21">
        <f t="shared" si="1"/>
        <v>-2</v>
      </c>
      <c r="M48" s="25">
        <f t="shared" si="1"/>
        <v>-49.02</v>
      </c>
      <c r="N48" s="26">
        <f t="shared" si="5"/>
        <v>-1</v>
      </c>
    </row>
    <row r="49" spans="1:14" x14ac:dyDescent="0.25">
      <c r="A49" s="21" t="s">
        <v>67</v>
      </c>
      <c r="B49" s="22" t="s">
        <v>66</v>
      </c>
      <c r="C49" s="21">
        <v>0</v>
      </c>
      <c r="D49" s="23">
        <v>0</v>
      </c>
      <c r="E49" s="21">
        <v>0</v>
      </c>
      <c r="F49" s="23">
        <v>0</v>
      </c>
      <c r="G49" s="24"/>
      <c r="H49" s="21">
        <f t="shared" si="0"/>
        <v>0</v>
      </c>
      <c r="I49" s="23">
        <f t="shared" si="0"/>
        <v>0</v>
      </c>
      <c r="J49" s="21">
        <v>0</v>
      </c>
      <c r="K49" s="23">
        <v>0</v>
      </c>
      <c r="L49" s="21">
        <f t="shared" si="1"/>
        <v>0</v>
      </c>
      <c r="M49" s="25">
        <f t="shared" si="1"/>
        <v>0</v>
      </c>
      <c r="N49" s="26"/>
    </row>
    <row r="50" spans="1:14" x14ac:dyDescent="0.25">
      <c r="A50" s="21" t="s">
        <v>69</v>
      </c>
      <c r="B50" s="22" t="s">
        <v>68</v>
      </c>
      <c r="C50" s="21">
        <v>0</v>
      </c>
      <c r="D50" s="23">
        <v>0</v>
      </c>
      <c r="E50" s="21">
        <f>VLOOKUP(A50,[1]s_2024!E:G,2,FALSE)</f>
        <v>1</v>
      </c>
      <c r="F50" s="23">
        <f>VLOOKUP(A50,[1]s_2024!E:G,3,FALSE)</f>
        <v>36.99</v>
      </c>
      <c r="G50" s="24">
        <f t="shared" ref="G50:G64" si="6">F50/I50</f>
        <v>1</v>
      </c>
      <c r="H50" s="21">
        <f t="shared" si="0"/>
        <v>1</v>
      </c>
      <c r="I50" s="23">
        <f t="shared" si="0"/>
        <v>36.99</v>
      </c>
      <c r="J50" s="21">
        <v>0</v>
      </c>
      <c r="K50" s="23">
        <v>0</v>
      </c>
      <c r="L50" s="21">
        <f t="shared" si="1"/>
        <v>1</v>
      </c>
      <c r="M50" s="25">
        <f t="shared" si="1"/>
        <v>36.99</v>
      </c>
      <c r="N50" s="26"/>
    </row>
    <row r="51" spans="1:14" x14ac:dyDescent="0.25">
      <c r="A51" s="21" t="s">
        <v>71</v>
      </c>
      <c r="B51" s="22" t="s">
        <v>70</v>
      </c>
      <c r="C51" s="21">
        <f>VLOOKUP(A51,[1]v_2024!F:I,3,FALSE)</f>
        <v>0</v>
      </c>
      <c r="D51" s="23">
        <f>VLOOKUP(A51,[1]v_2024!F:I,4,FALSE)</f>
        <v>0</v>
      </c>
      <c r="E51" s="21">
        <v>0</v>
      </c>
      <c r="F51" s="23">
        <v>0</v>
      </c>
      <c r="G51" s="24"/>
      <c r="H51" s="21">
        <f t="shared" si="0"/>
        <v>0</v>
      </c>
      <c r="I51" s="23">
        <f t="shared" si="0"/>
        <v>0</v>
      </c>
      <c r="J51" s="21">
        <f>VLOOKUP(A51,[1]v_2023!F:I,3,FALSE)</f>
        <v>2</v>
      </c>
      <c r="K51" s="23">
        <f>VLOOKUP(A51,[1]v_2023!F:I,4,FALSE)</f>
        <v>45.58</v>
      </c>
      <c r="L51" s="21">
        <f t="shared" si="1"/>
        <v>-2</v>
      </c>
      <c r="M51" s="25">
        <f t="shared" si="1"/>
        <v>-45.58</v>
      </c>
      <c r="N51" s="26">
        <f t="shared" si="5"/>
        <v>-1</v>
      </c>
    </row>
    <row r="52" spans="1:14" x14ac:dyDescent="0.25">
      <c r="A52" s="21" t="s">
        <v>518</v>
      </c>
      <c r="B52" s="22" t="s">
        <v>517</v>
      </c>
      <c r="C52" s="21">
        <f>VLOOKUP(A52,[1]v_2024!F:I,3,FALSE)</f>
        <v>3</v>
      </c>
      <c r="D52" s="23">
        <f>VLOOKUP(A52,[1]v_2024!F:I,4,FALSE)</f>
        <v>62.39</v>
      </c>
      <c r="E52" s="21">
        <f>VLOOKUP(A52,[1]s_2024!E:G,2,FALSE)</f>
        <v>35</v>
      </c>
      <c r="F52" s="23">
        <f>VLOOKUP(A52,[1]s_2024!E:G,3,FALSE)</f>
        <v>871.49999999999955</v>
      </c>
      <c r="G52" s="24">
        <f t="shared" si="6"/>
        <v>0.93319341678356127</v>
      </c>
      <c r="H52" s="21">
        <f t="shared" si="0"/>
        <v>38</v>
      </c>
      <c r="I52" s="23">
        <f t="shared" si="0"/>
        <v>933.88999999999953</v>
      </c>
      <c r="J52" s="21">
        <f>VLOOKUP(A52,[1]v_2023!F:I,3,FALSE)</f>
        <v>417</v>
      </c>
      <c r="K52" s="23">
        <f>VLOOKUP(A52,[1]v_2023!F:I,4,FALSE)</f>
        <v>8510.9699999999993</v>
      </c>
      <c r="L52" s="21">
        <f t="shared" si="1"/>
        <v>-379</v>
      </c>
      <c r="M52" s="25">
        <f t="shared" si="1"/>
        <v>-7577.08</v>
      </c>
      <c r="N52" s="26">
        <f t="shared" si="5"/>
        <v>-0.89027220164094112</v>
      </c>
    </row>
    <row r="53" spans="1:14" x14ac:dyDescent="0.25">
      <c r="A53" s="21" t="s">
        <v>73</v>
      </c>
      <c r="B53" s="22" t="s">
        <v>72</v>
      </c>
      <c r="C53" s="21">
        <f>VLOOKUP(A53,[1]v_2024!F:I,3,FALSE)</f>
        <v>17</v>
      </c>
      <c r="D53" s="23">
        <f>VLOOKUP(A53,[1]v_2024!F:I,4,FALSE)</f>
        <v>814.3</v>
      </c>
      <c r="E53" s="21">
        <v>0</v>
      </c>
      <c r="F53" s="23">
        <v>0</v>
      </c>
      <c r="G53" s="24">
        <f t="shared" si="6"/>
        <v>0</v>
      </c>
      <c r="H53" s="21">
        <f t="shared" si="0"/>
        <v>17</v>
      </c>
      <c r="I53" s="23">
        <f t="shared" si="0"/>
        <v>814.3</v>
      </c>
      <c r="J53" s="21">
        <f>VLOOKUP(A53,[1]v_2023!F:I,3,FALSE)</f>
        <v>18</v>
      </c>
      <c r="K53" s="23">
        <f>VLOOKUP(A53,[1]v_2023!F:I,4,FALSE)</f>
        <v>1031.4000000000001</v>
      </c>
      <c r="L53" s="21">
        <f t="shared" si="1"/>
        <v>-1</v>
      </c>
      <c r="M53" s="25">
        <f t="shared" si="1"/>
        <v>-217.10000000000014</v>
      </c>
      <c r="N53" s="26">
        <f t="shared" si="5"/>
        <v>-0.21049059530734934</v>
      </c>
    </row>
    <row r="54" spans="1:14" x14ac:dyDescent="0.25">
      <c r="A54" s="21" t="s">
        <v>75</v>
      </c>
      <c r="B54" s="22" t="s">
        <v>74</v>
      </c>
      <c r="C54" s="21">
        <v>0</v>
      </c>
      <c r="D54" s="23">
        <v>0</v>
      </c>
      <c r="E54" s="21">
        <v>0</v>
      </c>
      <c r="F54" s="23">
        <v>0</v>
      </c>
      <c r="G54" s="24"/>
      <c r="H54" s="21">
        <f t="shared" si="0"/>
        <v>0</v>
      </c>
      <c r="I54" s="23">
        <f t="shared" si="0"/>
        <v>0</v>
      </c>
      <c r="J54" s="21">
        <v>0</v>
      </c>
      <c r="K54" s="23">
        <v>0</v>
      </c>
      <c r="L54" s="21">
        <f t="shared" si="1"/>
        <v>0</v>
      </c>
      <c r="M54" s="25">
        <f t="shared" si="1"/>
        <v>0</v>
      </c>
      <c r="N54" s="26"/>
    </row>
    <row r="55" spans="1:14" x14ac:dyDescent="0.25">
      <c r="A55" s="21" t="s">
        <v>542</v>
      </c>
      <c r="B55" s="22" t="s">
        <v>541</v>
      </c>
      <c r="C55" s="21">
        <f>VLOOKUP(A55,[1]v_2024!F:I,3,FALSE)</f>
        <v>-1</v>
      </c>
      <c r="D55" s="23">
        <f>VLOOKUP(A55,[1]v_2024!F:I,4,FALSE)</f>
        <v>-5.12</v>
      </c>
      <c r="E55" s="21">
        <v>0</v>
      </c>
      <c r="F55" s="23">
        <v>0</v>
      </c>
      <c r="G55" s="24">
        <f t="shared" si="6"/>
        <v>0</v>
      </c>
      <c r="H55" s="21">
        <f t="shared" si="0"/>
        <v>-1</v>
      </c>
      <c r="I55" s="23">
        <f t="shared" si="0"/>
        <v>-5.12</v>
      </c>
      <c r="J55" s="21">
        <v>0</v>
      </c>
      <c r="K55" s="23">
        <v>0</v>
      </c>
      <c r="L55" s="21">
        <f t="shared" si="1"/>
        <v>-1</v>
      </c>
      <c r="M55" s="25">
        <f t="shared" si="1"/>
        <v>-5.12</v>
      </c>
      <c r="N55" s="26"/>
    </row>
    <row r="56" spans="1:14" x14ac:dyDescent="0.25">
      <c r="A56" s="21" t="s">
        <v>570</v>
      </c>
      <c r="B56" s="22" t="s">
        <v>569</v>
      </c>
      <c r="C56" s="21">
        <v>0</v>
      </c>
      <c r="D56" s="23">
        <v>0</v>
      </c>
      <c r="E56" s="21">
        <v>0</v>
      </c>
      <c r="F56" s="23">
        <v>0</v>
      </c>
      <c r="G56" s="24"/>
      <c r="H56" s="21">
        <f t="shared" si="0"/>
        <v>0</v>
      </c>
      <c r="I56" s="23">
        <f t="shared" si="0"/>
        <v>0</v>
      </c>
      <c r="J56" s="21">
        <v>0</v>
      </c>
      <c r="K56" s="23">
        <v>0</v>
      </c>
      <c r="L56" s="21">
        <f t="shared" si="1"/>
        <v>0</v>
      </c>
      <c r="M56" s="25">
        <f t="shared" si="1"/>
        <v>0</v>
      </c>
      <c r="N56" s="26"/>
    </row>
    <row r="57" spans="1:14" x14ac:dyDescent="0.25">
      <c r="A57" s="21" t="s">
        <v>528</v>
      </c>
      <c r="B57" s="22" t="s">
        <v>527</v>
      </c>
      <c r="C57" s="21">
        <f>VLOOKUP(A57,[1]v_2024!F:I,3,FALSE)</f>
        <v>34</v>
      </c>
      <c r="D57" s="23">
        <f>VLOOKUP(A57,[1]v_2024!F:I,4,FALSE)</f>
        <v>1525.2</v>
      </c>
      <c r="E57" s="21">
        <v>0</v>
      </c>
      <c r="F57" s="23">
        <v>0</v>
      </c>
      <c r="G57" s="24">
        <f t="shared" si="6"/>
        <v>0</v>
      </c>
      <c r="H57" s="21">
        <f t="shared" si="0"/>
        <v>34</v>
      </c>
      <c r="I57" s="23">
        <f t="shared" si="0"/>
        <v>1525.2</v>
      </c>
      <c r="J57" s="21">
        <f>VLOOKUP(A57,[1]v_2023!F:I,3,FALSE)</f>
        <v>222</v>
      </c>
      <c r="K57" s="23">
        <f>VLOOKUP(A57,[1]v_2023!F:I,4,FALSE)</f>
        <v>9036.6</v>
      </c>
      <c r="L57" s="21">
        <f t="shared" si="1"/>
        <v>-188</v>
      </c>
      <c r="M57" s="25">
        <f t="shared" si="1"/>
        <v>-7511.4000000000005</v>
      </c>
      <c r="N57" s="26">
        <f>M57/K57</f>
        <v>-0.83121970652679111</v>
      </c>
    </row>
    <row r="58" spans="1:14" x14ac:dyDescent="0.25">
      <c r="A58" s="21" t="s">
        <v>77</v>
      </c>
      <c r="B58" s="22" t="s">
        <v>76</v>
      </c>
      <c r="C58" s="21">
        <f>VLOOKUP(A58,[1]v_2024!F:I,3,FALSE)</f>
        <v>162</v>
      </c>
      <c r="D58" s="23">
        <f>VLOOKUP(A58,[1]v_2024!F:I,4,FALSE)</f>
        <v>1977.32</v>
      </c>
      <c r="E58" s="21">
        <v>0</v>
      </c>
      <c r="F58" s="23">
        <v>0</v>
      </c>
      <c r="G58" s="24">
        <f t="shared" si="6"/>
        <v>0</v>
      </c>
      <c r="H58" s="21">
        <f t="shared" si="0"/>
        <v>162</v>
      </c>
      <c r="I58" s="23">
        <f t="shared" si="0"/>
        <v>1977.32</v>
      </c>
      <c r="J58" s="21">
        <f>VLOOKUP(A58,[1]v_2023!F:I,3,FALSE)</f>
        <v>2</v>
      </c>
      <c r="K58" s="23">
        <f>VLOOKUP(A58,[1]v_2023!F:I,4,FALSE)</f>
        <v>33.9</v>
      </c>
      <c r="L58" s="21">
        <f t="shared" si="1"/>
        <v>160</v>
      </c>
      <c r="M58" s="25">
        <f t="shared" si="1"/>
        <v>1943.4199999999998</v>
      </c>
      <c r="N58" s="26">
        <f>M58/K58</f>
        <v>57.32802359882006</v>
      </c>
    </row>
    <row r="59" spans="1:14" x14ac:dyDescent="0.25">
      <c r="A59" s="21" t="s">
        <v>79</v>
      </c>
      <c r="B59" s="22" t="s">
        <v>78</v>
      </c>
      <c r="C59" s="21">
        <f>VLOOKUP(A59,[1]v_2024!F:I,3,FALSE)</f>
        <v>40</v>
      </c>
      <c r="D59" s="23">
        <f>VLOOKUP(A59,[1]v_2024!F:I,4,FALSE)</f>
        <v>573.30999999999995</v>
      </c>
      <c r="E59" s="21">
        <v>0</v>
      </c>
      <c r="F59" s="23">
        <v>0</v>
      </c>
      <c r="G59" s="24">
        <f t="shared" si="6"/>
        <v>0</v>
      </c>
      <c r="H59" s="21">
        <f t="shared" si="0"/>
        <v>40</v>
      </c>
      <c r="I59" s="23">
        <f t="shared" si="0"/>
        <v>573.30999999999995</v>
      </c>
      <c r="J59" s="21">
        <f>VLOOKUP(A59,[1]v_2023!F:I,3,FALSE)</f>
        <v>181</v>
      </c>
      <c r="K59" s="23">
        <f>VLOOKUP(A59,[1]v_2023!F:I,4,FALSE)</f>
        <v>2670.84</v>
      </c>
      <c r="L59" s="21">
        <f t="shared" si="1"/>
        <v>-141</v>
      </c>
      <c r="M59" s="25">
        <f t="shared" si="1"/>
        <v>-2097.5300000000002</v>
      </c>
      <c r="N59" s="26">
        <f>M59/K59</f>
        <v>-0.78534468556708759</v>
      </c>
    </row>
    <row r="60" spans="1:14" x14ac:dyDescent="0.25">
      <c r="A60" s="21" t="s">
        <v>81</v>
      </c>
      <c r="B60" s="22" t="s">
        <v>80</v>
      </c>
      <c r="C60" s="21">
        <f>VLOOKUP(A60,[1]v_2024!F:I,3,FALSE)</f>
        <v>2</v>
      </c>
      <c r="D60" s="23">
        <f>VLOOKUP(A60,[1]v_2024!F:I,4,FALSE)</f>
        <v>91.63</v>
      </c>
      <c r="E60" s="21">
        <v>0</v>
      </c>
      <c r="F60" s="23">
        <v>0</v>
      </c>
      <c r="G60" s="24">
        <f t="shared" si="6"/>
        <v>0</v>
      </c>
      <c r="H60" s="21">
        <f t="shared" si="0"/>
        <v>2</v>
      </c>
      <c r="I60" s="23">
        <f t="shared" si="0"/>
        <v>91.63</v>
      </c>
      <c r="J60" s="21">
        <f>VLOOKUP(A60,[1]v_2023!F:I,3,FALSE)</f>
        <v>400</v>
      </c>
      <c r="K60" s="23">
        <f>VLOOKUP(A60,[1]v_2023!F:I,4,FALSE)</f>
        <v>13080</v>
      </c>
      <c r="L60" s="21">
        <f t="shared" si="1"/>
        <v>-398</v>
      </c>
      <c r="M60" s="25">
        <f t="shared" si="1"/>
        <v>-12988.37</v>
      </c>
      <c r="N60" s="26">
        <f>M60/K60</f>
        <v>-0.99299464831804285</v>
      </c>
    </row>
    <row r="61" spans="1:14" x14ac:dyDescent="0.25">
      <c r="A61" s="21" t="s">
        <v>83</v>
      </c>
      <c r="B61" s="22" t="s">
        <v>82</v>
      </c>
      <c r="C61" s="21">
        <v>0</v>
      </c>
      <c r="D61" s="23">
        <v>0</v>
      </c>
      <c r="E61" s="21">
        <v>0</v>
      </c>
      <c r="F61" s="23">
        <v>0</v>
      </c>
      <c r="G61" s="24"/>
      <c r="H61" s="21">
        <f t="shared" si="0"/>
        <v>0</v>
      </c>
      <c r="I61" s="23">
        <f t="shared" si="0"/>
        <v>0</v>
      </c>
      <c r="J61" s="21">
        <v>0</v>
      </c>
      <c r="K61" s="23">
        <v>0</v>
      </c>
      <c r="L61" s="21">
        <f t="shared" si="1"/>
        <v>0</v>
      </c>
      <c r="M61" s="25">
        <f t="shared" si="1"/>
        <v>0</v>
      </c>
      <c r="N61" s="26"/>
    </row>
    <row r="62" spans="1:14" x14ac:dyDescent="0.25">
      <c r="A62" s="21" t="s">
        <v>85</v>
      </c>
      <c r="B62" s="22" t="s">
        <v>84</v>
      </c>
      <c r="C62" s="21">
        <f>VLOOKUP(A62,[1]v_2024!F:I,3,FALSE)</f>
        <v>6</v>
      </c>
      <c r="D62" s="23">
        <f>VLOOKUP(A62,[1]v_2024!F:I,4,FALSE)</f>
        <v>294.60000000000002</v>
      </c>
      <c r="E62" s="21">
        <v>0</v>
      </c>
      <c r="F62" s="23">
        <v>0</v>
      </c>
      <c r="G62" s="24">
        <f t="shared" si="6"/>
        <v>0</v>
      </c>
      <c r="H62" s="21">
        <f t="shared" si="0"/>
        <v>6</v>
      </c>
      <c r="I62" s="23">
        <f t="shared" si="0"/>
        <v>294.60000000000002</v>
      </c>
      <c r="J62" s="21">
        <f>VLOOKUP(A62,[1]v_2023!F:I,3,FALSE)</f>
        <v>23</v>
      </c>
      <c r="K62" s="23">
        <f>VLOOKUP(A62,[1]v_2023!F:I,4,FALSE)</f>
        <v>1118.2</v>
      </c>
      <c r="L62" s="21">
        <f t="shared" si="1"/>
        <v>-17</v>
      </c>
      <c r="M62" s="25">
        <f t="shared" si="1"/>
        <v>-823.6</v>
      </c>
      <c r="N62" s="26">
        <f>M62/K62</f>
        <v>-0.73654086925415851</v>
      </c>
    </row>
    <row r="63" spans="1:14" x14ac:dyDescent="0.25">
      <c r="A63" s="21" t="s">
        <v>494</v>
      </c>
      <c r="B63" s="22" t="s">
        <v>493</v>
      </c>
      <c r="C63" s="21">
        <f>VLOOKUP(A63,[1]v_2024!F:I,3,FALSE)</f>
        <v>1</v>
      </c>
      <c r="D63" s="23">
        <f>VLOOKUP(A63,[1]v_2024!F:I,4,FALSE)</f>
        <v>33.14</v>
      </c>
      <c r="E63" s="21">
        <f>VLOOKUP(A63,[1]s_2024!E:G,2,FALSE)</f>
        <v>8</v>
      </c>
      <c r="F63" s="23">
        <f>VLOOKUP(A63,[1]s_2024!E:G,3,FALSE)</f>
        <v>377.39999999999992</v>
      </c>
      <c r="G63" s="24">
        <f t="shared" si="6"/>
        <v>0.91927704973936764</v>
      </c>
      <c r="H63" s="21">
        <f t="shared" si="0"/>
        <v>9</v>
      </c>
      <c r="I63" s="23">
        <f t="shared" si="0"/>
        <v>410.53999999999991</v>
      </c>
      <c r="J63" s="21">
        <f>VLOOKUP(A63,[1]v_2023!F:I,3,FALSE)</f>
        <v>20</v>
      </c>
      <c r="K63" s="23">
        <f>VLOOKUP(A63,[1]v_2023!F:I,4,FALSE)</f>
        <v>490.2</v>
      </c>
      <c r="L63" s="21">
        <f t="shared" si="1"/>
        <v>-11</v>
      </c>
      <c r="M63" s="25">
        <f t="shared" si="1"/>
        <v>-79.660000000000082</v>
      </c>
      <c r="N63" s="26">
        <f>M63/K63</f>
        <v>-0.16250509995920051</v>
      </c>
    </row>
    <row r="64" spans="1:14" x14ac:dyDescent="0.25">
      <c r="A64" s="21" t="s">
        <v>87</v>
      </c>
      <c r="B64" s="22" t="s">
        <v>86</v>
      </c>
      <c r="C64" s="21">
        <f>VLOOKUP(A64,[1]v_2024!F:I,3,FALSE)</f>
        <v>22</v>
      </c>
      <c r="D64" s="23">
        <f>VLOOKUP(A64,[1]v_2024!F:I,4,FALSE)</f>
        <v>266.22000000000003</v>
      </c>
      <c r="E64" s="21">
        <v>0</v>
      </c>
      <c r="F64" s="23">
        <v>0</v>
      </c>
      <c r="G64" s="24">
        <f t="shared" si="6"/>
        <v>0</v>
      </c>
      <c r="H64" s="21">
        <f t="shared" si="0"/>
        <v>22</v>
      </c>
      <c r="I64" s="23">
        <f t="shared" si="0"/>
        <v>266.22000000000003</v>
      </c>
      <c r="J64" s="21">
        <f>VLOOKUP(A64,[1]v_2023!F:I,3,FALSE)</f>
        <v>2</v>
      </c>
      <c r="K64" s="23">
        <f>VLOOKUP(A64,[1]v_2023!F:I,4,FALSE)</f>
        <v>26.88</v>
      </c>
      <c r="L64" s="21">
        <f t="shared" si="1"/>
        <v>20</v>
      </c>
      <c r="M64" s="25">
        <f t="shared" si="1"/>
        <v>239.34000000000003</v>
      </c>
      <c r="N64" s="26">
        <f>M64/K64</f>
        <v>8.9040178571428594</v>
      </c>
    </row>
    <row r="65" spans="1:14" x14ac:dyDescent="0.25">
      <c r="A65" s="21" t="s">
        <v>89</v>
      </c>
      <c r="B65" s="22" t="s">
        <v>88</v>
      </c>
      <c r="C65" s="21">
        <v>0</v>
      </c>
      <c r="D65" s="23">
        <v>0</v>
      </c>
      <c r="E65" s="21">
        <v>0</v>
      </c>
      <c r="F65" s="23">
        <v>0</v>
      </c>
      <c r="G65" s="24"/>
      <c r="H65" s="21">
        <f t="shared" si="0"/>
        <v>0</v>
      </c>
      <c r="I65" s="23">
        <f t="shared" si="0"/>
        <v>0</v>
      </c>
      <c r="J65" s="21">
        <v>0</v>
      </c>
      <c r="K65" s="23">
        <v>0</v>
      </c>
      <c r="L65" s="21">
        <f t="shared" si="1"/>
        <v>0</v>
      </c>
      <c r="M65" s="25">
        <f t="shared" si="1"/>
        <v>0</v>
      </c>
      <c r="N65" s="26"/>
    </row>
    <row r="66" spans="1:14" x14ac:dyDescent="0.25">
      <c r="A66" s="21" t="s">
        <v>91</v>
      </c>
      <c r="B66" s="22" t="s">
        <v>90</v>
      </c>
      <c r="C66" s="21">
        <v>0</v>
      </c>
      <c r="D66" s="23">
        <v>0</v>
      </c>
      <c r="E66" s="21">
        <v>0</v>
      </c>
      <c r="F66" s="23">
        <v>0</v>
      </c>
      <c r="G66" s="24"/>
      <c r="H66" s="21">
        <f t="shared" si="0"/>
        <v>0</v>
      </c>
      <c r="I66" s="23">
        <f t="shared" si="0"/>
        <v>0</v>
      </c>
      <c r="J66" s="21">
        <v>0</v>
      </c>
      <c r="K66" s="23">
        <v>0</v>
      </c>
      <c r="L66" s="21">
        <f t="shared" si="1"/>
        <v>0</v>
      </c>
      <c r="M66" s="25">
        <f t="shared" si="1"/>
        <v>0</v>
      </c>
      <c r="N66" s="26"/>
    </row>
    <row r="67" spans="1:14" x14ac:dyDescent="0.25">
      <c r="A67" s="21" t="s">
        <v>93</v>
      </c>
      <c r="B67" s="22" t="s">
        <v>92</v>
      </c>
      <c r="C67" s="21">
        <f>VLOOKUP(A67,[1]v_2024!F:I,3,FALSE)</f>
        <v>1</v>
      </c>
      <c r="D67" s="23">
        <f>VLOOKUP(A67,[1]v_2024!F:I,4,FALSE)</f>
        <v>3.77</v>
      </c>
      <c r="E67" s="21">
        <v>0</v>
      </c>
      <c r="F67" s="23">
        <v>0</v>
      </c>
      <c r="G67" s="24">
        <f>F67/I67</f>
        <v>0</v>
      </c>
      <c r="H67" s="21">
        <f t="shared" si="0"/>
        <v>1</v>
      </c>
      <c r="I67" s="23">
        <f t="shared" si="0"/>
        <v>3.77</v>
      </c>
      <c r="J67" s="21">
        <v>0</v>
      </c>
      <c r="K67" s="23">
        <v>0</v>
      </c>
      <c r="L67" s="21">
        <f t="shared" si="1"/>
        <v>1</v>
      </c>
      <c r="M67" s="25">
        <f t="shared" si="1"/>
        <v>3.77</v>
      </c>
      <c r="N67" s="26"/>
    </row>
    <row r="68" spans="1:14" x14ac:dyDescent="0.25">
      <c r="A68" s="21" t="s">
        <v>95</v>
      </c>
      <c r="B68" s="22" t="s">
        <v>94</v>
      </c>
      <c r="C68" s="21">
        <v>0</v>
      </c>
      <c r="D68" s="23">
        <v>0</v>
      </c>
      <c r="E68" s="21">
        <v>0</v>
      </c>
      <c r="F68" s="23">
        <v>0</v>
      </c>
      <c r="G68" s="24"/>
      <c r="H68" s="21">
        <f t="shared" ref="H68:I131" si="7">E68+C68</f>
        <v>0</v>
      </c>
      <c r="I68" s="23">
        <f t="shared" si="7"/>
        <v>0</v>
      </c>
      <c r="J68" s="21">
        <v>0</v>
      </c>
      <c r="K68" s="23">
        <v>0</v>
      </c>
      <c r="L68" s="21">
        <f t="shared" ref="L68:M131" si="8">H68-J68</f>
        <v>0</v>
      </c>
      <c r="M68" s="25">
        <f t="shared" si="8"/>
        <v>0</v>
      </c>
      <c r="N68" s="26"/>
    </row>
    <row r="69" spans="1:14" x14ac:dyDescent="0.25">
      <c r="A69" s="21" t="s">
        <v>97</v>
      </c>
      <c r="B69" s="22" t="s">
        <v>96</v>
      </c>
      <c r="C69" s="21">
        <v>0</v>
      </c>
      <c r="D69" s="23">
        <v>0</v>
      </c>
      <c r="E69" s="21">
        <v>0</v>
      </c>
      <c r="F69" s="23">
        <v>0</v>
      </c>
      <c r="G69" s="24"/>
      <c r="H69" s="21">
        <f t="shared" si="7"/>
        <v>0</v>
      </c>
      <c r="I69" s="23">
        <f t="shared" si="7"/>
        <v>0</v>
      </c>
      <c r="J69" s="21">
        <v>0</v>
      </c>
      <c r="K69" s="23">
        <v>0</v>
      </c>
      <c r="L69" s="21">
        <f t="shared" si="8"/>
        <v>0</v>
      </c>
      <c r="M69" s="25">
        <f t="shared" si="8"/>
        <v>0</v>
      </c>
      <c r="N69" s="26"/>
    </row>
    <row r="70" spans="1:14" x14ac:dyDescent="0.25">
      <c r="A70" s="21" t="s">
        <v>99</v>
      </c>
      <c r="B70" s="22" t="s">
        <v>98</v>
      </c>
      <c r="C70" s="21">
        <v>0</v>
      </c>
      <c r="D70" s="23">
        <v>0</v>
      </c>
      <c r="E70" s="21">
        <v>0</v>
      </c>
      <c r="F70" s="23">
        <v>0</v>
      </c>
      <c r="G70" s="24"/>
      <c r="H70" s="21">
        <f t="shared" si="7"/>
        <v>0</v>
      </c>
      <c r="I70" s="23">
        <f t="shared" si="7"/>
        <v>0</v>
      </c>
      <c r="J70" s="21">
        <v>0</v>
      </c>
      <c r="K70" s="23">
        <v>0</v>
      </c>
      <c r="L70" s="21">
        <f t="shared" si="8"/>
        <v>0</v>
      </c>
      <c r="M70" s="25">
        <f t="shared" si="8"/>
        <v>0</v>
      </c>
      <c r="N70" s="26"/>
    </row>
    <row r="71" spans="1:14" x14ac:dyDescent="0.25">
      <c r="A71" s="21" t="s">
        <v>101</v>
      </c>
      <c r="B71" s="22" t="s">
        <v>100</v>
      </c>
      <c r="C71" s="21">
        <v>0</v>
      </c>
      <c r="D71" s="23">
        <v>0</v>
      </c>
      <c r="E71" s="21">
        <v>0</v>
      </c>
      <c r="F71" s="23">
        <v>0</v>
      </c>
      <c r="G71" s="24"/>
      <c r="H71" s="21">
        <f t="shared" si="7"/>
        <v>0</v>
      </c>
      <c r="I71" s="23">
        <f t="shared" si="7"/>
        <v>0</v>
      </c>
      <c r="J71" s="21">
        <v>0</v>
      </c>
      <c r="K71" s="23">
        <v>0</v>
      </c>
      <c r="L71" s="21">
        <f t="shared" si="8"/>
        <v>0</v>
      </c>
      <c r="M71" s="25">
        <f t="shared" si="8"/>
        <v>0</v>
      </c>
      <c r="N71" s="26"/>
    </row>
    <row r="72" spans="1:14" x14ac:dyDescent="0.25">
      <c r="A72" s="21" t="s">
        <v>103</v>
      </c>
      <c r="B72" s="22" t="s">
        <v>102</v>
      </c>
      <c r="C72" s="21">
        <f>VLOOKUP(A72,[1]v_2024!F:I,3,FALSE)</f>
        <v>10</v>
      </c>
      <c r="D72" s="23">
        <f>VLOOKUP(A72,[1]v_2024!F:I,4,FALSE)</f>
        <v>253.92</v>
      </c>
      <c r="E72" s="21">
        <f>VLOOKUP(A72,[1]s_2024!E:G,2,FALSE)</f>
        <v>17</v>
      </c>
      <c r="F72" s="23">
        <f>VLOOKUP(A72,[1]s_2024!E:G,3,FALSE)</f>
        <v>542.9899999999999</v>
      </c>
      <c r="G72" s="24">
        <f t="shared" ref="G72:G95" si="9">F72/I72</f>
        <v>0.6813692888782924</v>
      </c>
      <c r="H72" s="21">
        <f t="shared" si="7"/>
        <v>27</v>
      </c>
      <c r="I72" s="23">
        <f t="shared" si="7"/>
        <v>796.90999999999985</v>
      </c>
      <c r="J72" s="21">
        <f>VLOOKUP(A72,[1]v_2023!F:I,3,FALSE)</f>
        <v>91</v>
      </c>
      <c r="K72" s="23">
        <f>VLOOKUP(A72,[1]v_2023!F:I,4,FALSE)</f>
        <v>2230.41</v>
      </c>
      <c r="L72" s="21">
        <f t="shared" si="8"/>
        <v>-64</v>
      </c>
      <c r="M72" s="25">
        <f t="shared" si="8"/>
        <v>-1433.5</v>
      </c>
      <c r="N72" s="26">
        <f>M72/K72</f>
        <v>-0.64270694625651792</v>
      </c>
    </row>
    <row r="73" spans="1:14" x14ac:dyDescent="0.25">
      <c r="A73" s="21" t="s">
        <v>510</v>
      </c>
      <c r="B73" s="22" t="s">
        <v>509</v>
      </c>
      <c r="C73" s="21">
        <f>VLOOKUP(A73,[1]v_2024!F:I,3,FALSE)</f>
        <v>2</v>
      </c>
      <c r="D73" s="23">
        <f>VLOOKUP(A73,[1]v_2024!F:I,4,FALSE)</f>
        <v>34.380000000000003</v>
      </c>
      <c r="E73" s="21">
        <v>0</v>
      </c>
      <c r="F73" s="23">
        <v>0</v>
      </c>
      <c r="G73" s="24">
        <f t="shared" si="9"/>
        <v>0</v>
      </c>
      <c r="H73" s="21">
        <f t="shared" si="7"/>
        <v>2</v>
      </c>
      <c r="I73" s="23">
        <f t="shared" si="7"/>
        <v>34.380000000000003</v>
      </c>
      <c r="J73" s="21">
        <f>VLOOKUP(A73,[1]v_2023!F:I,3,FALSE)</f>
        <v>13</v>
      </c>
      <c r="K73" s="23">
        <f>VLOOKUP(A73,[1]v_2023!F:I,4,FALSE)</f>
        <v>199.11</v>
      </c>
      <c r="L73" s="21">
        <f t="shared" si="8"/>
        <v>-11</v>
      </c>
      <c r="M73" s="25">
        <f t="shared" si="8"/>
        <v>-164.73000000000002</v>
      </c>
      <c r="N73" s="26">
        <f>M73/K73</f>
        <v>-0.82733162573451868</v>
      </c>
    </row>
    <row r="74" spans="1:14" x14ac:dyDescent="0.25">
      <c r="A74" s="21" t="s">
        <v>479</v>
      </c>
      <c r="B74" s="22" t="s">
        <v>478</v>
      </c>
      <c r="C74" s="21">
        <f>VLOOKUP(A74,[1]v_2024!F:I,3,FALSE)</f>
        <v>25</v>
      </c>
      <c r="D74" s="23">
        <f>VLOOKUP(A74,[1]v_2024!F:I,4,FALSE)</f>
        <v>540.71</v>
      </c>
      <c r="E74" s="21">
        <v>0</v>
      </c>
      <c r="F74" s="23">
        <v>0</v>
      </c>
      <c r="G74" s="24">
        <f t="shared" si="9"/>
        <v>0</v>
      </c>
      <c r="H74" s="21">
        <f t="shared" si="7"/>
        <v>25</v>
      </c>
      <c r="I74" s="23">
        <f t="shared" si="7"/>
        <v>540.71</v>
      </c>
      <c r="J74" s="21">
        <f>VLOOKUP(A74,[1]v_2023!F:I,3,FALSE)</f>
        <v>37</v>
      </c>
      <c r="K74" s="23">
        <f>VLOOKUP(A74,[1]v_2023!F:I,4,FALSE)</f>
        <v>878.32</v>
      </c>
      <c r="L74" s="21">
        <f t="shared" si="8"/>
        <v>-12</v>
      </c>
      <c r="M74" s="25">
        <f t="shared" si="8"/>
        <v>-337.61</v>
      </c>
      <c r="N74" s="26">
        <f>M74/K74</f>
        <v>-0.38438154658894252</v>
      </c>
    </row>
    <row r="75" spans="1:14" x14ac:dyDescent="0.25">
      <c r="A75" s="21" t="s">
        <v>105</v>
      </c>
      <c r="B75" s="22" t="s">
        <v>104</v>
      </c>
      <c r="C75" s="21">
        <v>0</v>
      </c>
      <c r="D75" s="23">
        <v>0</v>
      </c>
      <c r="E75" s="21">
        <v>0</v>
      </c>
      <c r="F75" s="23">
        <v>0</v>
      </c>
      <c r="G75" s="24"/>
      <c r="H75" s="21">
        <f t="shared" si="7"/>
        <v>0</v>
      </c>
      <c r="I75" s="23">
        <f t="shared" si="7"/>
        <v>0</v>
      </c>
      <c r="J75" s="21">
        <v>0</v>
      </c>
      <c r="K75" s="23">
        <v>0</v>
      </c>
      <c r="L75" s="21">
        <f t="shared" si="8"/>
        <v>0</v>
      </c>
      <c r="M75" s="25">
        <f t="shared" si="8"/>
        <v>0</v>
      </c>
      <c r="N75" s="26"/>
    </row>
    <row r="76" spans="1:14" x14ac:dyDescent="0.25">
      <c r="A76" s="21" t="s">
        <v>480</v>
      </c>
      <c r="B76" s="22" t="s">
        <v>478</v>
      </c>
      <c r="C76" s="21">
        <f>VLOOKUP(A76,[1]v_2024!F:I,3,FALSE)</f>
        <v>2</v>
      </c>
      <c r="D76" s="23">
        <f>VLOOKUP(A76,[1]v_2024!F:I,4,FALSE)</f>
        <v>22.14</v>
      </c>
      <c r="E76" s="21">
        <f>VLOOKUP(A76,[1]s_2024!E:G,2,FALSE)</f>
        <v>44</v>
      </c>
      <c r="F76" s="23">
        <f>VLOOKUP(A76,[1]s_2024!E:G,3,FALSE)</f>
        <v>652.90999999999951</v>
      </c>
      <c r="G76" s="24">
        <f t="shared" si="9"/>
        <v>0.96720242944967039</v>
      </c>
      <c r="H76" s="21">
        <f t="shared" si="7"/>
        <v>46</v>
      </c>
      <c r="I76" s="23">
        <f t="shared" si="7"/>
        <v>675.0499999999995</v>
      </c>
      <c r="J76" s="21">
        <f>VLOOKUP(A76,[1]v_2023!F:I,3,FALSE)</f>
        <v>68</v>
      </c>
      <c r="K76" s="23">
        <f>VLOOKUP(A76,[1]v_2023!F:I,4,FALSE)</f>
        <v>794.19</v>
      </c>
      <c r="L76" s="21">
        <f t="shared" si="8"/>
        <v>-22</v>
      </c>
      <c r="M76" s="25">
        <f t="shared" si="8"/>
        <v>-119.14000000000055</v>
      </c>
      <c r="N76" s="26">
        <f>M76/K76</f>
        <v>-0.1500144801621785</v>
      </c>
    </row>
    <row r="77" spans="1:14" x14ac:dyDescent="0.25">
      <c r="A77" s="21" t="s">
        <v>107</v>
      </c>
      <c r="B77" s="22" t="s">
        <v>106</v>
      </c>
      <c r="C77" s="21">
        <f>VLOOKUP(A77,[1]v_2024!F:I,3,FALSE)</f>
        <v>1</v>
      </c>
      <c r="D77" s="23">
        <f>VLOOKUP(A77,[1]v_2024!F:I,4,FALSE)</f>
        <v>19.72</v>
      </c>
      <c r="E77" s="21">
        <v>0</v>
      </c>
      <c r="F77" s="23">
        <v>0</v>
      </c>
      <c r="G77" s="24">
        <f t="shared" si="9"/>
        <v>0</v>
      </c>
      <c r="H77" s="21">
        <f t="shared" si="7"/>
        <v>1</v>
      </c>
      <c r="I77" s="23">
        <f t="shared" si="7"/>
        <v>19.72</v>
      </c>
      <c r="J77" s="21">
        <v>0</v>
      </c>
      <c r="K77" s="23">
        <v>0</v>
      </c>
      <c r="L77" s="21">
        <f t="shared" si="8"/>
        <v>1</v>
      </c>
      <c r="M77" s="25">
        <f t="shared" si="8"/>
        <v>19.72</v>
      </c>
      <c r="N77" s="26"/>
    </row>
    <row r="78" spans="1:14" x14ac:dyDescent="0.25">
      <c r="A78" s="21" t="s">
        <v>109</v>
      </c>
      <c r="B78" s="22" t="s">
        <v>108</v>
      </c>
      <c r="C78" s="21">
        <v>0</v>
      </c>
      <c r="D78" s="23">
        <v>0</v>
      </c>
      <c r="E78" s="21">
        <v>0</v>
      </c>
      <c r="F78" s="23">
        <v>0</v>
      </c>
      <c r="G78" s="24"/>
      <c r="H78" s="21">
        <f t="shared" si="7"/>
        <v>0</v>
      </c>
      <c r="I78" s="23">
        <f t="shared" si="7"/>
        <v>0</v>
      </c>
      <c r="J78" s="21">
        <v>0</v>
      </c>
      <c r="K78" s="23">
        <v>0</v>
      </c>
      <c r="L78" s="21">
        <f t="shared" si="8"/>
        <v>0</v>
      </c>
      <c r="M78" s="25">
        <f t="shared" si="8"/>
        <v>0</v>
      </c>
      <c r="N78" s="26"/>
    </row>
    <row r="79" spans="1:14" x14ac:dyDescent="0.25">
      <c r="A79" s="21" t="s">
        <v>111</v>
      </c>
      <c r="B79" s="22" t="s">
        <v>110</v>
      </c>
      <c r="C79" s="21">
        <f>VLOOKUP(A79,[1]v_2024!F:I,3,FALSE)</f>
        <v>13</v>
      </c>
      <c r="D79" s="23">
        <f>VLOOKUP(A79,[1]v_2024!F:I,4,FALSE)</f>
        <v>182.92</v>
      </c>
      <c r="E79" s="21">
        <v>0</v>
      </c>
      <c r="F79" s="23">
        <v>0</v>
      </c>
      <c r="G79" s="24">
        <f t="shared" si="9"/>
        <v>0</v>
      </c>
      <c r="H79" s="21">
        <f t="shared" si="7"/>
        <v>13</v>
      </c>
      <c r="I79" s="23">
        <f t="shared" si="7"/>
        <v>182.92</v>
      </c>
      <c r="J79" s="21">
        <f>VLOOKUP(A79,[1]v_2023!F:I,3,FALSE)</f>
        <v>161</v>
      </c>
      <c r="K79" s="23">
        <f>VLOOKUP(A79,[1]v_2023!F:I,4,FALSE)</f>
        <v>1965.81</v>
      </c>
      <c r="L79" s="21">
        <f t="shared" si="8"/>
        <v>-148</v>
      </c>
      <c r="M79" s="25">
        <f t="shared" si="8"/>
        <v>-1782.8899999999999</v>
      </c>
      <c r="N79" s="26">
        <f t="shared" ref="N79:N81" si="10">M79/K79</f>
        <v>-0.90694929825364601</v>
      </c>
    </row>
    <row r="80" spans="1:14" x14ac:dyDescent="0.25">
      <c r="A80" s="21" t="s">
        <v>477</v>
      </c>
      <c r="B80" s="22" t="s">
        <v>476</v>
      </c>
      <c r="C80" s="21">
        <v>0</v>
      </c>
      <c r="D80" s="23">
        <v>0</v>
      </c>
      <c r="E80" s="21">
        <f>VLOOKUP(A80,[1]s_2024!E:G,2,FALSE)</f>
        <v>229</v>
      </c>
      <c r="F80" s="23">
        <f>VLOOKUP(A80,[1]s_2024!E:G,3,FALSE)</f>
        <v>6838.119999999979</v>
      </c>
      <c r="G80" s="24">
        <f t="shared" si="9"/>
        <v>1</v>
      </c>
      <c r="H80" s="21">
        <f t="shared" si="7"/>
        <v>229</v>
      </c>
      <c r="I80" s="23">
        <f t="shared" si="7"/>
        <v>6838.119999999979</v>
      </c>
      <c r="J80" s="21">
        <v>0</v>
      </c>
      <c r="K80" s="23">
        <v>0</v>
      </c>
      <c r="L80" s="21">
        <f t="shared" si="8"/>
        <v>229</v>
      </c>
      <c r="M80" s="25">
        <f t="shared" si="8"/>
        <v>6838.119999999979</v>
      </c>
      <c r="N80" s="26"/>
    </row>
    <row r="81" spans="1:14" x14ac:dyDescent="0.25">
      <c r="A81" s="21" t="s">
        <v>490</v>
      </c>
      <c r="B81" s="22" t="s">
        <v>489</v>
      </c>
      <c r="C81" s="21">
        <f>VLOOKUP(A81,[1]v_2024!F:I,3,FALSE)</f>
        <v>1</v>
      </c>
      <c r="D81" s="23">
        <f>VLOOKUP(A81,[1]v_2024!F:I,4,FALSE)</f>
        <v>36.799999999999997</v>
      </c>
      <c r="E81" s="21">
        <f>VLOOKUP(A81,[1]s_2024!E:G,2,FALSE)</f>
        <v>16</v>
      </c>
      <c r="F81" s="23">
        <f>VLOOKUP(A81,[1]s_2024!E:G,3,FALSE)</f>
        <v>798.39999999999975</v>
      </c>
      <c r="G81" s="24">
        <f t="shared" si="9"/>
        <v>0.95593869731800774</v>
      </c>
      <c r="H81" s="21">
        <f t="shared" si="7"/>
        <v>17</v>
      </c>
      <c r="I81" s="23">
        <f t="shared" si="7"/>
        <v>835.1999999999997</v>
      </c>
      <c r="J81" s="21">
        <f>VLOOKUP(A81,[1]v_2023!F:I,3,FALSE)</f>
        <v>135</v>
      </c>
      <c r="K81" s="23">
        <f>VLOOKUP(A81,[1]v_2023!F:I,4,FALSE)</f>
        <v>4968</v>
      </c>
      <c r="L81" s="21">
        <f t="shared" si="8"/>
        <v>-118</v>
      </c>
      <c r="M81" s="25">
        <f t="shared" si="8"/>
        <v>-4132.8</v>
      </c>
      <c r="N81" s="26">
        <f t="shared" si="10"/>
        <v>-0.8318840579710145</v>
      </c>
    </row>
    <row r="82" spans="1:14" x14ac:dyDescent="0.25">
      <c r="A82" s="21" t="s">
        <v>522</v>
      </c>
      <c r="B82" s="22" t="s">
        <v>521</v>
      </c>
      <c r="C82" s="21">
        <v>0</v>
      </c>
      <c r="D82" s="23">
        <v>0</v>
      </c>
      <c r="E82" s="21">
        <f>VLOOKUP(A82,[1]s_2024!E:G,2,FALSE)</f>
        <v>19</v>
      </c>
      <c r="F82" s="23">
        <f>VLOOKUP(A82,[1]s_2024!E:G,3,FALSE)</f>
        <v>1138.0999999999999</v>
      </c>
      <c r="G82" s="24">
        <f t="shared" si="9"/>
        <v>1</v>
      </c>
      <c r="H82" s="21">
        <f t="shared" si="7"/>
        <v>19</v>
      </c>
      <c r="I82" s="23">
        <f t="shared" si="7"/>
        <v>1138.0999999999999</v>
      </c>
      <c r="J82" s="21">
        <v>0</v>
      </c>
      <c r="K82" s="23">
        <v>0</v>
      </c>
      <c r="L82" s="21">
        <f t="shared" si="8"/>
        <v>19</v>
      </c>
      <c r="M82" s="25">
        <f t="shared" si="8"/>
        <v>1138.0999999999999</v>
      </c>
      <c r="N82" s="26"/>
    </row>
    <row r="83" spans="1:14" x14ac:dyDescent="0.25">
      <c r="A83" s="21" t="s">
        <v>113</v>
      </c>
      <c r="B83" s="22" t="s">
        <v>112</v>
      </c>
      <c r="C83" s="21">
        <f>VLOOKUP(A83,[1]v_2024!F:I,3,FALSE)</f>
        <v>1</v>
      </c>
      <c r="D83" s="23">
        <f>VLOOKUP(A83,[1]v_2024!F:I,4,FALSE)</f>
        <v>13.81</v>
      </c>
      <c r="E83" s="21">
        <v>0</v>
      </c>
      <c r="F83" s="23">
        <v>0</v>
      </c>
      <c r="G83" s="24">
        <f t="shared" si="9"/>
        <v>0</v>
      </c>
      <c r="H83" s="21">
        <f t="shared" si="7"/>
        <v>1</v>
      </c>
      <c r="I83" s="23">
        <f t="shared" si="7"/>
        <v>13.81</v>
      </c>
      <c r="J83" s="21">
        <v>0</v>
      </c>
      <c r="K83" s="23">
        <v>0</v>
      </c>
      <c r="L83" s="21">
        <f t="shared" si="8"/>
        <v>1</v>
      </c>
      <c r="M83" s="25">
        <f t="shared" si="8"/>
        <v>13.81</v>
      </c>
      <c r="N83" s="26"/>
    </row>
    <row r="84" spans="1:14" x14ac:dyDescent="0.25">
      <c r="A84" s="21" t="s">
        <v>115</v>
      </c>
      <c r="B84" s="22" t="s">
        <v>114</v>
      </c>
      <c r="C84" s="21">
        <v>0</v>
      </c>
      <c r="D84" s="23">
        <v>0</v>
      </c>
      <c r="E84" s="21">
        <v>0</v>
      </c>
      <c r="F84" s="23">
        <v>0</v>
      </c>
      <c r="G84" s="24"/>
      <c r="H84" s="21">
        <f t="shared" si="7"/>
        <v>0</v>
      </c>
      <c r="I84" s="23">
        <f t="shared" si="7"/>
        <v>0</v>
      </c>
      <c r="J84" s="21">
        <v>0</v>
      </c>
      <c r="K84" s="23">
        <v>0</v>
      </c>
      <c r="L84" s="21">
        <f t="shared" si="8"/>
        <v>0</v>
      </c>
      <c r="M84" s="25">
        <f t="shared" si="8"/>
        <v>0</v>
      </c>
      <c r="N84" s="26"/>
    </row>
    <row r="85" spans="1:14" x14ac:dyDescent="0.25">
      <c r="A85" s="21" t="s">
        <v>117</v>
      </c>
      <c r="B85" s="22" t="s">
        <v>116</v>
      </c>
      <c r="C85" s="21">
        <v>0</v>
      </c>
      <c r="D85" s="23">
        <v>0</v>
      </c>
      <c r="E85" s="21">
        <v>0</v>
      </c>
      <c r="F85" s="23">
        <v>0</v>
      </c>
      <c r="G85" s="24"/>
      <c r="H85" s="21">
        <f t="shared" si="7"/>
        <v>0</v>
      </c>
      <c r="I85" s="23">
        <f t="shared" si="7"/>
        <v>0</v>
      </c>
      <c r="J85" s="21">
        <v>0</v>
      </c>
      <c r="K85" s="23">
        <v>0</v>
      </c>
      <c r="L85" s="21">
        <f t="shared" si="8"/>
        <v>0</v>
      </c>
      <c r="M85" s="25">
        <f t="shared" si="8"/>
        <v>0</v>
      </c>
      <c r="N85" s="26"/>
    </row>
    <row r="86" spans="1:14" x14ac:dyDescent="0.25">
      <c r="A86" s="21" t="s">
        <v>544</v>
      </c>
      <c r="B86" s="22" t="s">
        <v>543</v>
      </c>
      <c r="C86" s="21">
        <f>VLOOKUP(A86,[1]v_2024!F:I,3,FALSE)</f>
        <v>168</v>
      </c>
      <c r="D86" s="23">
        <f>VLOOKUP(A86,[1]v_2024!F:I,4,FALSE)</f>
        <v>3399.3</v>
      </c>
      <c r="E86" s="21">
        <v>0</v>
      </c>
      <c r="F86" s="23">
        <v>0</v>
      </c>
      <c r="G86" s="24">
        <f t="shared" si="9"/>
        <v>0</v>
      </c>
      <c r="H86" s="21">
        <f t="shared" si="7"/>
        <v>168</v>
      </c>
      <c r="I86" s="23">
        <f t="shared" si="7"/>
        <v>3399.3</v>
      </c>
      <c r="J86" s="21">
        <f>VLOOKUP(A86,[1]v_2023!F:I,3,FALSE)</f>
        <v>472</v>
      </c>
      <c r="K86" s="23">
        <f>VLOOKUP(A86,[1]v_2023!F:I,4,FALSE)</f>
        <v>9633.52</v>
      </c>
      <c r="L86" s="21">
        <f t="shared" si="8"/>
        <v>-304</v>
      </c>
      <c r="M86" s="25">
        <f t="shared" si="8"/>
        <v>-6234.22</v>
      </c>
      <c r="N86" s="26">
        <f>M86/K86</f>
        <v>-0.64713832534732896</v>
      </c>
    </row>
    <row r="87" spans="1:14" x14ac:dyDescent="0.25">
      <c r="A87" s="21" t="s">
        <v>119</v>
      </c>
      <c r="B87" s="22" t="s">
        <v>118</v>
      </c>
      <c r="C87" s="21">
        <f>VLOOKUP(A87,[1]v_2024!F:I,3,FALSE)</f>
        <v>2</v>
      </c>
      <c r="D87" s="23">
        <f>VLOOKUP(A87,[1]v_2024!F:I,4,FALSE)</f>
        <v>48.17</v>
      </c>
      <c r="E87" s="21">
        <v>0</v>
      </c>
      <c r="F87" s="23">
        <v>0</v>
      </c>
      <c r="G87" s="24">
        <f t="shared" si="9"/>
        <v>0</v>
      </c>
      <c r="H87" s="21">
        <f t="shared" si="7"/>
        <v>2</v>
      </c>
      <c r="I87" s="23">
        <f t="shared" si="7"/>
        <v>48.17</v>
      </c>
      <c r="J87" s="21">
        <f>VLOOKUP(A87,[1]v_2023!F:I,3,FALSE)</f>
        <v>5</v>
      </c>
      <c r="K87" s="23">
        <f>VLOOKUP(A87,[1]v_2023!F:I,4,FALSE)</f>
        <v>104.95</v>
      </c>
      <c r="L87" s="21">
        <f t="shared" si="8"/>
        <v>-3</v>
      </c>
      <c r="M87" s="25">
        <f t="shared" si="8"/>
        <v>-56.78</v>
      </c>
      <c r="N87" s="26">
        <f>M87/K87</f>
        <v>-0.54101953311100526</v>
      </c>
    </row>
    <row r="88" spans="1:14" x14ac:dyDescent="0.25">
      <c r="A88" s="21" t="s">
        <v>121</v>
      </c>
      <c r="B88" s="22" t="s">
        <v>120</v>
      </c>
      <c r="C88" s="21">
        <v>0</v>
      </c>
      <c r="D88" s="23">
        <v>0</v>
      </c>
      <c r="E88" s="21">
        <v>0</v>
      </c>
      <c r="F88" s="23">
        <v>0</v>
      </c>
      <c r="G88" s="24"/>
      <c r="H88" s="21">
        <f t="shared" si="7"/>
        <v>0</v>
      </c>
      <c r="I88" s="23">
        <f t="shared" si="7"/>
        <v>0</v>
      </c>
      <c r="J88" s="21">
        <v>0</v>
      </c>
      <c r="K88" s="23">
        <v>0</v>
      </c>
      <c r="L88" s="21">
        <f t="shared" si="8"/>
        <v>0</v>
      </c>
      <c r="M88" s="25">
        <f t="shared" si="8"/>
        <v>0</v>
      </c>
      <c r="N88" s="26"/>
    </row>
    <row r="89" spans="1:14" x14ac:dyDescent="0.25">
      <c r="A89" s="21" t="s">
        <v>546</v>
      </c>
      <c r="B89" s="22" t="s">
        <v>545</v>
      </c>
      <c r="C89" s="21">
        <v>0</v>
      </c>
      <c r="D89" s="23">
        <v>0</v>
      </c>
      <c r="E89" s="21">
        <v>0</v>
      </c>
      <c r="F89" s="23">
        <v>0</v>
      </c>
      <c r="G89" s="24"/>
      <c r="H89" s="21">
        <f t="shared" si="7"/>
        <v>0</v>
      </c>
      <c r="I89" s="23">
        <f t="shared" si="7"/>
        <v>0</v>
      </c>
      <c r="J89" s="21">
        <v>0</v>
      </c>
      <c r="K89" s="23">
        <v>0</v>
      </c>
      <c r="L89" s="21">
        <f t="shared" si="8"/>
        <v>0</v>
      </c>
      <c r="M89" s="25">
        <f t="shared" si="8"/>
        <v>0</v>
      </c>
      <c r="N89" s="26"/>
    </row>
    <row r="90" spans="1:14" x14ac:dyDescent="0.25">
      <c r="A90" s="21" t="s">
        <v>488</v>
      </c>
      <c r="B90" s="22" t="s">
        <v>487</v>
      </c>
      <c r="C90" s="21">
        <v>0</v>
      </c>
      <c r="D90" s="23">
        <v>0</v>
      </c>
      <c r="E90" s="21">
        <v>0</v>
      </c>
      <c r="F90" s="23">
        <v>0</v>
      </c>
      <c r="G90" s="24"/>
      <c r="H90" s="21">
        <f t="shared" si="7"/>
        <v>0</v>
      </c>
      <c r="I90" s="23">
        <f t="shared" si="7"/>
        <v>0</v>
      </c>
      <c r="J90" s="21">
        <v>0</v>
      </c>
      <c r="K90" s="23">
        <v>0</v>
      </c>
      <c r="L90" s="21">
        <f t="shared" si="8"/>
        <v>0</v>
      </c>
      <c r="M90" s="25">
        <f t="shared" si="8"/>
        <v>0</v>
      </c>
      <c r="N90" s="26"/>
    </row>
    <row r="91" spans="1:14" x14ac:dyDescent="0.25">
      <c r="A91" s="21" t="s">
        <v>502</v>
      </c>
      <c r="B91" s="22" t="s">
        <v>501</v>
      </c>
      <c r="C91" s="21">
        <f>VLOOKUP(A91,[1]v_2024!F:I,3,FALSE)</f>
        <v>0</v>
      </c>
      <c r="D91" s="23">
        <f>VLOOKUP(A91,[1]v_2024!F:I,4,FALSE)</f>
        <v>0</v>
      </c>
      <c r="E91" s="21">
        <v>0</v>
      </c>
      <c r="F91" s="23">
        <v>0</v>
      </c>
      <c r="G91" s="24"/>
      <c r="H91" s="21">
        <f t="shared" si="7"/>
        <v>0</v>
      </c>
      <c r="I91" s="23">
        <f t="shared" si="7"/>
        <v>0</v>
      </c>
      <c r="J91" s="21">
        <f>VLOOKUP(A91,[1]v_2023!F:I,3,FALSE)</f>
        <v>2</v>
      </c>
      <c r="K91" s="23">
        <f>VLOOKUP(A91,[1]v_2023!F:I,4,FALSE)</f>
        <v>162.30000000000001</v>
      </c>
      <c r="L91" s="21">
        <f t="shared" si="8"/>
        <v>-2</v>
      </c>
      <c r="M91" s="25">
        <f t="shared" si="8"/>
        <v>-162.30000000000001</v>
      </c>
      <c r="N91" s="26">
        <f t="shared" ref="N91:N97" si="11">M91/K91</f>
        <v>-1</v>
      </c>
    </row>
    <row r="92" spans="1:14" x14ac:dyDescent="0.25">
      <c r="A92" s="21" t="s">
        <v>530</v>
      </c>
      <c r="B92" s="22" t="s">
        <v>529</v>
      </c>
      <c r="C92" s="21">
        <v>0</v>
      </c>
      <c r="D92" s="23">
        <v>0</v>
      </c>
      <c r="E92" s="21">
        <v>0</v>
      </c>
      <c r="F92" s="23">
        <v>0</v>
      </c>
      <c r="G92" s="24"/>
      <c r="H92" s="21">
        <f t="shared" si="7"/>
        <v>0</v>
      </c>
      <c r="I92" s="23">
        <f t="shared" si="7"/>
        <v>0</v>
      </c>
      <c r="J92" s="21">
        <v>0</v>
      </c>
      <c r="K92" s="23">
        <v>0</v>
      </c>
      <c r="L92" s="21">
        <f t="shared" si="8"/>
        <v>0</v>
      </c>
      <c r="M92" s="25">
        <f t="shared" si="8"/>
        <v>0</v>
      </c>
      <c r="N92" s="26"/>
    </row>
    <row r="93" spans="1:14" x14ac:dyDescent="0.25">
      <c r="A93" s="21" t="s">
        <v>516</v>
      </c>
      <c r="B93" s="22" t="s">
        <v>515</v>
      </c>
      <c r="C93" s="21">
        <f>VLOOKUP(A93,[1]v_2024!F:I,3,FALSE)</f>
        <v>99</v>
      </c>
      <c r="D93" s="23">
        <f>VLOOKUP(A93,[1]v_2024!F:I,4,FALSE)</f>
        <v>1371.15</v>
      </c>
      <c r="E93" s="21">
        <v>0</v>
      </c>
      <c r="F93" s="23">
        <v>0</v>
      </c>
      <c r="G93" s="24">
        <f t="shared" si="9"/>
        <v>0</v>
      </c>
      <c r="H93" s="21">
        <f t="shared" si="7"/>
        <v>99</v>
      </c>
      <c r="I93" s="23">
        <f t="shared" si="7"/>
        <v>1371.15</v>
      </c>
      <c r="J93" s="21">
        <f>VLOOKUP(A93,[1]v_2023!F:I,3,FALSE)</f>
        <v>43</v>
      </c>
      <c r="K93" s="23">
        <f>VLOOKUP(A93,[1]v_2023!F:I,4,FALSE)</f>
        <v>701.33</v>
      </c>
      <c r="L93" s="21">
        <f t="shared" si="8"/>
        <v>56</v>
      </c>
      <c r="M93" s="25">
        <f t="shared" si="8"/>
        <v>669.82</v>
      </c>
      <c r="N93" s="26">
        <f t="shared" si="11"/>
        <v>0.95507107923516743</v>
      </c>
    </row>
    <row r="94" spans="1:14" x14ac:dyDescent="0.25">
      <c r="A94" s="21" t="s">
        <v>475</v>
      </c>
      <c r="B94" s="22" t="s">
        <v>474</v>
      </c>
      <c r="C94" s="21">
        <v>0</v>
      </c>
      <c r="D94" s="23">
        <v>0</v>
      </c>
      <c r="E94" s="21">
        <v>0</v>
      </c>
      <c r="F94" s="23">
        <v>0</v>
      </c>
      <c r="G94" s="24"/>
      <c r="H94" s="21">
        <f t="shared" si="7"/>
        <v>0</v>
      </c>
      <c r="I94" s="23">
        <f t="shared" si="7"/>
        <v>0</v>
      </c>
      <c r="J94" s="21">
        <f>VLOOKUP(A94,[1]v_2023!F:I,3,FALSE)</f>
        <v>2</v>
      </c>
      <c r="K94" s="23">
        <f>VLOOKUP(A94,[1]v_2023!F:I,4,FALSE)</f>
        <v>32.659999999999997</v>
      </c>
      <c r="L94" s="21">
        <f t="shared" si="8"/>
        <v>-2</v>
      </c>
      <c r="M94" s="25">
        <f t="shared" si="8"/>
        <v>-32.659999999999997</v>
      </c>
      <c r="N94" s="26">
        <f t="shared" si="11"/>
        <v>-1</v>
      </c>
    </row>
    <row r="95" spans="1:14" x14ac:dyDescent="0.25">
      <c r="A95" s="21" t="s">
        <v>123</v>
      </c>
      <c r="B95" s="22" t="s">
        <v>122</v>
      </c>
      <c r="C95" s="21">
        <f>VLOOKUP(A95,[1]v_2024!F:I,3,FALSE)</f>
        <v>6</v>
      </c>
      <c r="D95" s="23">
        <f>VLOOKUP(A95,[1]v_2024!F:I,4,FALSE)</f>
        <v>147.06</v>
      </c>
      <c r="E95" s="21">
        <v>0</v>
      </c>
      <c r="F95" s="23">
        <v>0</v>
      </c>
      <c r="G95" s="24">
        <f t="shared" si="9"/>
        <v>0</v>
      </c>
      <c r="H95" s="21">
        <f t="shared" si="7"/>
        <v>6</v>
      </c>
      <c r="I95" s="23">
        <f t="shared" si="7"/>
        <v>147.06</v>
      </c>
      <c r="J95" s="21">
        <f>VLOOKUP(A95,[1]v_2023!F:I,3,FALSE)</f>
        <v>16</v>
      </c>
      <c r="K95" s="23">
        <f>VLOOKUP(A95,[1]v_2023!F:I,4,FALSE)</f>
        <v>392.16</v>
      </c>
      <c r="L95" s="21">
        <f t="shared" si="8"/>
        <v>-10</v>
      </c>
      <c r="M95" s="25">
        <f t="shared" si="8"/>
        <v>-245.10000000000002</v>
      </c>
      <c r="N95" s="26">
        <f t="shared" si="11"/>
        <v>-0.625</v>
      </c>
    </row>
    <row r="96" spans="1:14" x14ac:dyDescent="0.25">
      <c r="A96" s="21" t="s">
        <v>125</v>
      </c>
      <c r="B96" s="22" t="s">
        <v>124</v>
      </c>
      <c r="C96" s="21">
        <f>VLOOKUP(A96,[1]v_2024!F:I,3,FALSE)</f>
        <v>0</v>
      </c>
      <c r="D96" s="23">
        <f>VLOOKUP(A96,[1]v_2024!F:I,4,FALSE)</f>
        <v>0</v>
      </c>
      <c r="E96" s="21">
        <v>0</v>
      </c>
      <c r="F96" s="23">
        <v>0</v>
      </c>
      <c r="G96" s="24"/>
      <c r="H96" s="21">
        <f t="shared" si="7"/>
        <v>0</v>
      </c>
      <c r="I96" s="23">
        <f t="shared" si="7"/>
        <v>0</v>
      </c>
      <c r="J96" s="21">
        <f>VLOOKUP(A96,[1]v_2023!F:I,3,FALSE)</f>
        <v>794</v>
      </c>
      <c r="K96" s="23">
        <f>VLOOKUP(A96,[1]v_2023!F:I,4,FALSE)</f>
        <v>9694.74</v>
      </c>
      <c r="L96" s="21">
        <f t="shared" si="8"/>
        <v>-794</v>
      </c>
      <c r="M96" s="25">
        <f t="shared" si="8"/>
        <v>-9694.74</v>
      </c>
      <c r="N96" s="26">
        <f t="shared" si="11"/>
        <v>-1</v>
      </c>
    </row>
    <row r="97" spans="1:14" x14ac:dyDescent="0.25">
      <c r="A97" s="21" t="s">
        <v>560</v>
      </c>
      <c r="B97" s="22" t="s">
        <v>559</v>
      </c>
      <c r="C97" s="21">
        <f>VLOOKUP(A97,[1]v_2024!F:I,3,FALSE)</f>
        <v>16</v>
      </c>
      <c r="D97" s="23">
        <f>VLOOKUP(A97,[1]v_2024!F:I,4,FALSE)</f>
        <v>167.52</v>
      </c>
      <c r="E97" s="21">
        <v>0</v>
      </c>
      <c r="F97" s="23">
        <v>0</v>
      </c>
      <c r="G97" s="24">
        <f>F97/I97</f>
        <v>0</v>
      </c>
      <c r="H97" s="21">
        <f t="shared" si="7"/>
        <v>16</v>
      </c>
      <c r="I97" s="23">
        <f t="shared" si="7"/>
        <v>167.52</v>
      </c>
      <c r="J97" s="21">
        <f>VLOOKUP(A97,[1]v_2023!F:I,3,FALSE)</f>
        <v>52</v>
      </c>
      <c r="K97" s="23">
        <f>VLOOKUP(A97,[1]v_2023!F:I,4,FALSE)</f>
        <v>596.63</v>
      </c>
      <c r="L97" s="21">
        <f t="shared" si="8"/>
        <v>-36</v>
      </c>
      <c r="M97" s="25">
        <f t="shared" si="8"/>
        <v>-429.11</v>
      </c>
      <c r="N97" s="26">
        <f t="shared" si="11"/>
        <v>-0.71922296900926874</v>
      </c>
    </row>
    <row r="98" spans="1:14" x14ac:dyDescent="0.25">
      <c r="A98" s="21" t="s">
        <v>496</v>
      </c>
      <c r="B98" s="22" t="s">
        <v>495</v>
      </c>
      <c r="C98" s="21">
        <v>0</v>
      </c>
      <c r="D98" s="23">
        <v>0</v>
      </c>
      <c r="E98" s="21">
        <v>0</v>
      </c>
      <c r="F98" s="23">
        <v>0</v>
      </c>
      <c r="G98" s="24"/>
      <c r="H98" s="21">
        <f t="shared" si="7"/>
        <v>0</v>
      </c>
      <c r="I98" s="23">
        <f t="shared" si="7"/>
        <v>0</v>
      </c>
      <c r="J98" s="21">
        <v>0</v>
      </c>
      <c r="K98" s="23">
        <v>0</v>
      </c>
      <c r="L98" s="21">
        <f t="shared" si="8"/>
        <v>0</v>
      </c>
      <c r="M98" s="25">
        <f t="shared" si="8"/>
        <v>0</v>
      </c>
      <c r="N98" s="26"/>
    </row>
    <row r="99" spans="1:14" x14ac:dyDescent="0.25">
      <c r="A99" s="21" t="s">
        <v>514</v>
      </c>
      <c r="B99" s="22" t="s">
        <v>513</v>
      </c>
      <c r="C99" s="21">
        <v>0</v>
      </c>
      <c r="D99" s="23">
        <v>0</v>
      </c>
      <c r="E99" s="21">
        <f>VLOOKUP(A99,[1]s_2024!E:G,2,FALSE)</f>
        <v>1</v>
      </c>
      <c r="F99" s="23">
        <f>VLOOKUP(A99,[1]s_2024!E:G,3,FALSE)</f>
        <v>15.9</v>
      </c>
      <c r="G99" s="24">
        <f>F99/I99</f>
        <v>1</v>
      </c>
      <c r="H99" s="21">
        <f t="shared" si="7"/>
        <v>1</v>
      </c>
      <c r="I99" s="23">
        <f t="shared" si="7"/>
        <v>15.9</v>
      </c>
      <c r="J99" s="21">
        <v>0</v>
      </c>
      <c r="K99" s="23">
        <v>0</v>
      </c>
      <c r="L99" s="21">
        <f t="shared" si="8"/>
        <v>1</v>
      </c>
      <c r="M99" s="25">
        <f t="shared" si="8"/>
        <v>15.9</v>
      </c>
      <c r="N99" s="26"/>
    </row>
    <row r="100" spans="1:14" x14ac:dyDescent="0.25">
      <c r="A100" s="21" t="s">
        <v>562</v>
      </c>
      <c r="B100" s="22" t="s">
        <v>561</v>
      </c>
      <c r="C100" s="21">
        <v>0</v>
      </c>
      <c r="D100" s="23">
        <v>0</v>
      </c>
      <c r="E100" s="21">
        <v>0</v>
      </c>
      <c r="F100" s="23">
        <v>0</v>
      </c>
      <c r="G100" s="24"/>
      <c r="H100" s="21">
        <f t="shared" si="7"/>
        <v>0</v>
      </c>
      <c r="I100" s="23">
        <f t="shared" si="7"/>
        <v>0</v>
      </c>
      <c r="J100" s="21">
        <f>VLOOKUP(A100,[1]v_2023!F:I,3,FALSE)</f>
        <v>23</v>
      </c>
      <c r="K100" s="23">
        <f>VLOOKUP(A100,[1]v_2023!F:I,4,FALSE)</f>
        <v>171.89</v>
      </c>
      <c r="L100" s="21">
        <f t="shared" si="8"/>
        <v>-23</v>
      </c>
      <c r="M100" s="25">
        <f t="shared" si="8"/>
        <v>-171.89</v>
      </c>
      <c r="N100" s="26">
        <f>M100/K100</f>
        <v>-1</v>
      </c>
    </row>
    <row r="101" spans="1:14" x14ac:dyDescent="0.25">
      <c r="A101" s="21" t="s">
        <v>127</v>
      </c>
      <c r="B101" s="22" t="s">
        <v>126</v>
      </c>
      <c r="C101" s="21">
        <f>VLOOKUP(A101,[1]v_2024!F:I,3,FALSE)</f>
        <v>105</v>
      </c>
      <c r="D101" s="23">
        <f>VLOOKUP(A101,[1]v_2024!F:I,4,FALSE)</f>
        <v>2591.61</v>
      </c>
      <c r="E101" s="21">
        <f>VLOOKUP(A101,[1]s_2024!E:G,2,FALSE)</f>
        <v>104</v>
      </c>
      <c r="F101" s="23">
        <f>VLOOKUP(A101,[1]s_2024!E:G,3,FALSE)</f>
        <v>3109.6000000000017</v>
      </c>
      <c r="G101" s="24">
        <f>F101/I101</f>
        <v>0.54542807579443675</v>
      </c>
      <c r="H101" s="21">
        <f t="shared" si="7"/>
        <v>209</v>
      </c>
      <c r="I101" s="23">
        <f t="shared" si="7"/>
        <v>5701.2100000000019</v>
      </c>
      <c r="J101" s="21">
        <f>VLOOKUP(A101,[1]v_2023!F:I,3,FALSE)</f>
        <v>247</v>
      </c>
      <c r="K101" s="23">
        <f>VLOOKUP(A101,[1]v_2023!F:I,4,FALSE)</f>
        <v>5658.63</v>
      </c>
      <c r="L101" s="21">
        <f t="shared" si="8"/>
        <v>-38</v>
      </c>
      <c r="M101" s="25">
        <f t="shared" si="8"/>
        <v>42.580000000001746</v>
      </c>
      <c r="N101" s="26">
        <f>M101/K101</f>
        <v>7.5247895692069893E-3</v>
      </c>
    </row>
    <row r="102" spans="1:14" x14ac:dyDescent="0.25">
      <c r="A102" s="21" t="s">
        <v>482</v>
      </c>
      <c r="B102" s="22" t="s">
        <v>481</v>
      </c>
      <c r="C102" s="21">
        <f>VLOOKUP(A102,[1]v_2024!F:I,3,FALSE)</f>
        <v>25</v>
      </c>
      <c r="D102" s="23">
        <f>VLOOKUP(A102,[1]v_2024!F:I,4,FALSE)</f>
        <v>993.72</v>
      </c>
      <c r="E102" s="21">
        <v>0</v>
      </c>
      <c r="F102" s="23">
        <v>0</v>
      </c>
      <c r="G102" s="24">
        <f>F102/I102</f>
        <v>0</v>
      </c>
      <c r="H102" s="21">
        <f t="shared" si="7"/>
        <v>25</v>
      </c>
      <c r="I102" s="23">
        <f t="shared" si="7"/>
        <v>993.72</v>
      </c>
      <c r="J102" s="21">
        <f>VLOOKUP(A102,[1]v_2023!F:I,3,FALSE)</f>
        <v>21</v>
      </c>
      <c r="K102" s="23">
        <f>VLOOKUP(A102,[1]v_2023!F:I,4,FALSE)</f>
        <v>998.34</v>
      </c>
      <c r="L102" s="21">
        <f t="shared" si="8"/>
        <v>4</v>
      </c>
      <c r="M102" s="25">
        <f t="shared" si="8"/>
        <v>-4.6200000000000045</v>
      </c>
      <c r="N102" s="26">
        <f>M102/K102</f>
        <v>-4.6276819520403916E-3</v>
      </c>
    </row>
    <row r="103" spans="1:14" x14ac:dyDescent="0.25">
      <c r="A103" s="21" t="s">
        <v>129</v>
      </c>
      <c r="B103" s="22" t="s">
        <v>128</v>
      </c>
      <c r="C103" s="21">
        <v>0</v>
      </c>
      <c r="D103" s="23">
        <v>0</v>
      </c>
      <c r="E103" s="21">
        <v>0</v>
      </c>
      <c r="F103" s="23">
        <v>0</v>
      </c>
      <c r="G103" s="24"/>
      <c r="H103" s="21">
        <f t="shared" si="7"/>
        <v>0</v>
      </c>
      <c r="I103" s="23">
        <f t="shared" si="7"/>
        <v>0</v>
      </c>
      <c r="J103" s="21">
        <v>0</v>
      </c>
      <c r="K103" s="23">
        <v>0</v>
      </c>
      <c r="L103" s="21">
        <f t="shared" si="8"/>
        <v>0</v>
      </c>
      <c r="M103" s="25">
        <f t="shared" si="8"/>
        <v>0</v>
      </c>
      <c r="N103" s="26"/>
    </row>
    <row r="104" spans="1:14" x14ac:dyDescent="0.25">
      <c r="A104" s="21" t="s">
        <v>548</v>
      </c>
      <c r="B104" s="22" t="s">
        <v>547</v>
      </c>
      <c r="C104" s="21">
        <f>VLOOKUP(A104,[1]v_2024!F:I,3,FALSE)</f>
        <v>4</v>
      </c>
      <c r="D104" s="23">
        <f>VLOOKUP(A104,[1]v_2024!F:I,4,FALSE)</f>
        <v>80.010000000000005</v>
      </c>
      <c r="E104" s="21">
        <v>0</v>
      </c>
      <c r="F104" s="23">
        <v>0</v>
      </c>
      <c r="G104" s="24">
        <f>F104/I104</f>
        <v>0</v>
      </c>
      <c r="H104" s="21">
        <f t="shared" si="7"/>
        <v>4</v>
      </c>
      <c r="I104" s="23">
        <f t="shared" si="7"/>
        <v>80.010000000000005</v>
      </c>
      <c r="J104" s="21">
        <f>VLOOKUP(A104,[1]v_2023!F:I,3,FALSE)</f>
        <v>11</v>
      </c>
      <c r="K104" s="23">
        <f>VLOOKUP(A104,[1]v_2023!F:I,4,FALSE)</f>
        <v>221.38</v>
      </c>
      <c r="L104" s="21">
        <f t="shared" si="8"/>
        <v>-7</v>
      </c>
      <c r="M104" s="25">
        <f t="shared" si="8"/>
        <v>-141.37</v>
      </c>
      <c r="N104" s="26">
        <f>M104/K104</f>
        <v>-0.6385852380522179</v>
      </c>
    </row>
    <row r="105" spans="1:14" x14ac:dyDescent="0.25">
      <c r="A105" s="21" t="s">
        <v>131</v>
      </c>
      <c r="B105" s="22" t="s">
        <v>130</v>
      </c>
      <c r="C105" s="21">
        <v>0</v>
      </c>
      <c r="D105" s="23">
        <v>0</v>
      </c>
      <c r="E105" s="21">
        <v>0</v>
      </c>
      <c r="F105" s="23">
        <v>0</v>
      </c>
      <c r="G105" s="24"/>
      <c r="H105" s="21">
        <f t="shared" si="7"/>
        <v>0</v>
      </c>
      <c r="I105" s="23">
        <f t="shared" si="7"/>
        <v>0</v>
      </c>
      <c r="J105" s="21">
        <v>0</v>
      </c>
      <c r="K105" s="23">
        <v>0</v>
      </c>
      <c r="L105" s="21">
        <f t="shared" si="8"/>
        <v>0</v>
      </c>
      <c r="M105" s="25">
        <f t="shared" si="8"/>
        <v>0</v>
      </c>
      <c r="N105" s="26"/>
    </row>
    <row r="106" spans="1:14" x14ac:dyDescent="0.25">
      <c r="A106" s="21" t="s">
        <v>564</v>
      </c>
      <c r="B106" s="22" t="s">
        <v>563</v>
      </c>
      <c r="C106" s="21">
        <f>VLOOKUP(A106,[1]v_2024!F:I,3,FALSE)</f>
        <v>0</v>
      </c>
      <c r="D106" s="23">
        <f>VLOOKUP(A106,[1]v_2024!F:I,4,FALSE)</f>
        <v>0</v>
      </c>
      <c r="E106" s="21">
        <v>0</v>
      </c>
      <c r="F106" s="23">
        <v>0</v>
      </c>
      <c r="G106" s="24"/>
      <c r="H106" s="21">
        <f t="shared" si="7"/>
        <v>0</v>
      </c>
      <c r="I106" s="23">
        <f t="shared" si="7"/>
        <v>0</v>
      </c>
      <c r="J106" s="21">
        <f>VLOOKUP(A106,[1]v_2023!F:I,3,FALSE)</f>
        <v>0</v>
      </c>
      <c r="K106" s="23">
        <f>VLOOKUP(A106,[1]v_2023!F:I,4,FALSE)</f>
        <v>0</v>
      </c>
      <c r="L106" s="21">
        <f t="shared" si="8"/>
        <v>0</v>
      </c>
      <c r="M106" s="25">
        <f t="shared" si="8"/>
        <v>0</v>
      </c>
      <c r="N106" s="26"/>
    </row>
    <row r="107" spans="1:14" x14ac:dyDescent="0.25">
      <c r="A107" s="21" t="s">
        <v>566</v>
      </c>
      <c r="B107" s="22" t="s">
        <v>565</v>
      </c>
      <c r="C107" s="21">
        <v>0</v>
      </c>
      <c r="D107" s="23">
        <v>0</v>
      </c>
      <c r="E107" s="21">
        <f>VLOOKUP(A107,[1]s_2024!E:G,2,FALSE)</f>
        <v>26</v>
      </c>
      <c r="F107" s="23">
        <f>VLOOKUP(A107,[1]s_2024!E:G,3,FALSE)</f>
        <v>2077.400000000001</v>
      </c>
      <c r="G107" s="24">
        <f t="shared" ref="G107:G122" si="12">F107/I107</f>
        <v>1</v>
      </c>
      <c r="H107" s="21">
        <f t="shared" si="7"/>
        <v>26</v>
      </c>
      <c r="I107" s="23">
        <f t="shared" si="7"/>
        <v>2077.400000000001</v>
      </c>
      <c r="J107" s="21">
        <v>0</v>
      </c>
      <c r="K107" s="23">
        <v>0</v>
      </c>
      <c r="L107" s="21">
        <f t="shared" si="8"/>
        <v>26</v>
      </c>
      <c r="M107" s="25">
        <f t="shared" si="8"/>
        <v>2077.400000000001</v>
      </c>
      <c r="N107" s="26"/>
    </row>
    <row r="108" spans="1:14" x14ac:dyDescent="0.25">
      <c r="A108" s="21" t="s">
        <v>133</v>
      </c>
      <c r="B108" s="22" t="s">
        <v>132</v>
      </c>
      <c r="C108" s="21">
        <v>0</v>
      </c>
      <c r="D108" s="23">
        <v>0</v>
      </c>
      <c r="E108" s="21">
        <f>VLOOKUP(A108,[1]s_2024!E:G,2,FALSE)</f>
        <v>3</v>
      </c>
      <c r="F108" s="23">
        <f>VLOOKUP(A108,[1]s_2024!E:G,3,FALSE)</f>
        <v>149.69999999999999</v>
      </c>
      <c r="G108" s="24">
        <f t="shared" si="12"/>
        <v>1</v>
      </c>
      <c r="H108" s="21">
        <f t="shared" si="7"/>
        <v>3</v>
      </c>
      <c r="I108" s="23">
        <f t="shared" si="7"/>
        <v>149.69999999999999</v>
      </c>
      <c r="J108" s="21">
        <v>0</v>
      </c>
      <c r="K108" s="23">
        <v>0</v>
      </c>
      <c r="L108" s="21">
        <f t="shared" si="8"/>
        <v>3</v>
      </c>
      <c r="M108" s="25">
        <f t="shared" si="8"/>
        <v>149.69999999999999</v>
      </c>
      <c r="N108" s="26"/>
    </row>
    <row r="109" spans="1:14" x14ac:dyDescent="0.25">
      <c r="A109" s="21" t="s">
        <v>135</v>
      </c>
      <c r="B109" s="22" t="s">
        <v>134</v>
      </c>
      <c r="C109" s="21">
        <f>VLOOKUP(A109,[1]v_2024!F:I,3,FALSE)</f>
        <v>3</v>
      </c>
      <c r="D109" s="23">
        <f>VLOOKUP(A109,[1]v_2024!F:I,4,FALSE)</f>
        <v>92.19</v>
      </c>
      <c r="E109" s="21">
        <v>0</v>
      </c>
      <c r="F109" s="23">
        <v>0</v>
      </c>
      <c r="G109" s="24">
        <f t="shared" si="12"/>
        <v>0</v>
      </c>
      <c r="H109" s="21">
        <f t="shared" si="7"/>
        <v>3</v>
      </c>
      <c r="I109" s="23">
        <f t="shared" si="7"/>
        <v>92.19</v>
      </c>
      <c r="J109" s="21">
        <f>VLOOKUP(A109,[1]v_2023!F:I,3,FALSE)</f>
        <v>39</v>
      </c>
      <c r="K109" s="23">
        <f>VLOOKUP(A109,[1]v_2023!F:I,4,FALSE)</f>
        <v>955.89</v>
      </c>
      <c r="L109" s="21">
        <f t="shared" si="8"/>
        <v>-36</v>
      </c>
      <c r="M109" s="25">
        <f t="shared" si="8"/>
        <v>-863.7</v>
      </c>
      <c r="N109" s="26">
        <f t="shared" ref="N109:N122" si="13">M109/K109</f>
        <v>-0.90355584847628923</v>
      </c>
    </row>
    <row r="110" spans="1:14" x14ac:dyDescent="0.25">
      <c r="A110" s="21" t="s">
        <v>520</v>
      </c>
      <c r="B110" s="22" t="s">
        <v>519</v>
      </c>
      <c r="C110" s="21">
        <f>VLOOKUP(A110,[1]v_2024!F:I,3,FALSE)</f>
        <v>-4</v>
      </c>
      <c r="D110" s="23">
        <f>VLOOKUP(A110,[1]v_2024!F:I,4,FALSE)</f>
        <v>-230.16</v>
      </c>
      <c r="E110" s="21">
        <v>0</v>
      </c>
      <c r="F110" s="23">
        <v>0</v>
      </c>
      <c r="G110" s="24">
        <f t="shared" si="12"/>
        <v>0</v>
      </c>
      <c r="H110" s="21">
        <f t="shared" si="7"/>
        <v>-4</v>
      </c>
      <c r="I110" s="23">
        <f t="shared" si="7"/>
        <v>-230.16</v>
      </c>
      <c r="J110" s="21">
        <f>VLOOKUP(A110,[1]v_2023!F:I,3,FALSE)</f>
        <v>76</v>
      </c>
      <c r="K110" s="23">
        <f>VLOOKUP(A110,[1]v_2023!F:I,4,FALSE)</f>
        <v>4817.34</v>
      </c>
      <c r="L110" s="21">
        <f t="shared" si="8"/>
        <v>-80</v>
      </c>
      <c r="M110" s="25">
        <f t="shared" si="8"/>
        <v>-5047.5</v>
      </c>
      <c r="N110" s="26">
        <f t="shared" si="13"/>
        <v>-1.0477774041275891</v>
      </c>
    </row>
    <row r="111" spans="1:14" x14ac:dyDescent="0.25">
      <c r="A111" s="21" t="s">
        <v>688</v>
      </c>
      <c r="B111" s="22" t="s">
        <v>689</v>
      </c>
      <c r="C111" s="21">
        <v>0</v>
      </c>
      <c r="D111" s="23">
        <v>0</v>
      </c>
      <c r="E111" s="21">
        <v>0</v>
      </c>
      <c r="F111" s="23">
        <v>0</v>
      </c>
      <c r="G111" s="24"/>
      <c r="H111" s="21">
        <f t="shared" si="7"/>
        <v>0</v>
      </c>
      <c r="I111" s="23">
        <f t="shared" si="7"/>
        <v>0</v>
      </c>
      <c r="J111" s="21">
        <v>0</v>
      </c>
      <c r="K111" s="23">
        <v>0</v>
      </c>
      <c r="L111" s="21">
        <f t="shared" si="8"/>
        <v>0</v>
      </c>
      <c r="M111" s="25">
        <f t="shared" si="8"/>
        <v>0</v>
      </c>
      <c r="N111" s="26"/>
    </row>
    <row r="112" spans="1:14" x14ac:dyDescent="0.25">
      <c r="A112" s="21" t="s">
        <v>137</v>
      </c>
      <c r="B112" s="22" t="s">
        <v>136</v>
      </c>
      <c r="C112" s="21">
        <f>VLOOKUP(A112,[1]v_2024!F:I,3,FALSE)</f>
        <v>12</v>
      </c>
      <c r="D112" s="23">
        <f>VLOOKUP(A112,[1]v_2024!F:I,4,FALSE)</f>
        <v>709.12</v>
      </c>
      <c r="E112" s="21">
        <v>0</v>
      </c>
      <c r="F112" s="23">
        <v>0</v>
      </c>
      <c r="G112" s="24">
        <f t="shared" si="12"/>
        <v>0</v>
      </c>
      <c r="H112" s="21">
        <f t="shared" si="7"/>
        <v>12</v>
      </c>
      <c r="I112" s="23">
        <f t="shared" si="7"/>
        <v>709.12</v>
      </c>
      <c r="J112" s="21">
        <f>VLOOKUP(A112,[1]v_2023!F:I,3,FALSE)</f>
        <v>33</v>
      </c>
      <c r="K112" s="23">
        <f>VLOOKUP(A112,[1]v_2023!F:I,4,FALSE)</f>
        <v>1963.08</v>
      </c>
      <c r="L112" s="21">
        <f t="shared" si="8"/>
        <v>-21</v>
      </c>
      <c r="M112" s="25">
        <f t="shared" si="8"/>
        <v>-1253.96</v>
      </c>
      <c r="N112" s="26">
        <f t="shared" si="13"/>
        <v>-0.63877172606312538</v>
      </c>
    </row>
    <row r="113" spans="1:14" x14ac:dyDescent="0.25">
      <c r="A113" s="21" t="s">
        <v>139</v>
      </c>
      <c r="B113" s="22" t="s">
        <v>138</v>
      </c>
      <c r="C113" s="21">
        <f>VLOOKUP(A113,[1]v_2024!F:I,3,FALSE)</f>
        <v>107</v>
      </c>
      <c r="D113" s="23">
        <f>VLOOKUP(A113,[1]v_2024!F:I,4,FALSE)</f>
        <v>1345.75</v>
      </c>
      <c r="E113" s="21">
        <v>0</v>
      </c>
      <c r="F113" s="23">
        <v>0</v>
      </c>
      <c r="G113" s="24">
        <f t="shared" si="12"/>
        <v>0</v>
      </c>
      <c r="H113" s="21">
        <f t="shared" si="7"/>
        <v>107</v>
      </c>
      <c r="I113" s="23">
        <f t="shared" si="7"/>
        <v>1345.75</v>
      </c>
      <c r="J113" s="21">
        <f>VLOOKUP(A113,[1]v_2023!F:I,3,FALSE)</f>
        <v>2989</v>
      </c>
      <c r="K113" s="23">
        <f>VLOOKUP(A113,[1]v_2023!F:I,4,FALSE)</f>
        <v>36493.17</v>
      </c>
      <c r="L113" s="21">
        <f t="shared" si="8"/>
        <v>-2882</v>
      </c>
      <c r="M113" s="25">
        <f t="shared" si="8"/>
        <v>-35147.42</v>
      </c>
      <c r="N113" s="26">
        <f t="shared" si="13"/>
        <v>-0.96312323648507381</v>
      </c>
    </row>
    <row r="114" spans="1:14" x14ac:dyDescent="0.25">
      <c r="A114" s="21" t="s">
        <v>484</v>
      </c>
      <c r="B114" s="22" t="s">
        <v>483</v>
      </c>
      <c r="C114" s="21">
        <f>VLOOKUP(A114,[1]v_2024!F:I,3,FALSE)</f>
        <v>3</v>
      </c>
      <c r="D114" s="23">
        <f>VLOOKUP(A114,[1]v_2024!F:I,4,FALSE)</f>
        <v>66.150000000000006</v>
      </c>
      <c r="E114" s="21">
        <v>0</v>
      </c>
      <c r="F114" s="23">
        <v>0</v>
      </c>
      <c r="G114" s="24">
        <f t="shared" si="12"/>
        <v>0</v>
      </c>
      <c r="H114" s="21">
        <f t="shared" si="7"/>
        <v>3</v>
      </c>
      <c r="I114" s="23">
        <f t="shared" si="7"/>
        <v>66.150000000000006</v>
      </c>
      <c r="J114" s="21">
        <f>VLOOKUP(A114,[1]v_2023!F:I,3,FALSE)</f>
        <v>4</v>
      </c>
      <c r="K114" s="23">
        <f>VLOOKUP(A114,[1]v_2023!F:I,4,FALSE)</f>
        <v>81.64</v>
      </c>
      <c r="L114" s="21">
        <f t="shared" si="8"/>
        <v>-1</v>
      </c>
      <c r="M114" s="25">
        <f t="shared" si="8"/>
        <v>-15.489999999999995</v>
      </c>
      <c r="N114" s="26">
        <f t="shared" si="13"/>
        <v>-0.18973542381185687</v>
      </c>
    </row>
    <row r="115" spans="1:14" x14ac:dyDescent="0.25">
      <c r="A115" s="21" t="s">
        <v>141</v>
      </c>
      <c r="B115" s="22" t="s">
        <v>140</v>
      </c>
      <c r="C115" s="21">
        <v>0</v>
      </c>
      <c r="D115" s="23">
        <v>0</v>
      </c>
      <c r="E115" s="21">
        <f>VLOOKUP(A115,[1]s_2024!E:G,2,FALSE)</f>
        <v>29</v>
      </c>
      <c r="F115" s="23">
        <f>VLOOKUP(A115,[1]s_2024!E:G,3,FALSE)</f>
        <v>1737.1000000000008</v>
      </c>
      <c r="G115" s="24">
        <f t="shared" si="12"/>
        <v>1</v>
      </c>
      <c r="H115" s="21">
        <f t="shared" si="7"/>
        <v>29</v>
      </c>
      <c r="I115" s="23">
        <f t="shared" si="7"/>
        <v>1737.1000000000008</v>
      </c>
      <c r="J115" s="21">
        <v>0</v>
      </c>
      <c r="K115" s="23">
        <v>0</v>
      </c>
      <c r="L115" s="21">
        <f t="shared" si="8"/>
        <v>29</v>
      </c>
      <c r="M115" s="25">
        <f t="shared" si="8"/>
        <v>1737.1000000000008</v>
      </c>
      <c r="N115" s="26"/>
    </row>
    <row r="116" spans="1:14" x14ac:dyDescent="0.25">
      <c r="A116" s="21" t="s">
        <v>143</v>
      </c>
      <c r="B116" s="22" t="s">
        <v>142</v>
      </c>
      <c r="C116" s="21">
        <f>VLOOKUP(A116,[1]v_2024!F:I,3,FALSE)</f>
        <v>1</v>
      </c>
      <c r="D116" s="23">
        <f>VLOOKUP(A116,[1]v_2024!F:I,4,FALSE)</f>
        <v>24.88</v>
      </c>
      <c r="E116" s="21">
        <f>VLOOKUP(A116,[1]s_2024!E:G,2,FALSE)</f>
        <v>36</v>
      </c>
      <c r="F116" s="23">
        <f>VLOOKUP(A116,[1]s_2024!E:G,3,FALSE)</f>
        <v>1101.6199999999997</v>
      </c>
      <c r="G116" s="24">
        <f t="shared" si="12"/>
        <v>0.97791389258766082</v>
      </c>
      <c r="H116" s="21">
        <f t="shared" si="7"/>
        <v>37</v>
      </c>
      <c r="I116" s="23">
        <f t="shared" si="7"/>
        <v>1126.4999999999998</v>
      </c>
      <c r="J116" s="21">
        <f>VLOOKUP(A116,[1]v_2023!F:I,3,FALSE)</f>
        <v>889</v>
      </c>
      <c r="K116" s="23">
        <f>VLOOKUP(A116,[1]v_2023!F:I,4,FALSE)</f>
        <v>18144.490000000002</v>
      </c>
      <c r="L116" s="21">
        <f t="shared" si="8"/>
        <v>-852</v>
      </c>
      <c r="M116" s="25">
        <f t="shared" si="8"/>
        <v>-17017.990000000002</v>
      </c>
      <c r="N116" s="26">
        <f t="shared" si="13"/>
        <v>-0.93791503646561569</v>
      </c>
    </row>
    <row r="117" spans="1:14" x14ac:dyDescent="0.25">
      <c r="A117" s="21" t="s">
        <v>145</v>
      </c>
      <c r="B117" s="22" t="s">
        <v>144</v>
      </c>
      <c r="C117" s="21">
        <f>VLOOKUP(A117,[1]v_2024!F:I,3,FALSE)</f>
        <v>28</v>
      </c>
      <c r="D117" s="23">
        <f>VLOOKUP(A117,[1]v_2024!F:I,4,FALSE)</f>
        <v>676.38</v>
      </c>
      <c r="E117" s="21">
        <v>0</v>
      </c>
      <c r="F117" s="23">
        <v>0</v>
      </c>
      <c r="G117" s="24">
        <f t="shared" si="12"/>
        <v>0</v>
      </c>
      <c r="H117" s="21">
        <f t="shared" si="7"/>
        <v>28</v>
      </c>
      <c r="I117" s="23">
        <f t="shared" si="7"/>
        <v>676.38</v>
      </c>
      <c r="J117" s="21">
        <f>VLOOKUP(A117,[1]v_2023!F:I,3,FALSE)</f>
        <v>245</v>
      </c>
      <c r="K117" s="23">
        <f>VLOOKUP(A117,[1]v_2023!F:I,4,FALSE)</f>
        <v>6004.95</v>
      </c>
      <c r="L117" s="21">
        <f t="shared" si="8"/>
        <v>-217</v>
      </c>
      <c r="M117" s="25">
        <f t="shared" si="8"/>
        <v>-5328.57</v>
      </c>
      <c r="N117" s="26">
        <f t="shared" si="13"/>
        <v>-0.88736292558639118</v>
      </c>
    </row>
    <row r="118" spans="1:14" x14ac:dyDescent="0.25">
      <c r="A118" s="21" t="s">
        <v>147</v>
      </c>
      <c r="B118" s="22" t="s">
        <v>146</v>
      </c>
      <c r="C118" s="21">
        <f>VLOOKUP(A118,[1]v_2024!F:I,3,FALSE)</f>
        <v>5</v>
      </c>
      <c r="D118" s="23">
        <f>VLOOKUP(A118,[1]v_2024!F:I,4,FALSE)</f>
        <v>24.55</v>
      </c>
      <c r="E118" s="21">
        <v>0</v>
      </c>
      <c r="F118" s="23">
        <v>0</v>
      </c>
      <c r="G118" s="24">
        <f t="shared" si="12"/>
        <v>0</v>
      </c>
      <c r="H118" s="21">
        <f t="shared" si="7"/>
        <v>5</v>
      </c>
      <c r="I118" s="23">
        <f t="shared" si="7"/>
        <v>24.55</v>
      </c>
      <c r="J118" s="21">
        <f>VLOOKUP(A118,[1]v_2023!F:I,3,FALSE)</f>
        <v>7</v>
      </c>
      <c r="K118" s="23">
        <f>VLOOKUP(A118,[1]v_2023!F:I,4,FALSE)</f>
        <v>41.82</v>
      </c>
      <c r="L118" s="21">
        <f t="shared" si="8"/>
        <v>-2</v>
      </c>
      <c r="M118" s="25">
        <f t="shared" si="8"/>
        <v>-17.27</v>
      </c>
      <c r="N118" s="26">
        <f t="shared" si="13"/>
        <v>-0.41296030607364898</v>
      </c>
    </row>
    <row r="119" spans="1:14" x14ac:dyDescent="0.25">
      <c r="A119" s="21" t="s">
        <v>149</v>
      </c>
      <c r="B119" s="22" t="s">
        <v>148</v>
      </c>
      <c r="C119" s="21">
        <f>VLOOKUP(A119,[1]v_2024!F:I,3,FALSE)</f>
        <v>1</v>
      </c>
      <c r="D119" s="23">
        <f>VLOOKUP(A119,[1]v_2024!F:I,4,FALSE)</f>
        <v>7.62</v>
      </c>
      <c r="E119" s="21">
        <v>0</v>
      </c>
      <c r="F119" s="23">
        <v>0</v>
      </c>
      <c r="G119" s="24">
        <f t="shared" si="12"/>
        <v>0</v>
      </c>
      <c r="H119" s="21">
        <f t="shared" si="7"/>
        <v>1</v>
      </c>
      <c r="I119" s="23">
        <f t="shared" si="7"/>
        <v>7.62</v>
      </c>
      <c r="J119" s="21">
        <f>VLOOKUP(A119,[1]v_2023!F:I,3,FALSE)</f>
        <v>74</v>
      </c>
      <c r="K119" s="23">
        <f>VLOOKUP(A119,[1]v_2023!F:I,4,FALSE)</f>
        <v>540.20000000000005</v>
      </c>
      <c r="L119" s="21">
        <f t="shared" si="8"/>
        <v>-73</v>
      </c>
      <c r="M119" s="25">
        <f t="shared" si="8"/>
        <v>-532.58000000000004</v>
      </c>
      <c r="N119" s="26">
        <f t="shared" si="13"/>
        <v>-0.98589411329137355</v>
      </c>
    </row>
    <row r="120" spans="1:14" x14ac:dyDescent="0.25">
      <c r="A120" s="21" t="s">
        <v>550</v>
      </c>
      <c r="B120" s="22" t="s">
        <v>549</v>
      </c>
      <c r="C120" s="21">
        <f>VLOOKUP(A120,[1]v_2024!F:I,3,FALSE)</f>
        <v>45</v>
      </c>
      <c r="D120" s="23">
        <f>VLOOKUP(A120,[1]v_2024!F:I,4,FALSE)</f>
        <v>281</v>
      </c>
      <c r="E120" s="21">
        <v>0</v>
      </c>
      <c r="F120" s="23">
        <v>0</v>
      </c>
      <c r="G120" s="24">
        <f t="shared" si="12"/>
        <v>0</v>
      </c>
      <c r="H120" s="21">
        <f t="shared" si="7"/>
        <v>45</v>
      </c>
      <c r="I120" s="23">
        <f t="shared" si="7"/>
        <v>281</v>
      </c>
      <c r="J120" s="21">
        <f>VLOOKUP(A120,[1]v_2023!F:I,3,FALSE)</f>
        <v>11</v>
      </c>
      <c r="K120" s="23">
        <f>VLOOKUP(A120,[1]v_2023!F:I,4,FALSE)</f>
        <v>80.3</v>
      </c>
      <c r="L120" s="21">
        <f t="shared" si="8"/>
        <v>34</v>
      </c>
      <c r="M120" s="25">
        <f t="shared" si="8"/>
        <v>200.7</v>
      </c>
      <c r="N120" s="26">
        <f t="shared" si="13"/>
        <v>2.4993773349937731</v>
      </c>
    </row>
    <row r="121" spans="1:14" x14ac:dyDescent="0.25">
      <c r="A121" s="21" t="s">
        <v>151</v>
      </c>
      <c r="B121" s="22" t="s">
        <v>150</v>
      </c>
      <c r="C121" s="21">
        <f>VLOOKUP(A121,[1]v_2024!F:I,3,FALSE)</f>
        <v>29</v>
      </c>
      <c r="D121" s="23">
        <f>VLOOKUP(A121,[1]v_2024!F:I,4,FALSE)</f>
        <v>189.95</v>
      </c>
      <c r="E121" s="21">
        <v>0</v>
      </c>
      <c r="F121" s="23">
        <v>0</v>
      </c>
      <c r="G121" s="24">
        <f t="shared" si="12"/>
        <v>0</v>
      </c>
      <c r="H121" s="21">
        <f t="shared" si="7"/>
        <v>29</v>
      </c>
      <c r="I121" s="23">
        <f t="shared" si="7"/>
        <v>189.95</v>
      </c>
      <c r="J121" s="21">
        <f>VLOOKUP(A121,[1]v_2023!F:I,3,FALSE)</f>
        <v>19</v>
      </c>
      <c r="K121" s="23">
        <f>VLOOKUP(A121,[1]v_2023!F:I,4,FALSE)</f>
        <v>138.69999999999999</v>
      </c>
      <c r="L121" s="21">
        <f t="shared" si="8"/>
        <v>10</v>
      </c>
      <c r="M121" s="25">
        <f t="shared" si="8"/>
        <v>51.25</v>
      </c>
      <c r="N121" s="26">
        <f t="shared" si="13"/>
        <v>0.36950252343186735</v>
      </c>
    </row>
    <row r="122" spans="1:14" x14ac:dyDescent="0.25">
      <c r="A122" s="21" t="s">
        <v>153</v>
      </c>
      <c r="B122" s="22" t="s">
        <v>152</v>
      </c>
      <c r="C122" s="21">
        <f>VLOOKUP(A122,[1]v_2024!F:I,3,FALSE)</f>
        <v>57</v>
      </c>
      <c r="D122" s="23">
        <f>VLOOKUP(A122,[1]v_2024!F:I,4,FALSE)</f>
        <v>357.47</v>
      </c>
      <c r="E122" s="21">
        <v>0</v>
      </c>
      <c r="F122" s="23">
        <v>0</v>
      </c>
      <c r="G122" s="24">
        <f t="shared" si="12"/>
        <v>0</v>
      </c>
      <c r="H122" s="21">
        <f t="shared" si="7"/>
        <v>57</v>
      </c>
      <c r="I122" s="23">
        <f t="shared" si="7"/>
        <v>357.47</v>
      </c>
      <c r="J122" s="21">
        <f>VLOOKUP(A122,[1]v_2023!F:I,3,FALSE)</f>
        <v>50</v>
      </c>
      <c r="K122" s="23">
        <f>VLOOKUP(A122,[1]v_2023!F:I,4,FALSE)</f>
        <v>352.02</v>
      </c>
      <c r="L122" s="21">
        <f t="shared" si="8"/>
        <v>7</v>
      </c>
      <c r="M122" s="25">
        <f t="shared" si="8"/>
        <v>5.4500000000000455</v>
      </c>
      <c r="N122" s="26">
        <f t="shared" si="13"/>
        <v>1.5482074882109101E-2</v>
      </c>
    </row>
    <row r="123" spans="1:14" x14ac:dyDescent="0.25">
      <c r="A123" s="21" t="s">
        <v>486</v>
      </c>
      <c r="B123" s="22" t="s">
        <v>485</v>
      </c>
      <c r="C123" s="21">
        <f>VLOOKUP(A123,[1]v_2024!F:I,3,FALSE)</f>
        <v>0</v>
      </c>
      <c r="D123" s="23">
        <f>VLOOKUP(A123,[1]v_2024!F:I,4,FALSE)</f>
        <v>0</v>
      </c>
      <c r="E123" s="21">
        <v>0</v>
      </c>
      <c r="F123" s="23">
        <v>0</v>
      </c>
      <c r="G123" s="24"/>
      <c r="H123" s="21">
        <f t="shared" si="7"/>
        <v>0</v>
      </c>
      <c r="I123" s="23">
        <f t="shared" si="7"/>
        <v>0</v>
      </c>
      <c r="J123" s="21">
        <v>0</v>
      </c>
      <c r="K123" s="23">
        <v>0</v>
      </c>
      <c r="L123" s="21">
        <f t="shared" si="8"/>
        <v>0</v>
      </c>
      <c r="M123" s="25">
        <f t="shared" si="8"/>
        <v>0</v>
      </c>
      <c r="N123" s="26"/>
    </row>
    <row r="124" spans="1:14" x14ac:dyDescent="0.25">
      <c r="A124" s="21" t="s">
        <v>568</v>
      </c>
      <c r="B124" s="22" t="s">
        <v>567</v>
      </c>
      <c r="C124" s="21">
        <f>VLOOKUP(A124,[1]v_2024!F:I,3,FALSE)</f>
        <v>51</v>
      </c>
      <c r="D124" s="23">
        <f>VLOOKUP(A124,[1]v_2024!F:I,4,FALSE)</f>
        <v>665.8</v>
      </c>
      <c r="E124" s="21">
        <v>0</v>
      </c>
      <c r="F124" s="23">
        <v>0</v>
      </c>
      <c r="G124" s="24">
        <f>F124/I124</f>
        <v>0</v>
      </c>
      <c r="H124" s="21">
        <f t="shared" si="7"/>
        <v>51</v>
      </c>
      <c r="I124" s="23">
        <f t="shared" si="7"/>
        <v>665.8</v>
      </c>
      <c r="J124" s="21">
        <f>VLOOKUP(A124,[1]v_2023!F:I,3,FALSE)</f>
        <v>52</v>
      </c>
      <c r="K124" s="23">
        <f>VLOOKUP(A124,[1]v_2023!F:I,4,FALSE)</f>
        <v>818.72</v>
      </c>
      <c r="L124" s="21">
        <f t="shared" si="8"/>
        <v>-1</v>
      </c>
      <c r="M124" s="25">
        <f t="shared" si="8"/>
        <v>-152.92000000000007</v>
      </c>
      <c r="N124" s="26">
        <f>M124/K124</f>
        <v>-0.18677936290795397</v>
      </c>
    </row>
    <row r="125" spans="1:14" x14ac:dyDescent="0.25">
      <c r="A125" s="21" t="s">
        <v>155</v>
      </c>
      <c r="B125" s="22" t="s">
        <v>154</v>
      </c>
      <c r="C125" s="21">
        <f>VLOOKUP(A125,[1]v_2024!F:I,3,FALSE)</f>
        <v>1</v>
      </c>
      <c r="D125" s="23">
        <f>VLOOKUP(A125,[1]v_2024!F:I,4,FALSE)</f>
        <v>5.98</v>
      </c>
      <c r="E125" s="21">
        <v>0</v>
      </c>
      <c r="F125" s="23">
        <v>0</v>
      </c>
      <c r="G125" s="24">
        <f>F125/I125</f>
        <v>0</v>
      </c>
      <c r="H125" s="21">
        <f t="shared" si="7"/>
        <v>1</v>
      </c>
      <c r="I125" s="23">
        <f t="shared" si="7"/>
        <v>5.98</v>
      </c>
      <c r="J125" s="21">
        <v>0</v>
      </c>
      <c r="K125" s="23">
        <v>0</v>
      </c>
      <c r="L125" s="21">
        <f t="shared" si="8"/>
        <v>1</v>
      </c>
      <c r="M125" s="25">
        <f t="shared" si="8"/>
        <v>5.98</v>
      </c>
      <c r="N125" s="26"/>
    </row>
    <row r="126" spans="1:14" x14ac:dyDescent="0.25">
      <c r="A126" s="21" t="s">
        <v>552</v>
      </c>
      <c r="B126" s="22" t="s">
        <v>551</v>
      </c>
      <c r="C126" s="21">
        <f>VLOOKUP(A126,[1]v_2024!F:I,3,FALSE)</f>
        <v>25</v>
      </c>
      <c r="D126" s="23">
        <f>VLOOKUP(A126,[1]v_2024!F:I,4,FALSE)</f>
        <v>612.75</v>
      </c>
      <c r="E126" s="21">
        <f>VLOOKUP(A126,[1]s_2024!E:G,2,FALSE)</f>
        <v>1</v>
      </c>
      <c r="F126" s="23">
        <f>VLOOKUP(A126,[1]s_2024!E:G,3,FALSE)</f>
        <v>29.9</v>
      </c>
      <c r="G126" s="24">
        <f>F126/I126</f>
        <v>4.6526102855364508E-2</v>
      </c>
      <c r="H126" s="21">
        <f t="shared" si="7"/>
        <v>26</v>
      </c>
      <c r="I126" s="23">
        <f t="shared" si="7"/>
        <v>642.65</v>
      </c>
      <c r="J126" s="21">
        <f>VLOOKUP(A126,[1]v_2023!F:I,3,FALSE)</f>
        <v>74</v>
      </c>
      <c r="K126" s="23">
        <f>VLOOKUP(A126,[1]v_2023!F:I,4,FALSE)</f>
        <v>1813.74</v>
      </c>
      <c r="L126" s="21">
        <f t="shared" si="8"/>
        <v>-48</v>
      </c>
      <c r="M126" s="25">
        <f t="shared" si="8"/>
        <v>-1171.0900000000001</v>
      </c>
      <c r="N126" s="26">
        <f>M126/K126</f>
        <v>-0.64567688863894501</v>
      </c>
    </row>
    <row r="127" spans="1:14" x14ac:dyDescent="0.25">
      <c r="A127" s="21" t="s">
        <v>157</v>
      </c>
      <c r="B127" s="22" t="s">
        <v>156</v>
      </c>
      <c r="C127" s="21">
        <f>VLOOKUP(A127,[1]v_2024!F:I,3,FALSE)</f>
        <v>5</v>
      </c>
      <c r="D127" s="23">
        <f>VLOOKUP(A127,[1]v_2024!F:I,4,FALSE)</f>
        <v>81.55</v>
      </c>
      <c r="E127" s="21">
        <v>0</v>
      </c>
      <c r="F127" s="23">
        <v>0</v>
      </c>
      <c r="G127" s="24">
        <f>F127/I127</f>
        <v>0</v>
      </c>
      <c r="H127" s="21">
        <f t="shared" si="7"/>
        <v>5</v>
      </c>
      <c r="I127" s="23">
        <f t="shared" si="7"/>
        <v>81.55</v>
      </c>
      <c r="J127" s="21">
        <v>0</v>
      </c>
      <c r="K127" s="23">
        <v>0</v>
      </c>
      <c r="L127" s="21">
        <f t="shared" si="8"/>
        <v>5</v>
      </c>
      <c r="M127" s="25">
        <f t="shared" si="8"/>
        <v>81.55</v>
      </c>
      <c r="N127" s="26"/>
    </row>
    <row r="128" spans="1:14" x14ac:dyDescent="0.25">
      <c r="A128" s="21" t="s">
        <v>159</v>
      </c>
      <c r="B128" s="22" t="s">
        <v>158</v>
      </c>
      <c r="C128" s="21">
        <v>0</v>
      </c>
      <c r="D128" s="23">
        <v>0</v>
      </c>
      <c r="E128" s="21">
        <v>0</v>
      </c>
      <c r="F128" s="23">
        <v>0</v>
      </c>
      <c r="G128" s="24"/>
      <c r="H128" s="21">
        <f t="shared" si="7"/>
        <v>0</v>
      </c>
      <c r="I128" s="23">
        <f t="shared" si="7"/>
        <v>0</v>
      </c>
      <c r="J128" s="21">
        <v>0</v>
      </c>
      <c r="K128" s="23">
        <v>0</v>
      </c>
      <c r="L128" s="21">
        <f t="shared" si="8"/>
        <v>0</v>
      </c>
      <c r="M128" s="25">
        <f t="shared" si="8"/>
        <v>0</v>
      </c>
      <c r="N128" s="26"/>
    </row>
    <row r="129" spans="1:14" x14ac:dyDescent="0.25">
      <c r="A129" s="21" t="s">
        <v>161</v>
      </c>
      <c r="B129" s="22" t="s">
        <v>160</v>
      </c>
      <c r="C129" s="21">
        <f>VLOOKUP(A129,[1]v_2024!F:I,3,FALSE)</f>
        <v>43</v>
      </c>
      <c r="D129" s="23">
        <f>VLOOKUP(A129,[1]v_2024!F:I,4,FALSE)</f>
        <v>278.64</v>
      </c>
      <c r="E129" s="21">
        <v>0</v>
      </c>
      <c r="F129" s="23">
        <v>0</v>
      </c>
      <c r="G129" s="24">
        <f t="shared" ref="G129:G139" si="14">F129/I129</f>
        <v>0</v>
      </c>
      <c r="H129" s="21">
        <f t="shared" si="7"/>
        <v>43</v>
      </c>
      <c r="I129" s="23">
        <f t="shared" si="7"/>
        <v>278.64</v>
      </c>
      <c r="J129" s="21">
        <f>VLOOKUP(A129,[1]v_2023!F:I,3,FALSE)</f>
        <v>242</v>
      </c>
      <c r="K129" s="23">
        <f>VLOOKUP(A129,[1]v_2023!F:I,4,FALSE)</f>
        <v>1766.5</v>
      </c>
      <c r="L129" s="21">
        <f t="shared" si="8"/>
        <v>-199</v>
      </c>
      <c r="M129" s="25">
        <f t="shared" si="8"/>
        <v>-1487.8600000000001</v>
      </c>
      <c r="N129" s="26">
        <f>M129/K129</f>
        <v>-0.84226436456269471</v>
      </c>
    </row>
    <row r="130" spans="1:14" x14ac:dyDescent="0.25">
      <c r="A130" s="21" t="s">
        <v>163</v>
      </c>
      <c r="B130" s="22" t="s">
        <v>162</v>
      </c>
      <c r="C130" s="21">
        <f>VLOOKUP(A130,[1]v_2024!F:I,3,FALSE)</f>
        <v>16</v>
      </c>
      <c r="D130" s="23">
        <f>VLOOKUP(A130,[1]v_2024!F:I,4,FALSE)</f>
        <v>206.03</v>
      </c>
      <c r="E130" s="21">
        <v>0</v>
      </c>
      <c r="F130" s="23">
        <v>0</v>
      </c>
      <c r="G130" s="24">
        <f t="shared" si="14"/>
        <v>0</v>
      </c>
      <c r="H130" s="21">
        <f t="shared" si="7"/>
        <v>16</v>
      </c>
      <c r="I130" s="23">
        <f t="shared" si="7"/>
        <v>206.03</v>
      </c>
      <c r="J130" s="21">
        <f>VLOOKUP(A130,[1]v_2023!F:I,3,FALSE)</f>
        <v>833</v>
      </c>
      <c r="K130" s="23">
        <f>VLOOKUP(A130,[1]v_2023!F:I,4,FALSE)</f>
        <v>10170.93</v>
      </c>
      <c r="L130" s="21">
        <f t="shared" si="8"/>
        <v>-817</v>
      </c>
      <c r="M130" s="25">
        <f t="shared" si="8"/>
        <v>-9964.9</v>
      </c>
      <c r="N130" s="26">
        <f>M130/K130</f>
        <v>-0.97974324865081164</v>
      </c>
    </row>
    <row r="131" spans="1:14" x14ac:dyDescent="0.25">
      <c r="A131" s="21" t="s">
        <v>165</v>
      </c>
      <c r="B131" s="22" t="s">
        <v>164</v>
      </c>
      <c r="C131" s="21">
        <f>VLOOKUP(A131,[1]v_2024!F:I,3,FALSE)</f>
        <v>10</v>
      </c>
      <c r="D131" s="23">
        <f>VLOOKUP(A131,[1]v_2024!F:I,4,FALSE)</f>
        <v>204.1</v>
      </c>
      <c r="E131" s="21">
        <v>0</v>
      </c>
      <c r="F131" s="23">
        <v>0</v>
      </c>
      <c r="G131" s="24">
        <f t="shared" si="14"/>
        <v>0</v>
      </c>
      <c r="H131" s="21">
        <f t="shared" si="7"/>
        <v>10</v>
      </c>
      <c r="I131" s="23">
        <f t="shared" si="7"/>
        <v>204.1</v>
      </c>
      <c r="J131" s="21">
        <v>0</v>
      </c>
      <c r="K131" s="23">
        <v>0</v>
      </c>
      <c r="L131" s="21">
        <f t="shared" si="8"/>
        <v>10</v>
      </c>
      <c r="M131" s="25">
        <f t="shared" si="8"/>
        <v>204.1</v>
      </c>
      <c r="N131" s="26"/>
    </row>
    <row r="132" spans="1:14" x14ac:dyDescent="0.25">
      <c r="A132" s="21" t="s">
        <v>167</v>
      </c>
      <c r="B132" s="22" t="s">
        <v>166</v>
      </c>
      <c r="C132" s="21">
        <f>VLOOKUP(A132,[1]v_2024!F:I,3,FALSE)</f>
        <v>54</v>
      </c>
      <c r="D132" s="23">
        <f>VLOOKUP(A132,[1]v_2024!F:I,4,FALSE)</f>
        <v>261.66000000000003</v>
      </c>
      <c r="E132" s="21">
        <v>0</v>
      </c>
      <c r="F132" s="23">
        <v>0</v>
      </c>
      <c r="G132" s="24">
        <f t="shared" si="14"/>
        <v>0</v>
      </c>
      <c r="H132" s="21">
        <f t="shared" ref="H132:I195" si="15">E132+C132</f>
        <v>54</v>
      </c>
      <c r="I132" s="23">
        <f t="shared" si="15"/>
        <v>261.66000000000003</v>
      </c>
      <c r="J132" s="21">
        <f>VLOOKUP(A132,[1]v_2023!F:I,3,FALSE)</f>
        <v>222</v>
      </c>
      <c r="K132" s="23">
        <f>VLOOKUP(A132,[1]v_2023!F:I,4,FALSE)</f>
        <v>1074.48</v>
      </c>
      <c r="L132" s="21">
        <f t="shared" ref="L132:M195" si="16">H132-J132</f>
        <v>-168</v>
      </c>
      <c r="M132" s="25">
        <f t="shared" si="16"/>
        <v>-812.81999999999994</v>
      </c>
      <c r="N132" s="26">
        <f>M132/K132</f>
        <v>-0.75647755193209731</v>
      </c>
    </row>
    <row r="133" spans="1:14" x14ac:dyDescent="0.25">
      <c r="A133" s="21" t="s">
        <v>169</v>
      </c>
      <c r="B133" s="22" t="s">
        <v>168</v>
      </c>
      <c r="C133" s="21">
        <f>VLOOKUP(A133,[1]v_2024!F:I,3,FALSE)</f>
        <v>2</v>
      </c>
      <c r="D133" s="23">
        <f>VLOOKUP(A133,[1]v_2024!F:I,4,FALSE)</f>
        <v>28.91</v>
      </c>
      <c r="E133" s="21">
        <v>0</v>
      </c>
      <c r="F133" s="23">
        <v>0</v>
      </c>
      <c r="G133" s="24">
        <f t="shared" si="14"/>
        <v>0</v>
      </c>
      <c r="H133" s="21">
        <f t="shared" si="15"/>
        <v>2</v>
      </c>
      <c r="I133" s="23">
        <f t="shared" si="15"/>
        <v>28.91</v>
      </c>
      <c r="J133" s="21">
        <f>VLOOKUP(A133,[1]v_2023!F:I,3,FALSE)</f>
        <v>7</v>
      </c>
      <c r="K133" s="23">
        <f>VLOOKUP(A133,[1]v_2023!F:I,4,FALSE)</f>
        <v>79.989999999999995</v>
      </c>
      <c r="L133" s="21">
        <f t="shared" si="16"/>
        <v>-5</v>
      </c>
      <c r="M133" s="25">
        <f t="shared" si="16"/>
        <v>-51.08</v>
      </c>
      <c r="N133" s="26">
        <f>M133/K133</f>
        <v>-0.63857982247780976</v>
      </c>
    </row>
    <row r="134" spans="1:14" x14ac:dyDescent="0.25">
      <c r="A134" s="21" t="s">
        <v>171</v>
      </c>
      <c r="B134" s="22" t="s">
        <v>170</v>
      </c>
      <c r="C134" s="21">
        <f>VLOOKUP(A134,[1]v_2024!F:I,3,FALSE)</f>
        <v>43</v>
      </c>
      <c r="D134" s="23">
        <f>VLOOKUP(A134,[1]v_2024!F:I,4,FALSE)</f>
        <v>712.92</v>
      </c>
      <c r="E134" s="21">
        <v>0</v>
      </c>
      <c r="F134" s="23">
        <v>0</v>
      </c>
      <c r="G134" s="24">
        <f t="shared" si="14"/>
        <v>0</v>
      </c>
      <c r="H134" s="21">
        <f t="shared" si="15"/>
        <v>43</v>
      </c>
      <c r="I134" s="23">
        <f t="shared" si="15"/>
        <v>712.92</v>
      </c>
      <c r="J134" s="21">
        <f>VLOOKUP(A134,[1]v_2023!F:I,3,FALSE)</f>
        <v>229</v>
      </c>
      <c r="K134" s="23">
        <f>VLOOKUP(A134,[1]v_2023!F:I,4,FALSE)</f>
        <v>3405.42</v>
      </c>
      <c r="L134" s="21">
        <f t="shared" si="16"/>
        <v>-186</v>
      </c>
      <c r="M134" s="25">
        <f t="shared" si="16"/>
        <v>-2692.5</v>
      </c>
      <c r="N134" s="26">
        <f>M134/K134</f>
        <v>-0.79065137339887592</v>
      </c>
    </row>
    <row r="135" spans="1:14" x14ac:dyDescent="0.25">
      <c r="A135" s="21" t="s">
        <v>173</v>
      </c>
      <c r="B135" s="22" t="s">
        <v>172</v>
      </c>
      <c r="C135" s="21">
        <v>0</v>
      </c>
      <c r="D135" s="23">
        <v>0</v>
      </c>
      <c r="E135" s="21">
        <v>0</v>
      </c>
      <c r="F135" s="23">
        <v>0</v>
      </c>
      <c r="G135" s="24"/>
      <c r="H135" s="21">
        <f t="shared" si="15"/>
        <v>0</v>
      </c>
      <c r="I135" s="23">
        <f t="shared" si="15"/>
        <v>0</v>
      </c>
      <c r="J135" s="21">
        <v>0</v>
      </c>
      <c r="K135" s="23">
        <v>0</v>
      </c>
      <c r="L135" s="21">
        <f t="shared" si="16"/>
        <v>0</v>
      </c>
      <c r="M135" s="25">
        <f t="shared" si="16"/>
        <v>0</v>
      </c>
      <c r="N135" s="26"/>
    </row>
    <row r="136" spans="1:14" x14ac:dyDescent="0.25">
      <c r="A136" s="21" t="s">
        <v>175</v>
      </c>
      <c r="B136" s="22" t="s">
        <v>174</v>
      </c>
      <c r="C136" s="21">
        <v>0</v>
      </c>
      <c r="D136" s="23">
        <v>0</v>
      </c>
      <c r="E136" s="21">
        <v>0</v>
      </c>
      <c r="F136" s="23">
        <v>0</v>
      </c>
      <c r="G136" s="24"/>
      <c r="H136" s="21">
        <f t="shared" si="15"/>
        <v>0</v>
      </c>
      <c r="I136" s="23">
        <f t="shared" si="15"/>
        <v>0</v>
      </c>
      <c r="J136" s="21">
        <v>0</v>
      </c>
      <c r="K136" s="23">
        <v>0</v>
      </c>
      <c r="L136" s="21">
        <f t="shared" si="16"/>
        <v>0</v>
      </c>
      <c r="M136" s="25">
        <f t="shared" si="16"/>
        <v>0</v>
      </c>
      <c r="N136" s="26"/>
    </row>
    <row r="137" spans="1:14" x14ac:dyDescent="0.25">
      <c r="A137" s="21" t="s">
        <v>177</v>
      </c>
      <c r="B137" s="22" t="s">
        <v>176</v>
      </c>
      <c r="C137" s="21">
        <f>VLOOKUP(A137,[1]v_2024!F:I,3,FALSE)</f>
        <v>12</v>
      </c>
      <c r="D137" s="23">
        <f>VLOOKUP(A137,[1]v_2024!F:I,4,FALSE)</f>
        <v>631.29999999999995</v>
      </c>
      <c r="E137" s="21">
        <v>0</v>
      </c>
      <c r="F137" s="23">
        <v>0</v>
      </c>
      <c r="G137" s="24">
        <f t="shared" si="14"/>
        <v>0</v>
      </c>
      <c r="H137" s="21">
        <f t="shared" si="15"/>
        <v>12</v>
      </c>
      <c r="I137" s="23">
        <f t="shared" si="15"/>
        <v>631.29999999999995</v>
      </c>
      <c r="J137" s="21">
        <v>0</v>
      </c>
      <c r="K137" s="23">
        <v>0</v>
      </c>
      <c r="L137" s="21">
        <f t="shared" si="16"/>
        <v>12</v>
      </c>
      <c r="M137" s="25">
        <f t="shared" si="16"/>
        <v>631.29999999999995</v>
      </c>
      <c r="N137" s="26"/>
    </row>
    <row r="138" spans="1:14" x14ac:dyDescent="0.25">
      <c r="A138" s="21" t="s">
        <v>179</v>
      </c>
      <c r="B138" s="22" t="s">
        <v>178</v>
      </c>
      <c r="C138" s="21">
        <v>0</v>
      </c>
      <c r="D138" s="23">
        <v>0</v>
      </c>
      <c r="E138" s="21">
        <v>0</v>
      </c>
      <c r="F138" s="23">
        <v>0</v>
      </c>
      <c r="G138" s="24"/>
      <c r="H138" s="21">
        <f t="shared" si="15"/>
        <v>0</v>
      </c>
      <c r="I138" s="23">
        <f t="shared" si="15"/>
        <v>0</v>
      </c>
      <c r="J138" s="21">
        <v>0</v>
      </c>
      <c r="K138" s="23">
        <v>0</v>
      </c>
      <c r="L138" s="21">
        <f t="shared" si="16"/>
        <v>0</v>
      </c>
      <c r="M138" s="25">
        <f t="shared" si="16"/>
        <v>0</v>
      </c>
      <c r="N138" s="26"/>
    </row>
    <row r="139" spans="1:14" x14ac:dyDescent="0.25">
      <c r="A139" s="21" t="s">
        <v>181</v>
      </c>
      <c r="B139" s="22" t="s">
        <v>180</v>
      </c>
      <c r="C139" s="21">
        <f>VLOOKUP(A139,[1]v_2024!F:I,3,FALSE)</f>
        <v>33</v>
      </c>
      <c r="D139" s="23">
        <f>VLOOKUP(A139,[1]v_2024!F:I,4,FALSE)</f>
        <v>402.93</v>
      </c>
      <c r="E139" s="21">
        <v>0</v>
      </c>
      <c r="F139" s="23">
        <v>0</v>
      </c>
      <c r="G139" s="24">
        <f t="shared" si="14"/>
        <v>0</v>
      </c>
      <c r="H139" s="21">
        <f t="shared" si="15"/>
        <v>33</v>
      </c>
      <c r="I139" s="23">
        <f t="shared" si="15"/>
        <v>402.93</v>
      </c>
      <c r="J139" s="21">
        <f>VLOOKUP(A139,[1]v_2023!F:I,3,FALSE)</f>
        <v>12</v>
      </c>
      <c r="K139" s="23">
        <f>VLOOKUP(A139,[1]v_2023!F:I,4,FALSE)</f>
        <v>195.22</v>
      </c>
      <c r="L139" s="21">
        <f t="shared" si="16"/>
        <v>21</v>
      </c>
      <c r="M139" s="25">
        <f t="shared" si="16"/>
        <v>207.71</v>
      </c>
      <c r="N139" s="26">
        <f t="shared" ref="N139:N177" si="17">M139/K139</f>
        <v>1.0639791005019978</v>
      </c>
    </row>
    <row r="140" spans="1:14" x14ac:dyDescent="0.25">
      <c r="A140" s="21" t="s">
        <v>183</v>
      </c>
      <c r="B140" s="22" t="s">
        <v>182</v>
      </c>
      <c r="C140" s="21">
        <v>0</v>
      </c>
      <c r="D140" s="23">
        <v>0</v>
      </c>
      <c r="E140" s="21">
        <v>0</v>
      </c>
      <c r="F140" s="23">
        <v>0</v>
      </c>
      <c r="G140" s="24"/>
      <c r="H140" s="21">
        <f t="shared" si="15"/>
        <v>0</v>
      </c>
      <c r="I140" s="23">
        <f t="shared" si="15"/>
        <v>0</v>
      </c>
      <c r="J140" s="21">
        <v>0</v>
      </c>
      <c r="K140" s="23">
        <v>0</v>
      </c>
      <c r="L140" s="21">
        <f t="shared" si="16"/>
        <v>0</v>
      </c>
      <c r="M140" s="25">
        <f t="shared" si="16"/>
        <v>0</v>
      </c>
      <c r="N140" s="26"/>
    </row>
    <row r="141" spans="1:14" x14ac:dyDescent="0.25">
      <c r="A141" s="21" t="s">
        <v>185</v>
      </c>
      <c r="B141" s="22" t="s">
        <v>184</v>
      </c>
      <c r="C141" s="21">
        <f>VLOOKUP(A141,[1]v_2024!F:I,3,FALSE)</f>
        <v>0</v>
      </c>
      <c r="D141" s="23">
        <f>VLOOKUP(A141,[1]v_2024!F:I,4,FALSE)</f>
        <v>0</v>
      </c>
      <c r="E141" s="21">
        <v>0</v>
      </c>
      <c r="F141" s="23">
        <v>0</v>
      </c>
      <c r="G141" s="24"/>
      <c r="H141" s="21">
        <f t="shared" si="15"/>
        <v>0</v>
      </c>
      <c r="I141" s="23">
        <f t="shared" si="15"/>
        <v>0</v>
      </c>
      <c r="J141" s="21">
        <f>VLOOKUP(A141,[1]v_2023!F:I,3,FALSE)</f>
        <v>339</v>
      </c>
      <c r="K141" s="23">
        <f>VLOOKUP(A141,[1]v_2023!F:I,4,FALSE)</f>
        <v>4139.1899999999996</v>
      </c>
      <c r="L141" s="21">
        <f t="shared" si="16"/>
        <v>-339</v>
      </c>
      <c r="M141" s="25">
        <f t="shared" si="16"/>
        <v>-4139.1899999999996</v>
      </c>
      <c r="N141" s="26">
        <f t="shared" si="17"/>
        <v>-1</v>
      </c>
    </row>
    <row r="142" spans="1:14" x14ac:dyDescent="0.25">
      <c r="A142" s="21" t="s">
        <v>187</v>
      </c>
      <c r="B142" s="22" t="s">
        <v>186</v>
      </c>
      <c r="C142" s="21">
        <f>VLOOKUP(A142,[1]v_2024!F:I,3,FALSE)</f>
        <v>8</v>
      </c>
      <c r="D142" s="23">
        <f>VLOOKUP(A142,[1]v_2024!F:I,4,FALSE)</f>
        <v>261.60000000000002</v>
      </c>
      <c r="E142" s="21">
        <v>0</v>
      </c>
      <c r="F142" s="23">
        <v>0</v>
      </c>
      <c r="G142" s="24">
        <f t="shared" ref="G142:G152" si="18">F142/I142</f>
        <v>0</v>
      </c>
      <c r="H142" s="21">
        <f t="shared" si="15"/>
        <v>8</v>
      </c>
      <c r="I142" s="23">
        <f t="shared" si="15"/>
        <v>261.60000000000002</v>
      </c>
      <c r="J142" s="21">
        <f>VLOOKUP(A142,[1]v_2023!F:I,3,FALSE)</f>
        <v>5</v>
      </c>
      <c r="K142" s="23">
        <f>VLOOKUP(A142,[1]v_2023!F:I,4,FALSE)</f>
        <v>158.13</v>
      </c>
      <c r="L142" s="21">
        <f t="shared" si="16"/>
        <v>3</v>
      </c>
      <c r="M142" s="25">
        <f t="shared" si="16"/>
        <v>103.47000000000003</v>
      </c>
      <c r="N142" s="26">
        <f t="shared" si="17"/>
        <v>0.65433504078922422</v>
      </c>
    </row>
    <row r="143" spans="1:14" x14ac:dyDescent="0.25">
      <c r="A143" s="21" t="s">
        <v>189</v>
      </c>
      <c r="B143" s="22" t="s">
        <v>188</v>
      </c>
      <c r="C143" s="21">
        <f>VLOOKUP(A143,[1]v_2024!F:I,3,FALSE)</f>
        <v>33</v>
      </c>
      <c r="D143" s="23">
        <f>VLOOKUP(A143,[1]v_2024!F:I,4,FALSE)</f>
        <v>432.96</v>
      </c>
      <c r="E143" s="21">
        <v>0</v>
      </c>
      <c r="F143" s="23">
        <v>0</v>
      </c>
      <c r="G143" s="24">
        <f t="shared" si="18"/>
        <v>0</v>
      </c>
      <c r="H143" s="21">
        <f t="shared" si="15"/>
        <v>33</v>
      </c>
      <c r="I143" s="23">
        <f t="shared" si="15"/>
        <v>432.96</v>
      </c>
      <c r="J143" s="21">
        <f>VLOOKUP(A143,[1]v_2023!F:I,3,FALSE)</f>
        <v>58</v>
      </c>
      <c r="K143" s="23">
        <f>VLOOKUP(A143,[1]v_2023!F:I,4,FALSE)</f>
        <v>708.18</v>
      </c>
      <c r="L143" s="21">
        <f t="shared" si="16"/>
        <v>-25</v>
      </c>
      <c r="M143" s="25">
        <f t="shared" si="16"/>
        <v>-275.21999999999997</v>
      </c>
      <c r="N143" s="26">
        <f t="shared" si="17"/>
        <v>-0.38863000931966446</v>
      </c>
    </row>
    <row r="144" spans="1:14" x14ac:dyDescent="0.25">
      <c r="A144" s="21" t="s">
        <v>191</v>
      </c>
      <c r="B144" s="22" t="s">
        <v>190</v>
      </c>
      <c r="C144" s="21">
        <f>VLOOKUP(A144,[1]v_2024!F:I,3,FALSE)</f>
        <v>4</v>
      </c>
      <c r="D144" s="23">
        <f>VLOOKUP(A144,[1]v_2024!F:I,4,FALSE)</f>
        <v>88.2</v>
      </c>
      <c r="E144" s="21">
        <v>0</v>
      </c>
      <c r="F144" s="23">
        <v>0</v>
      </c>
      <c r="G144" s="24">
        <f t="shared" si="18"/>
        <v>0</v>
      </c>
      <c r="H144" s="21">
        <f t="shared" si="15"/>
        <v>4</v>
      </c>
      <c r="I144" s="23">
        <f t="shared" si="15"/>
        <v>88.2</v>
      </c>
      <c r="J144" s="21">
        <f>VLOOKUP(A144,[1]v_2023!F:I,3,FALSE)</f>
        <v>12</v>
      </c>
      <c r="K144" s="23">
        <f>VLOOKUP(A144,[1]v_2023!F:I,4,FALSE)</f>
        <v>150.51</v>
      </c>
      <c r="L144" s="21">
        <f t="shared" si="16"/>
        <v>-8</v>
      </c>
      <c r="M144" s="25">
        <f t="shared" si="16"/>
        <v>-62.309999999999988</v>
      </c>
      <c r="N144" s="26">
        <f t="shared" si="17"/>
        <v>-0.41399242575244166</v>
      </c>
    </row>
    <row r="145" spans="1:14" x14ac:dyDescent="0.25">
      <c r="A145" s="21" t="s">
        <v>193</v>
      </c>
      <c r="B145" s="22" t="s">
        <v>192</v>
      </c>
      <c r="C145" s="21">
        <f>VLOOKUP(A145,[1]v_2024!F:I,3,FALSE)</f>
        <v>1</v>
      </c>
      <c r="D145" s="23">
        <f>VLOOKUP(A145,[1]v_2024!F:I,4,FALSE)</f>
        <v>9.75</v>
      </c>
      <c r="E145" s="21">
        <v>0</v>
      </c>
      <c r="F145" s="23">
        <v>0</v>
      </c>
      <c r="G145" s="24">
        <f t="shared" si="18"/>
        <v>0</v>
      </c>
      <c r="H145" s="21">
        <f t="shared" si="15"/>
        <v>1</v>
      </c>
      <c r="I145" s="23">
        <f t="shared" si="15"/>
        <v>9.75</v>
      </c>
      <c r="J145" s="21">
        <f>VLOOKUP(A145,[1]v_2023!F:I,3,FALSE)</f>
        <v>3</v>
      </c>
      <c r="K145" s="23">
        <f>VLOOKUP(A145,[1]v_2023!F:I,4,FALSE)</f>
        <v>32.47</v>
      </c>
      <c r="L145" s="21">
        <f t="shared" si="16"/>
        <v>-2</v>
      </c>
      <c r="M145" s="25">
        <f t="shared" si="16"/>
        <v>-22.72</v>
      </c>
      <c r="N145" s="26">
        <f t="shared" si="17"/>
        <v>-0.69972282106559902</v>
      </c>
    </row>
    <row r="146" spans="1:14" x14ac:dyDescent="0.25">
      <c r="A146" s="21" t="s">
        <v>195</v>
      </c>
      <c r="B146" s="22" t="s">
        <v>194</v>
      </c>
      <c r="C146" s="21">
        <v>0</v>
      </c>
      <c r="D146" s="23">
        <v>0</v>
      </c>
      <c r="E146" s="21">
        <v>0</v>
      </c>
      <c r="F146" s="23">
        <v>0</v>
      </c>
      <c r="G146" s="24"/>
      <c r="H146" s="21">
        <f t="shared" si="15"/>
        <v>0</v>
      </c>
      <c r="I146" s="23">
        <f t="shared" si="15"/>
        <v>0</v>
      </c>
      <c r="J146" s="21">
        <v>0</v>
      </c>
      <c r="K146" s="23">
        <v>0</v>
      </c>
      <c r="L146" s="21">
        <f t="shared" si="16"/>
        <v>0</v>
      </c>
      <c r="M146" s="25">
        <f t="shared" si="16"/>
        <v>0</v>
      </c>
      <c r="N146" s="26"/>
    </row>
    <row r="147" spans="1:14" x14ac:dyDescent="0.25">
      <c r="A147" s="21" t="s">
        <v>197</v>
      </c>
      <c r="B147" s="22" t="s">
        <v>196</v>
      </c>
      <c r="C147" s="21">
        <v>0</v>
      </c>
      <c r="D147" s="23">
        <v>0</v>
      </c>
      <c r="E147" s="21">
        <v>0</v>
      </c>
      <c r="F147" s="23">
        <v>0</v>
      </c>
      <c r="G147" s="24"/>
      <c r="H147" s="21">
        <f t="shared" si="15"/>
        <v>0</v>
      </c>
      <c r="I147" s="23">
        <f t="shared" si="15"/>
        <v>0</v>
      </c>
      <c r="J147" s="21">
        <f>VLOOKUP(A147,[1]v_2023!F:I,3,FALSE)</f>
        <v>2</v>
      </c>
      <c r="K147" s="23">
        <f>VLOOKUP(A147,[1]v_2023!F:I,4,FALSE)</f>
        <v>24.42</v>
      </c>
      <c r="L147" s="21">
        <f t="shared" si="16"/>
        <v>-2</v>
      </c>
      <c r="M147" s="25">
        <f t="shared" si="16"/>
        <v>-24.42</v>
      </c>
      <c r="N147" s="26">
        <f t="shared" si="17"/>
        <v>-1</v>
      </c>
    </row>
    <row r="148" spans="1:14" x14ac:dyDescent="0.25">
      <c r="A148" s="21" t="s">
        <v>199</v>
      </c>
      <c r="B148" s="22" t="s">
        <v>198</v>
      </c>
      <c r="C148" s="21">
        <v>0</v>
      </c>
      <c r="D148" s="23">
        <v>0</v>
      </c>
      <c r="E148" s="21">
        <v>0</v>
      </c>
      <c r="F148" s="23">
        <v>0</v>
      </c>
      <c r="G148" s="24"/>
      <c r="H148" s="21">
        <f t="shared" si="15"/>
        <v>0</v>
      </c>
      <c r="I148" s="23">
        <f t="shared" si="15"/>
        <v>0</v>
      </c>
      <c r="J148" s="21">
        <v>0</v>
      </c>
      <c r="K148" s="23">
        <v>0</v>
      </c>
      <c r="L148" s="21">
        <f t="shared" si="16"/>
        <v>0</v>
      </c>
      <c r="M148" s="25">
        <f t="shared" si="16"/>
        <v>0</v>
      </c>
      <c r="N148" s="26"/>
    </row>
    <row r="149" spans="1:14" x14ac:dyDescent="0.25">
      <c r="A149" s="21" t="s">
        <v>201</v>
      </c>
      <c r="B149" s="22" t="s">
        <v>200</v>
      </c>
      <c r="C149" s="21">
        <f>VLOOKUP(A149,[1]v_2024!F:I,3,FALSE)</f>
        <v>6</v>
      </c>
      <c r="D149" s="23">
        <f>VLOOKUP(A149,[1]v_2024!F:I,4,FALSE)</f>
        <v>147.06</v>
      </c>
      <c r="E149" s="21">
        <f>VLOOKUP(A149,[1]s_2024!E:G,2,FALSE)</f>
        <v>2</v>
      </c>
      <c r="F149" s="23">
        <f>VLOOKUP(A149,[1]s_2024!E:G,3,FALSE)</f>
        <v>74.8</v>
      </c>
      <c r="G149" s="24">
        <f t="shared" si="18"/>
        <v>0.33714955377264938</v>
      </c>
      <c r="H149" s="21">
        <f t="shared" si="15"/>
        <v>8</v>
      </c>
      <c r="I149" s="23">
        <f t="shared" si="15"/>
        <v>221.86</v>
      </c>
      <c r="J149" s="21">
        <f>VLOOKUP(A149,[1]v_2023!F:I,3,FALSE)</f>
        <v>23</v>
      </c>
      <c r="K149" s="23">
        <f>VLOOKUP(A149,[1]v_2023!F:I,4,FALSE)</f>
        <v>629.25</v>
      </c>
      <c r="L149" s="21">
        <f t="shared" si="16"/>
        <v>-15</v>
      </c>
      <c r="M149" s="25">
        <f t="shared" si="16"/>
        <v>-407.39</v>
      </c>
      <c r="N149" s="26">
        <f t="shared" si="17"/>
        <v>-0.64742153357171228</v>
      </c>
    </row>
    <row r="150" spans="1:14" x14ac:dyDescent="0.25">
      <c r="A150" s="21" t="s">
        <v>203</v>
      </c>
      <c r="B150" s="22" t="s">
        <v>202</v>
      </c>
      <c r="C150" s="21">
        <f>VLOOKUP(A150,[1]v_2024!F:I,3,FALSE)</f>
        <v>2</v>
      </c>
      <c r="D150" s="23">
        <f>VLOOKUP(A150,[1]v_2024!F:I,4,FALSE)</f>
        <v>54.55</v>
      </c>
      <c r="E150" s="21">
        <v>0</v>
      </c>
      <c r="F150" s="23">
        <v>0</v>
      </c>
      <c r="G150" s="24">
        <f t="shared" si="18"/>
        <v>0</v>
      </c>
      <c r="H150" s="21">
        <f t="shared" si="15"/>
        <v>2</v>
      </c>
      <c r="I150" s="23">
        <f t="shared" si="15"/>
        <v>54.55</v>
      </c>
      <c r="J150" s="21">
        <f>VLOOKUP(A150,[1]v_2023!F:I,3,FALSE)</f>
        <v>6</v>
      </c>
      <c r="K150" s="23">
        <f>VLOOKUP(A150,[1]v_2023!F:I,4,FALSE)</f>
        <v>154.09</v>
      </c>
      <c r="L150" s="21">
        <f t="shared" si="16"/>
        <v>-4</v>
      </c>
      <c r="M150" s="25">
        <f t="shared" si="16"/>
        <v>-99.54</v>
      </c>
      <c r="N150" s="26">
        <f t="shared" si="17"/>
        <v>-0.64598611201246026</v>
      </c>
    </row>
    <row r="151" spans="1:14" x14ac:dyDescent="0.25">
      <c r="A151" s="21" t="s">
        <v>205</v>
      </c>
      <c r="B151" s="22" t="s">
        <v>204</v>
      </c>
      <c r="C151" s="21">
        <v>0</v>
      </c>
      <c r="D151" s="23">
        <v>0</v>
      </c>
      <c r="E151" s="21">
        <v>0</v>
      </c>
      <c r="F151" s="23">
        <v>0</v>
      </c>
      <c r="G151" s="24"/>
      <c r="H151" s="21">
        <f t="shared" si="15"/>
        <v>0</v>
      </c>
      <c r="I151" s="23">
        <f t="shared" si="15"/>
        <v>0</v>
      </c>
      <c r="J151" s="21">
        <f>VLOOKUP(A151,[1]v_2023!F:I,3,FALSE)</f>
        <v>12</v>
      </c>
      <c r="K151" s="23">
        <f>VLOOKUP(A151,[1]v_2023!F:I,4,FALSE)</f>
        <v>178.21</v>
      </c>
      <c r="L151" s="21">
        <f t="shared" si="16"/>
        <v>-12</v>
      </c>
      <c r="M151" s="25">
        <f t="shared" si="16"/>
        <v>-178.21</v>
      </c>
      <c r="N151" s="26">
        <f t="shared" si="17"/>
        <v>-1</v>
      </c>
    </row>
    <row r="152" spans="1:14" x14ac:dyDescent="0.25">
      <c r="A152" s="21" t="s">
        <v>207</v>
      </c>
      <c r="B152" s="22" t="s">
        <v>206</v>
      </c>
      <c r="C152" s="21">
        <f>VLOOKUP(A152,[1]v_2024!F:I,3,FALSE)</f>
        <v>9</v>
      </c>
      <c r="D152" s="23">
        <f>VLOOKUP(A152,[1]v_2024!F:I,4,FALSE)</f>
        <v>182.97</v>
      </c>
      <c r="E152" s="21">
        <v>0</v>
      </c>
      <c r="F152" s="23">
        <v>0</v>
      </c>
      <c r="G152" s="24">
        <f t="shared" si="18"/>
        <v>0</v>
      </c>
      <c r="H152" s="21">
        <f t="shared" si="15"/>
        <v>9</v>
      </c>
      <c r="I152" s="23">
        <f t="shared" si="15"/>
        <v>182.97</v>
      </c>
      <c r="J152" s="21">
        <f>VLOOKUP(A152,[1]v_2023!F:I,3,FALSE)</f>
        <v>118</v>
      </c>
      <c r="K152" s="23">
        <f>VLOOKUP(A152,[1]v_2023!F:I,4,FALSE)</f>
        <v>2367.1999999999998</v>
      </c>
      <c r="L152" s="21">
        <f t="shared" si="16"/>
        <v>-109</v>
      </c>
      <c r="M152" s="25">
        <f t="shared" si="16"/>
        <v>-2184.23</v>
      </c>
      <c r="N152" s="26">
        <f t="shared" si="17"/>
        <v>-0.9227061507265969</v>
      </c>
    </row>
    <row r="153" spans="1:14" x14ac:dyDescent="0.25">
      <c r="A153" s="21" t="s">
        <v>209</v>
      </c>
      <c r="B153" s="22" t="s">
        <v>208</v>
      </c>
      <c r="C153" s="21">
        <v>0</v>
      </c>
      <c r="D153" s="23">
        <v>0</v>
      </c>
      <c r="E153" s="21">
        <v>0</v>
      </c>
      <c r="F153" s="23">
        <v>0</v>
      </c>
      <c r="G153" s="24"/>
      <c r="H153" s="21">
        <f t="shared" si="15"/>
        <v>0</v>
      </c>
      <c r="I153" s="23">
        <f t="shared" si="15"/>
        <v>0</v>
      </c>
      <c r="J153" s="21">
        <v>0</v>
      </c>
      <c r="K153" s="23">
        <v>0</v>
      </c>
      <c r="L153" s="21">
        <f t="shared" si="16"/>
        <v>0</v>
      </c>
      <c r="M153" s="25">
        <f t="shared" si="16"/>
        <v>0</v>
      </c>
      <c r="N153" s="26"/>
    </row>
    <row r="154" spans="1:14" x14ac:dyDescent="0.25">
      <c r="A154" s="21" t="s">
        <v>211</v>
      </c>
      <c r="B154" s="22" t="s">
        <v>210</v>
      </c>
      <c r="C154" s="21">
        <f>VLOOKUP(A154,[1]v_2024!F:I,3,FALSE)</f>
        <v>30</v>
      </c>
      <c r="D154" s="23">
        <f>VLOOKUP(A154,[1]v_2024!F:I,4,FALSE)</f>
        <v>488.1</v>
      </c>
      <c r="E154" s="21">
        <v>0</v>
      </c>
      <c r="F154" s="23">
        <v>0</v>
      </c>
      <c r="G154" s="24">
        <f>F154/I154</f>
        <v>0</v>
      </c>
      <c r="H154" s="21">
        <f t="shared" si="15"/>
        <v>30</v>
      </c>
      <c r="I154" s="23">
        <f t="shared" si="15"/>
        <v>488.1</v>
      </c>
      <c r="J154" s="21">
        <f>VLOOKUP(A154,[1]v_2023!F:I,3,FALSE)</f>
        <v>123</v>
      </c>
      <c r="K154" s="23">
        <f>VLOOKUP(A154,[1]v_2023!F:I,4,FALSE)</f>
        <v>2164.4499999999998</v>
      </c>
      <c r="L154" s="21">
        <f t="shared" si="16"/>
        <v>-93</v>
      </c>
      <c r="M154" s="25">
        <f t="shared" si="16"/>
        <v>-1676.35</v>
      </c>
      <c r="N154" s="26">
        <f t="shared" si="17"/>
        <v>-0.77449236526600296</v>
      </c>
    </row>
    <row r="155" spans="1:14" x14ac:dyDescent="0.25">
      <c r="A155" s="21" t="s">
        <v>213</v>
      </c>
      <c r="B155" s="22" t="s">
        <v>212</v>
      </c>
      <c r="C155" s="21">
        <v>0</v>
      </c>
      <c r="D155" s="23">
        <v>0</v>
      </c>
      <c r="E155" s="21">
        <v>0</v>
      </c>
      <c r="F155" s="23">
        <v>0</v>
      </c>
      <c r="G155" s="24"/>
      <c r="H155" s="21">
        <f t="shared" si="15"/>
        <v>0</v>
      </c>
      <c r="I155" s="23">
        <f t="shared" si="15"/>
        <v>0</v>
      </c>
      <c r="J155" s="21">
        <v>0</v>
      </c>
      <c r="K155" s="23">
        <v>0</v>
      </c>
      <c r="L155" s="21">
        <f t="shared" si="16"/>
        <v>0</v>
      </c>
      <c r="M155" s="25">
        <f t="shared" si="16"/>
        <v>0</v>
      </c>
      <c r="N155" s="26"/>
    </row>
    <row r="156" spans="1:14" x14ac:dyDescent="0.25">
      <c r="A156" s="21" t="s">
        <v>215</v>
      </c>
      <c r="B156" s="22" t="s">
        <v>214</v>
      </c>
      <c r="C156" s="21">
        <f>VLOOKUP(A156,[1]v_2024!F:I,3,FALSE)</f>
        <v>7</v>
      </c>
      <c r="D156" s="23">
        <f>VLOOKUP(A156,[1]v_2024!F:I,4,FALSE)</f>
        <v>121.73</v>
      </c>
      <c r="E156" s="21">
        <v>0</v>
      </c>
      <c r="F156" s="23">
        <v>0</v>
      </c>
      <c r="G156" s="24">
        <f t="shared" ref="G156:G161" si="19">F156/I156</f>
        <v>0</v>
      </c>
      <c r="H156" s="21">
        <f t="shared" si="15"/>
        <v>7</v>
      </c>
      <c r="I156" s="23">
        <f t="shared" si="15"/>
        <v>121.73</v>
      </c>
      <c r="J156" s="21">
        <f>VLOOKUP(A156,[1]v_2023!F:I,3,FALSE)</f>
        <v>7</v>
      </c>
      <c r="K156" s="23">
        <f>VLOOKUP(A156,[1]v_2023!F:I,4,FALSE)</f>
        <v>141.31</v>
      </c>
      <c r="L156" s="21">
        <f t="shared" si="16"/>
        <v>0</v>
      </c>
      <c r="M156" s="25">
        <f t="shared" si="16"/>
        <v>-19.579999999999998</v>
      </c>
      <c r="N156" s="26">
        <f t="shared" si="17"/>
        <v>-0.13856061142169696</v>
      </c>
    </row>
    <row r="157" spans="1:14" x14ac:dyDescent="0.25">
      <c r="A157" s="21" t="s">
        <v>217</v>
      </c>
      <c r="B157" s="22" t="s">
        <v>216</v>
      </c>
      <c r="C157" s="21">
        <f>VLOOKUP(A157,[1]v_2024!F:I,3,FALSE)</f>
        <v>191</v>
      </c>
      <c r="D157" s="23">
        <f>VLOOKUP(A157,[1]v_2024!F:I,4,FALSE)</f>
        <v>2651.93</v>
      </c>
      <c r="E157" s="21">
        <f>VLOOKUP(A157,[1]s_2024!E:G,2,FALSE)</f>
        <v>94</v>
      </c>
      <c r="F157" s="23">
        <f>VLOOKUP(A157,[1]s_2024!E:G,3,FALSE)</f>
        <v>2171.3700000000031</v>
      </c>
      <c r="G157" s="24">
        <f t="shared" si="19"/>
        <v>0.4501834843364505</v>
      </c>
      <c r="H157" s="21">
        <f t="shared" si="15"/>
        <v>285</v>
      </c>
      <c r="I157" s="23">
        <f t="shared" si="15"/>
        <v>4823.3000000000029</v>
      </c>
      <c r="J157" s="21">
        <f>VLOOKUP(A157,[1]v_2023!F:I,3,FALSE)</f>
        <v>1095</v>
      </c>
      <c r="K157" s="23">
        <f>VLOOKUP(A157,[1]v_2023!F:I,4,FALSE)</f>
        <v>24665.9</v>
      </c>
      <c r="L157" s="21">
        <f t="shared" si="16"/>
        <v>-810</v>
      </c>
      <c r="M157" s="25">
        <f t="shared" si="16"/>
        <v>-19842.599999999999</v>
      </c>
      <c r="N157" s="26">
        <f t="shared" si="17"/>
        <v>-0.80445473305251369</v>
      </c>
    </row>
    <row r="158" spans="1:14" x14ac:dyDescent="0.25">
      <c r="A158" s="21" t="s">
        <v>219</v>
      </c>
      <c r="B158" s="22" t="s">
        <v>218</v>
      </c>
      <c r="C158" s="21">
        <f>VLOOKUP(A158,[1]v_2024!F:I,3,FALSE)</f>
        <v>17</v>
      </c>
      <c r="D158" s="23">
        <f>VLOOKUP(A158,[1]v_2024!F:I,4,FALSE)</f>
        <v>179.69</v>
      </c>
      <c r="E158" s="21">
        <v>0</v>
      </c>
      <c r="F158" s="23">
        <v>0</v>
      </c>
      <c r="G158" s="24">
        <f t="shared" si="19"/>
        <v>0</v>
      </c>
      <c r="H158" s="21">
        <f t="shared" si="15"/>
        <v>17</v>
      </c>
      <c r="I158" s="23">
        <f t="shared" si="15"/>
        <v>179.69</v>
      </c>
      <c r="J158" s="21">
        <f>VLOOKUP(A158,[1]v_2023!F:I,3,FALSE)</f>
        <v>85</v>
      </c>
      <c r="K158" s="23">
        <f>VLOOKUP(A158,[1]v_2023!F:I,4,FALSE)</f>
        <v>1386.35</v>
      </c>
      <c r="L158" s="21">
        <f t="shared" si="16"/>
        <v>-68</v>
      </c>
      <c r="M158" s="25">
        <f t="shared" si="16"/>
        <v>-1206.6599999999999</v>
      </c>
      <c r="N158" s="26">
        <f t="shared" si="17"/>
        <v>-0.8703862660944206</v>
      </c>
    </row>
    <row r="159" spans="1:14" x14ac:dyDescent="0.25">
      <c r="A159" s="21" t="s">
        <v>221</v>
      </c>
      <c r="B159" s="22" t="s">
        <v>220</v>
      </c>
      <c r="C159" s="21">
        <f>VLOOKUP(A159,[1]v_2024!F:I,3,FALSE)</f>
        <v>1</v>
      </c>
      <c r="D159" s="23">
        <f>VLOOKUP(A159,[1]v_2024!F:I,4,FALSE)</f>
        <v>12.48</v>
      </c>
      <c r="E159" s="21">
        <v>0</v>
      </c>
      <c r="F159" s="23">
        <v>0</v>
      </c>
      <c r="G159" s="24">
        <f t="shared" si="19"/>
        <v>0</v>
      </c>
      <c r="H159" s="21">
        <f t="shared" si="15"/>
        <v>1</v>
      </c>
      <c r="I159" s="23">
        <f t="shared" si="15"/>
        <v>12.48</v>
      </c>
      <c r="J159" s="21">
        <f>VLOOKUP(A159,[1]v_2023!F:I,3,FALSE)</f>
        <v>19</v>
      </c>
      <c r="K159" s="23">
        <f>VLOOKUP(A159,[1]v_2023!F:I,4,FALSE)</f>
        <v>252.19</v>
      </c>
      <c r="L159" s="21">
        <f t="shared" si="16"/>
        <v>-18</v>
      </c>
      <c r="M159" s="25">
        <f t="shared" si="16"/>
        <v>-239.71</v>
      </c>
      <c r="N159" s="26">
        <f t="shared" si="17"/>
        <v>-0.95051350172489002</v>
      </c>
    </row>
    <row r="160" spans="1:14" x14ac:dyDescent="0.25">
      <c r="A160" s="21" t="s">
        <v>223</v>
      </c>
      <c r="B160" s="22" t="s">
        <v>222</v>
      </c>
      <c r="C160" s="21">
        <f>VLOOKUP(A160,[1]v_2024!F:I,3,FALSE)</f>
        <v>2</v>
      </c>
      <c r="D160" s="23">
        <f>VLOOKUP(A160,[1]v_2024!F:I,4,FALSE)</f>
        <v>21.14</v>
      </c>
      <c r="E160" s="21">
        <f>VLOOKUP(A160,[1]s_2024!E:G,2,FALSE)</f>
        <v>66</v>
      </c>
      <c r="F160" s="23">
        <f>VLOOKUP(A160,[1]s_2024!E:G,3,FALSE)</f>
        <v>1051.3999999999994</v>
      </c>
      <c r="G160" s="24">
        <f t="shared" si="19"/>
        <v>0.98028977940216677</v>
      </c>
      <c r="H160" s="21">
        <f t="shared" si="15"/>
        <v>68</v>
      </c>
      <c r="I160" s="23">
        <f t="shared" si="15"/>
        <v>1072.5399999999995</v>
      </c>
      <c r="J160" s="21">
        <f>VLOOKUP(A160,[1]v_2023!F:I,3,FALSE)</f>
        <v>428</v>
      </c>
      <c r="K160" s="23">
        <f>VLOOKUP(A160,[1]v_2023!F:I,4,FALSE)</f>
        <v>5216.21</v>
      </c>
      <c r="L160" s="21">
        <f t="shared" si="16"/>
        <v>-360</v>
      </c>
      <c r="M160" s="25">
        <f t="shared" si="16"/>
        <v>-4143.67</v>
      </c>
      <c r="N160" s="26">
        <f t="shared" si="17"/>
        <v>-0.79438327828059074</v>
      </c>
    </row>
    <row r="161" spans="1:14" x14ac:dyDescent="0.25">
      <c r="A161" s="21" t="s">
        <v>225</v>
      </c>
      <c r="B161" s="22" t="s">
        <v>224</v>
      </c>
      <c r="C161" s="21">
        <f>VLOOKUP(A161,[1]v_2024!F:I,3,FALSE)</f>
        <v>63</v>
      </c>
      <c r="D161" s="23">
        <f>VLOOKUP(A161,[1]v_2024!F:I,4,FALSE)</f>
        <v>567.63</v>
      </c>
      <c r="E161" s="21">
        <v>0</v>
      </c>
      <c r="F161" s="23">
        <v>0</v>
      </c>
      <c r="G161" s="24">
        <f t="shared" si="19"/>
        <v>0</v>
      </c>
      <c r="H161" s="21">
        <f t="shared" si="15"/>
        <v>63</v>
      </c>
      <c r="I161" s="23">
        <f t="shared" si="15"/>
        <v>567.63</v>
      </c>
      <c r="J161" s="21">
        <f>VLOOKUP(A161,[1]v_2023!F:I,3,FALSE)</f>
        <v>223</v>
      </c>
      <c r="K161" s="23">
        <f>VLOOKUP(A161,[1]v_2023!F:I,4,FALSE)</f>
        <v>2418.41</v>
      </c>
      <c r="L161" s="21">
        <f t="shared" si="16"/>
        <v>-160</v>
      </c>
      <c r="M161" s="25">
        <f t="shared" si="16"/>
        <v>-1850.7799999999997</v>
      </c>
      <c r="N161" s="26">
        <f t="shared" si="17"/>
        <v>-0.76528793711570819</v>
      </c>
    </row>
    <row r="162" spans="1:14" x14ac:dyDescent="0.25">
      <c r="A162" s="21" t="s">
        <v>227</v>
      </c>
      <c r="B162" s="22" t="s">
        <v>226</v>
      </c>
      <c r="C162" s="21">
        <v>0</v>
      </c>
      <c r="D162" s="23">
        <v>0</v>
      </c>
      <c r="E162" s="21">
        <v>0</v>
      </c>
      <c r="F162" s="23">
        <v>0</v>
      </c>
      <c r="G162" s="24"/>
      <c r="H162" s="21">
        <f t="shared" si="15"/>
        <v>0</v>
      </c>
      <c r="I162" s="23">
        <f t="shared" si="15"/>
        <v>0</v>
      </c>
      <c r="J162" s="21">
        <f>VLOOKUP(A162,[1]v_2023!F:I,3,FALSE)</f>
        <v>17</v>
      </c>
      <c r="K162" s="23">
        <f>VLOOKUP(A162,[1]v_2023!F:I,4,FALSE)</f>
        <v>227.33</v>
      </c>
      <c r="L162" s="21">
        <f t="shared" si="16"/>
        <v>-17</v>
      </c>
      <c r="M162" s="25">
        <f t="shared" si="16"/>
        <v>-227.33</v>
      </c>
      <c r="N162" s="26">
        <f t="shared" si="17"/>
        <v>-1</v>
      </c>
    </row>
    <row r="163" spans="1:14" x14ac:dyDescent="0.25">
      <c r="A163" s="21" t="s">
        <v>229</v>
      </c>
      <c r="B163" s="22" t="s">
        <v>228</v>
      </c>
      <c r="C163" s="21">
        <v>0</v>
      </c>
      <c r="D163" s="23">
        <v>0</v>
      </c>
      <c r="E163" s="21">
        <f>VLOOKUP(A163,[1]s_2024!E:G,2,FALSE)</f>
        <v>21</v>
      </c>
      <c r="F163" s="23">
        <f>VLOOKUP(A163,[1]s_2024!E:G,3,FALSE)</f>
        <v>837.89999999999975</v>
      </c>
      <c r="G163" s="24">
        <f t="shared" ref="G163:G172" si="20">F163/I163</f>
        <v>1</v>
      </c>
      <c r="H163" s="21">
        <f t="shared" si="15"/>
        <v>21</v>
      </c>
      <c r="I163" s="23">
        <f t="shared" si="15"/>
        <v>837.89999999999975</v>
      </c>
      <c r="J163" s="21">
        <v>0</v>
      </c>
      <c r="K163" s="23">
        <v>0</v>
      </c>
      <c r="L163" s="21">
        <f t="shared" si="16"/>
        <v>21</v>
      </c>
      <c r="M163" s="25">
        <f t="shared" si="16"/>
        <v>837.89999999999975</v>
      </c>
      <c r="N163" s="26"/>
    </row>
    <row r="164" spans="1:14" x14ac:dyDescent="0.25">
      <c r="A164" s="21" t="s">
        <v>231</v>
      </c>
      <c r="B164" s="22" t="s">
        <v>230</v>
      </c>
      <c r="C164" s="21">
        <f>VLOOKUP(A164,[1]v_2024!F:I,3,FALSE)</f>
        <v>4</v>
      </c>
      <c r="D164" s="23">
        <f>VLOOKUP(A164,[1]v_2024!F:I,4,FALSE)</f>
        <v>158.49</v>
      </c>
      <c r="E164" s="21">
        <v>0</v>
      </c>
      <c r="F164" s="23">
        <v>0</v>
      </c>
      <c r="G164" s="24">
        <f t="shared" si="20"/>
        <v>0</v>
      </c>
      <c r="H164" s="21">
        <f t="shared" si="15"/>
        <v>4</v>
      </c>
      <c r="I164" s="23">
        <f t="shared" si="15"/>
        <v>158.49</v>
      </c>
      <c r="J164" s="21">
        <f>VLOOKUP(A164,[1]v_2023!F:I,3,FALSE)</f>
        <v>152</v>
      </c>
      <c r="K164" s="23">
        <f>VLOOKUP(A164,[1]v_2023!F:I,4,FALSE)</f>
        <v>6234.61</v>
      </c>
      <c r="L164" s="21">
        <f t="shared" si="16"/>
        <v>-148</v>
      </c>
      <c r="M164" s="25">
        <f t="shared" si="16"/>
        <v>-6076.12</v>
      </c>
      <c r="N164" s="26">
        <f t="shared" si="17"/>
        <v>-0.97457900333781911</v>
      </c>
    </row>
    <row r="165" spans="1:14" x14ac:dyDescent="0.25">
      <c r="A165" s="21" t="s">
        <v>233</v>
      </c>
      <c r="B165" s="22" t="s">
        <v>232</v>
      </c>
      <c r="C165" s="21">
        <f>VLOOKUP(A165,[1]v_2024!F:I,3,FALSE)</f>
        <v>19</v>
      </c>
      <c r="D165" s="23">
        <f>VLOOKUP(A165,[1]v_2024!F:I,4,FALSE)</f>
        <v>1088.7</v>
      </c>
      <c r="E165" s="21">
        <f>VLOOKUP(A165,[1]s_2024!E:G,2,FALSE)</f>
        <v>5</v>
      </c>
      <c r="F165" s="23">
        <f>VLOOKUP(A165,[1]s_2024!E:G,3,FALSE)</f>
        <v>349.5</v>
      </c>
      <c r="G165" s="24">
        <f t="shared" si="20"/>
        <v>0.24301209845640384</v>
      </c>
      <c r="H165" s="21">
        <f t="shared" si="15"/>
        <v>24</v>
      </c>
      <c r="I165" s="23">
        <f t="shared" si="15"/>
        <v>1438.2</v>
      </c>
      <c r="J165" s="21">
        <f>VLOOKUP(A165,[1]v_2023!F:I,3,FALSE)</f>
        <v>150</v>
      </c>
      <c r="K165" s="23">
        <f>VLOOKUP(A165,[1]v_2023!F:I,4,FALSE)</f>
        <v>8110.64</v>
      </c>
      <c r="L165" s="21">
        <f t="shared" si="16"/>
        <v>-126</v>
      </c>
      <c r="M165" s="25">
        <f t="shared" si="16"/>
        <v>-6672.4400000000005</v>
      </c>
      <c r="N165" s="26">
        <f t="shared" si="17"/>
        <v>-0.822677371945987</v>
      </c>
    </row>
    <row r="166" spans="1:14" x14ac:dyDescent="0.25">
      <c r="A166" s="21" t="s">
        <v>235</v>
      </c>
      <c r="B166" s="22" t="s">
        <v>234</v>
      </c>
      <c r="C166" s="21">
        <f>VLOOKUP(A166,[1]v_2024!F:I,3,FALSE)</f>
        <v>2</v>
      </c>
      <c r="D166" s="23">
        <f>VLOOKUP(A166,[1]v_2024!F:I,4,FALSE)</f>
        <v>9.82</v>
      </c>
      <c r="E166" s="21">
        <v>0</v>
      </c>
      <c r="F166" s="23">
        <v>0</v>
      </c>
      <c r="G166" s="24">
        <f t="shared" si="20"/>
        <v>0</v>
      </c>
      <c r="H166" s="21">
        <f t="shared" si="15"/>
        <v>2</v>
      </c>
      <c r="I166" s="23">
        <f t="shared" si="15"/>
        <v>9.82</v>
      </c>
      <c r="J166" s="21">
        <f>VLOOKUP(A166,[1]v_2023!F:I,3,FALSE)</f>
        <v>17</v>
      </c>
      <c r="K166" s="23">
        <f>VLOOKUP(A166,[1]v_2023!F:I,4,FALSE)</f>
        <v>68.34</v>
      </c>
      <c r="L166" s="21">
        <f t="shared" si="16"/>
        <v>-15</v>
      </c>
      <c r="M166" s="25">
        <f t="shared" si="16"/>
        <v>-58.52</v>
      </c>
      <c r="N166" s="26">
        <f t="shared" si="17"/>
        <v>-0.85630670178519164</v>
      </c>
    </row>
    <row r="167" spans="1:14" x14ac:dyDescent="0.25">
      <c r="A167" s="21" t="s">
        <v>237</v>
      </c>
      <c r="B167" s="22" t="s">
        <v>236</v>
      </c>
      <c r="C167" s="21">
        <f>VLOOKUP(A167,[1]v_2024!F:I,3,FALSE)</f>
        <v>4</v>
      </c>
      <c r="D167" s="23">
        <f>VLOOKUP(A167,[1]v_2024!F:I,4,FALSE)</f>
        <v>65.239999999999995</v>
      </c>
      <c r="E167" s="21">
        <v>0</v>
      </c>
      <c r="F167" s="23">
        <v>0</v>
      </c>
      <c r="G167" s="24">
        <f t="shared" si="20"/>
        <v>0</v>
      </c>
      <c r="H167" s="21">
        <f t="shared" si="15"/>
        <v>4</v>
      </c>
      <c r="I167" s="23">
        <f t="shared" si="15"/>
        <v>65.239999999999995</v>
      </c>
      <c r="J167" s="21">
        <f>VLOOKUP(A167,[1]v_2023!F:I,3,FALSE)</f>
        <v>2</v>
      </c>
      <c r="K167" s="23">
        <f>VLOOKUP(A167,[1]v_2023!F:I,4,FALSE)</f>
        <v>32.619999999999997</v>
      </c>
      <c r="L167" s="21">
        <f t="shared" si="16"/>
        <v>2</v>
      </c>
      <c r="M167" s="25">
        <f t="shared" si="16"/>
        <v>32.619999999999997</v>
      </c>
      <c r="N167" s="26">
        <f t="shared" si="17"/>
        <v>1</v>
      </c>
    </row>
    <row r="168" spans="1:14" x14ac:dyDescent="0.25">
      <c r="A168" s="21" t="s">
        <v>239</v>
      </c>
      <c r="B168" s="22" t="s">
        <v>238</v>
      </c>
      <c r="C168" s="21">
        <v>0</v>
      </c>
      <c r="D168" s="23">
        <v>0</v>
      </c>
      <c r="E168" s="21">
        <f>VLOOKUP(A168,[1]s_2024!E:G,2,FALSE)</f>
        <v>23</v>
      </c>
      <c r="F168" s="23">
        <f>VLOOKUP(A168,[1]s_2024!E:G,3,FALSE)</f>
        <v>1820.7000000000005</v>
      </c>
      <c r="G168" s="24">
        <f t="shared" si="20"/>
        <v>1</v>
      </c>
      <c r="H168" s="21">
        <f t="shared" si="15"/>
        <v>23</v>
      </c>
      <c r="I168" s="23">
        <f t="shared" si="15"/>
        <v>1820.7000000000005</v>
      </c>
      <c r="J168" s="21">
        <v>0</v>
      </c>
      <c r="K168" s="23">
        <v>0</v>
      </c>
      <c r="L168" s="21">
        <f t="shared" si="16"/>
        <v>23</v>
      </c>
      <c r="M168" s="25">
        <f t="shared" si="16"/>
        <v>1820.7000000000005</v>
      </c>
      <c r="N168" s="26"/>
    </row>
    <row r="169" spans="1:14" x14ac:dyDescent="0.25">
      <c r="A169" s="21" t="s">
        <v>241</v>
      </c>
      <c r="B169" s="22" t="s">
        <v>240</v>
      </c>
      <c r="C169" s="21">
        <f>VLOOKUP(A169,[1]v_2024!F:I,3,FALSE)</f>
        <v>0</v>
      </c>
      <c r="D169" s="23">
        <f>VLOOKUP(A169,[1]v_2024!F:I,4,FALSE)</f>
        <v>0</v>
      </c>
      <c r="E169" s="21">
        <v>0</v>
      </c>
      <c r="F169" s="23">
        <v>0</v>
      </c>
      <c r="G169" s="24"/>
      <c r="H169" s="21">
        <f t="shared" si="15"/>
        <v>0</v>
      </c>
      <c r="I169" s="23">
        <f t="shared" si="15"/>
        <v>0</v>
      </c>
      <c r="J169" s="21">
        <f>VLOOKUP(A169,[1]v_2023!F:I,3,FALSE)</f>
        <v>8</v>
      </c>
      <c r="K169" s="23">
        <f>VLOOKUP(A169,[1]v_2023!F:I,4,FALSE)</f>
        <v>235.31</v>
      </c>
      <c r="L169" s="21">
        <f t="shared" si="16"/>
        <v>-8</v>
      </c>
      <c r="M169" s="25">
        <f t="shared" si="16"/>
        <v>-235.31</v>
      </c>
      <c r="N169" s="26">
        <f t="shared" si="17"/>
        <v>-1</v>
      </c>
    </row>
    <row r="170" spans="1:14" x14ac:dyDescent="0.25">
      <c r="A170" s="21" t="s">
        <v>243</v>
      </c>
      <c r="B170" s="22" t="s">
        <v>242</v>
      </c>
      <c r="C170" s="21">
        <f>VLOOKUP(A170,[1]v_2024!F:I,3,FALSE)</f>
        <v>4</v>
      </c>
      <c r="D170" s="23">
        <f>VLOOKUP(A170,[1]v_2024!F:I,4,FALSE)</f>
        <v>52.22</v>
      </c>
      <c r="E170" s="21">
        <v>0</v>
      </c>
      <c r="F170" s="23">
        <v>0</v>
      </c>
      <c r="G170" s="24">
        <f t="shared" si="20"/>
        <v>0</v>
      </c>
      <c r="H170" s="21">
        <f t="shared" si="15"/>
        <v>4</v>
      </c>
      <c r="I170" s="23">
        <f t="shared" si="15"/>
        <v>52.22</v>
      </c>
      <c r="J170" s="21">
        <f>VLOOKUP(A170,[1]v_2023!F:I,3,FALSE)</f>
        <v>101</v>
      </c>
      <c r="K170" s="23">
        <f>VLOOKUP(A170,[1]v_2023!F:I,4,FALSE)</f>
        <v>1233.21</v>
      </c>
      <c r="L170" s="21">
        <f t="shared" si="16"/>
        <v>-97</v>
      </c>
      <c r="M170" s="25">
        <f t="shared" si="16"/>
        <v>-1180.99</v>
      </c>
      <c r="N170" s="26">
        <f t="shared" si="17"/>
        <v>-0.95765522498195765</v>
      </c>
    </row>
    <row r="171" spans="1:14" x14ac:dyDescent="0.25">
      <c r="A171" s="21" t="s">
        <v>245</v>
      </c>
      <c r="B171" s="22" t="s">
        <v>244</v>
      </c>
      <c r="C171" s="21">
        <v>0</v>
      </c>
      <c r="D171" s="23">
        <v>0</v>
      </c>
      <c r="E171" s="21">
        <v>0</v>
      </c>
      <c r="F171" s="23">
        <v>0</v>
      </c>
      <c r="G171" s="24"/>
      <c r="H171" s="21">
        <f t="shared" si="15"/>
        <v>0</v>
      </c>
      <c r="I171" s="23">
        <f t="shared" si="15"/>
        <v>0</v>
      </c>
      <c r="J171" s="21">
        <v>0</v>
      </c>
      <c r="K171" s="23">
        <v>0</v>
      </c>
      <c r="L171" s="21">
        <f t="shared" si="16"/>
        <v>0</v>
      </c>
      <c r="M171" s="25">
        <f t="shared" si="16"/>
        <v>0</v>
      </c>
      <c r="N171" s="26"/>
    </row>
    <row r="172" spans="1:14" x14ac:dyDescent="0.25">
      <c r="A172" s="21" t="s">
        <v>247</v>
      </c>
      <c r="B172" s="22" t="s">
        <v>246</v>
      </c>
      <c r="C172" s="21">
        <f>VLOOKUP(A172,[1]v_2024!F:I,3,FALSE)</f>
        <v>9</v>
      </c>
      <c r="D172" s="23">
        <f>VLOOKUP(A172,[1]v_2024!F:I,4,FALSE)</f>
        <v>203.19</v>
      </c>
      <c r="E172" s="21">
        <v>0</v>
      </c>
      <c r="F172" s="23">
        <v>0</v>
      </c>
      <c r="G172" s="24">
        <f t="shared" si="20"/>
        <v>0</v>
      </c>
      <c r="H172" s="21">
        <f t="shared" si="15"/>
        <v>9</v>
      </c>
      <c r="I172" s="23">
        <f t="shared" si="15"/>
        <v>203.19</v>
      </c>
      <c r="J172" s="21">
        <f>VLOOKUP(A172,[1]v_2023!F:I,3,FALSE)</f>
        <v>9</v>
      </c>
      <c r="K172" s="23">
        <f>VLOOKUP(A172,[1]v_2023!F:I,4,FALSE)</f>
        <v>220.59</v>
      </c>
      <c r="L172" s="21">
        <f t="shared" si="16"/>
        <v>0</v>
      </c>
      <c r="M172" s="25">
        <f t="shared" si="16"/>
        <v>-17.400000000000006</v>
      </c>
      <c r="N172" s="26">
        <f t="shared" si="17"/>
        <v>-7.887936896504831E-2</v>
      </c>
    </row>
    <row r="173" spans="1:14" x14ac:dyDescent="0.25">
      <c r="A173" s="21" t="s">
        <v>249</v>
      </c>
      <c r="B173" s="22" t="s">
        <v>248</v>
      </c>
      <c r="C173" s="21">
        <f>VLOOKUP(A173,[1]v_2024!F:I,3,FALSE)</f>
        <v>0</v>
      </c>
      <c r="D173" s="23">
        <f>VLOOKUP(A173,[1]v_2024!F:I,4,FALSE)</f>
        <v>0</v>
      </c>
      <c r="E173" s="21">
        <v>0</v>
      </c>
      <c r="F173" s="23">
        <v>0</v>
      </c>
      <c r="G173" s="24"/>
      <c r="H173" s="21">
        <f t="shared" si="15"/>
        <v>0</v>
      </c>
      <c r="I173" s="23">
        <f t="shared" si="15"/>
        <v>0</v>
      </c>
      <c r="J173" s="21">
        <v>0</v>
      </c>
      <c r="K173" s="23">
        <v>0</v>
      </c>
      <c r="L173" s="21">
        <f t="shared" si="16"/>
        <v>0</v>
      </c>
      <c r="M173" s="25">
        <f t="shared" si="16"/>
        <v>0</v>
      </c>
      <c r="N173" s="26"/>
    </row>
    <row r="174" spans="1:14" x14ac:dyDescent="0.25">
      <c r="A174" s="21" t="s">
        <v>251</v>
      </c>
      <c r="B174" s="22" t="s">
        <v>250</v>
      </c>
      <c r="C174" s="21">
        <f>VLOOKUP(A174,[1]v_2024!F:I,3,FALSE)</f>
        <v>9</v>
      </c>
      <c r="D174" s="23">
        <f>VLOOKUP(A174,[1]v_2024!F:I,4,FALSE)</f>
        <v>45.88</v>
      </c>
      <c r="E174" s="21">
        <v>0</v>
      </c>
      <c r="F174" s="23">
        <v>0</v>
      </c>
      <c r="G174" s="24">
        <f>F174/I174</f>
        <v>0</v>
      </c>
      <c r="H174" s="21">
        <f t="shared" si="15"/>
        <v>9</v>
      </c>
      <c r="I174" s="23">
        <f t="shared" si="15"/>
        <v>45.88</v>
      </c>
      <c r="J174" s="21">
        <f>VLOOKUP(A174,[1]v_2023!F:I,3,FALSE)</f>
        <v>24</v>
      </c>
      <c r="K174" s="23">
        <f>VLOOKUP(A174,[1]v_2023!F:I,4,FALSE)</f>
        <v>168.36</v>
      </c>
      <c r="L174" s="21">
        <f t="shared" si="16"/>
        <v>-15</v>
      </c>
      <c r="M174" s="25">
        <f t="shared" si="16"/>
        <v>-122.48000000000002</v>
      </c>
      <c r="N174" s="26">
        <f t="shared" si="17"/>
        <v>-0.72748871465906395</v>
      </c>
    </row>
    <row r="175" spans="1:14" x14ac:dyDescent="0.25">
      <c r="A175" s="21" t="s">
        <v>253</v>
      </c>
      <c r="B175" s="22" t="s">
        <v>252</v>
      </c>
      <c r="C175" s="21">
        <f>VLOOKUP(A175,[1]v_2024!F:I,3,FALSE)</f>
        <v>0</v>
      </c>
      <c r="D175" s="23">
        <f>VLOOKUP(A175,[1]v_2024!F:I,4,FALSE)</f>
        <v>0</v>
      </c>
      <c r="E175" s="21">
        <v>0</v>
      </c>
      <c r="F175" s="23">
        <v>0</v>
      </c>
      <c r="G175" s="24"/>
      <c r="H175" s="21">
        <f t="shared" si="15"/>
        <v>0</v>
      </c>
      <c r="I175" s="23">
        <f t="shared" si="15"/>
        <v>0</v>
      </c>
      <c r="J175" s="21">
        <f>VLOOKUP(A175,[1]v_2023!F:I,3,FALSE)</f>
        <v>1</v>
      </c>
      <c r="K175" s="23">
        <f>VLOOKUP(A175,[1]v_2023!F:I,4,FALSE)</f>
        <v>10.57</v>
      </c>
      <c r="L175" s="21">
        <f t="shared" si="16"/>
        <v>-1</v>
      </c>
      <c r="M175" s="25">
        <f t="shared" si="16"/>
        <v>-10.57</v>
      </c>
      <c r="N175" s="26">
        <f t="shared" si="17"/>
        <v>-1</v>
      </c>
    </row>
    <row r="176" spans="1:14" x14ac:dyDescent="0.25">
      <c r="A176" s="21" t="s">
        <v>255</v>
      </c>
      <c r="B176" s="22" t="s">
        <v>254</v>
      </c>
      <c r="C176" s="21">
        <v>0</v>
      </c>
      <c r="D176" s="23">
        <v>0</v>
      </c>
      <c r="E176" s="21">
        <v>0</v>
      </c>
      <c r="F176" s="23">
        <v>0</v>
      </c>
      <c r="G176" s="24"/>
      <c r="H176" s="21">
        <f t="shared" si="15"/>
        <v>0</v>
      </c>
      <c r="I176" s="23">
        <f t="shared" si="15"/>
        <v>0</v>
      </c>
      <c r="J176" s="21">
        <v>0</v>
      </c>
      <c r="K176" s="23">
        <v>0</v>
      </c>
      <c r="L176" s="21">
        <f t="shared" si="16"/>
        <v>0</v>
      </c>
      <c r="M176" s="25">
        <f t="shared" si="16"/>
        <v>0</v>
      </c>
      <c r="N176" s="26"/>
    </row>
    <row r="177" spans="1:14" x14ac:dyDescent="0.25">
      <c r="A177" s="21" t="s">
        <v>257</v>
      </c>
      <c r="B177" s="22" t="s">
        <v>256</v>
      </c>
      <c r="C177" s="21">
        <f>VLOOKUP(A177,[1]v_2024!F:I,3,FALSE)</f>
        <v>2</v>
      </c>
      <c r="D177" s="23">
        <f>VLOOKUP(A177,[1]v_2024!F:I,4,FALSE)</f>
        <v>30.66</v>
      </c>
      <c r="E177" s="21">
        <v>0</v>
      </c>
      <c r="F177" s="23">
        <v>0</v>
      </c>
      <c r="G177" s="24">
        <f>F177/I177</f>
        <v>0</v>
      </c>
      <c r="H177" s="21">
        <f t="shared" si="15"/>
        <v>2</v>
      </c>
      <c r="I177" s="23">
        <f t="shared" si="15"/>
        <v>30.66</v>
      </c>
      <c r="J177" s="21">
        <f>VLOOKUP(A177,[1]v_2023!F:I,3,FALSE)</f>
        <v>1</v>
      </c>
      <c r="K177" s="23">
        <f>VLOOKUP(A177,[1]v_2023!F:I,4,FALSE)</f>
        <v>10.83</v>
      </c>
      <c r="L177" s="21">
        <f t="shared" si="16"/>
        <v>1</v>
      </c>
      <c r="M177" s="25">
        <f t="shared" si="16"/>
        <v>19.829999999999998</v>
      </c>
      <c r="N177" s="26">
        <f t="shared" si="17"/>
        <v>1.8310249307479223</v>
      </c>
    </row>
    <row r="178" spans="1:14" x14ac:dyDescent="0.25">
      <c r="A178" s="21" t="s">
        <v>259</v>
      </c>
      <c r="B178" s="22" t="s">
        <v>258</v>
      </c>
      <c r="C178" s="21">
        <f>VLOOKUP(A178,[1]v_2024!F:I,3,FALSE)</f>
        <v>0</v>
      </c>
      <c r="D178" s="23">
        <f>VLOOKUP(A178,[1]v_2024!F:I,4,FALSE)</f>
        <v>0</v>
      </c>
      <c r="E178" s="21">
        <v>0</v>
      </c>
      <c r="F178" s="23">
        <v>0</v>
      </c>
      <c r="G178" s="24"/>
      <c r="H178" s="21">
        <f t="shared" si="15"/>
        <v>0</v>
      </c>
      <c r="I178" s="23">
        <f t="shared" si="15"/>
        <v>0</v>
      </c>
      <c r="J178" s="21">
        <v>0</v>
      </c>
      <c r="K178" s="23">
        <v>0</v>
      </c>
      <c r="L178" s="21">
        <f t="shared" si="16"/>
        <v>0</v>
      </c>
      <c r="M178" s="25">
        <f t="shared" si="16"/>
        <v>0</v>
      </c>
      <c r="N178" s="26"/>
    </row>
    <row r="179" spans="1:14" x14ac:dyDescent="0.25">
      <c r="A179" s="21" t="s">
        <v>261</v>
      </c>
      <c r="B179" s="22" t="s">
        <v>260</v>
      </c>
      <c r="C179" s="21">
        <v>0</v>
      </c>
      <c r="D179" s="23">
        <v>0</v>
      </c>
      <c r="E179" s="21">
        <v>0</v>
      </c>
      <c r="F179" s="23">
        <v>0</v>
      </c>
      <c r="G179" s="24"/>
      <c r="H179" s="21">
        <f t="shared" si="15"/>
        <v>0</v>
      </c>
      <c r="I179" s="23">
        <f t="shared" si="15"/>
        <v>0</v>
      </c>
      <c r="J179" s="21">
        <v>0</v>
      </c>
      <c r="K179" s="23">
        <v>0</v>
      </c>
      <c r="L179" s="21">
        <f t="shared" si="16"/>
        <v>0</v>
      </c>
      <c r="M179" s="25">
        <f t="shared" si="16"/>
        <v>0</v>
      </c>
      <c r="N179" s="26"/>
    </row>
    <row r="180" spans="1:14" x14ac:dyDescent="0.25">
      <c r="A180" s="21" t="s">
        <v>263</v>
      </c>
      <c r="B180" s="22" t="s">
        <v>262</v>
      </c>
      <c r="C180" s="21">
        <v>0</v>
      </c>
      <c r="D180" s="23">
        <v>0</v>
      </c>
      <c r="E180" s="21">
        <v>0</v>
      </c>
      <c r="F180" s="23">
        <v>0</v>
      </c>
      <c r="G180" s="24"/>
      <c r="H180" s="21">
        <f t="shared" si="15"/>
        <v>0</v>
      </c>
      <c r="I180" s="23">
        <f t="shared" si="15"/>
        <v>0</v>
      </c>
      <c r="J180" s="21">
        <v>0</v>
      </c>
      <c r="K180" s="23">
        <v>0</v>
      </c>
      <c r="L180" s="21">
        <f t="shared" si="16"/>
        <v>0</v>
      </c>
      <c r="M180" s="25">
        <f t="shared" si="16"/>
        <v>0</v>
      </c>
      <c r="N180" s="26"/>
    </row>
    <row r="181" spans="1:14" x14ac:dyDescent="0.25">
      <c r="A181" s="21" t="s">
        <v>265</v>
      </c>
      <c r="B181" s="22" t="s">
        <v>264</v>
      </c>
      <c r="C181" s="21">
        <f>VLOOKUP(A181,[1]v_2024!F:I,3,FALSE)</f>
        <v>0</v>
      </c>
      <c r="D181" s="23">
        <f>VLOOKUP(A181,[1]v_2024!F:I,4,FALSE)</f>
        <v>0</v>
      </c>
      <c r="E181" s="21">
        <v>0</v>
      </c>
      <c r="F181" s="23">
        <v>0</v>
      </c>
      <c r="G181" s="24"/>
      <c r="H181" s="21">
        <f t="shared" si="15"/>
        <v>0</v>
      </c>
      <c r="I181" s="23">
        <f t="shared" si="15"/>
        <v>0</v>
      </c>
      <c r="J181" s="21">
        <v>0</v>
      </c>
      <c r="K181" s="23">
        <v>0</v>
      </c>
      <c r="L181" s="21">
        <f t="shared" si="16"/>
        <v>0</v>
      </c>
      <c r="M181" s="25">
        <f t="shared" si="16"/>
        <v>0</v>
      </c>
      <c r="N181" s="26"/>
    </row>
    <row r="182" spans="1:14" x14ac:dyDescent="0.25">
      <c r="A182" s="21" t="s">
        <v>267</v>
      </c>
      <c r="B182" s="22" t="s">
        <v>266</v>
      </c>
      <c r="C182" s="21">
        <f>VLOOKUP(A182,[1]v_2024!F:I,3,FALSE)</f>
        <v>544</v>
      </c>
      <c r="D182" s="23">
        <f>VLOOKUP(A182,[1]v_2024!F:I,4,FALSE)</f>
        <v>5723.45</v>
      </c>
      <c r="E182" s="21">
        <v>0</v>
      </c>
      <c r="F182" s="23">
        <v>0</v>
      </c>
      <c r="G182" s="24">
        <f>F182/I182</f>
        <v>0</v>
      </c>
      <c r="H182" s="21">
        <f t="shared" si="15"/>
        <v>544</v>
      </c>
      <c r="I182" s="23">
        <f t="shared" si="15"/>
        <v>5723.45</v>
      </c>
      <c r="J182" s="21">
        <f>VLOOKUP(A182,[1]v_2023!F:I,3,FALSE)</f>
        <v>1836</v>
      </c>
      <c r="K182" s="23">
        <f>VLOOKUP(A182,[1]v_2023!F:I,4,FALSE)</f>
        <v>14888.98</v>
      </c>
      <c r="L182" s="21">
        <f t="shared" si="16"/>
        <v>-1292</v>
      </c>
      <c r="M182" s="25">
        <f t="shared" si="16"/>
        <v>-9165.5299999999988</v>
      </c>
      <c r="N182" s="26">
        <f>M182/K182</f>
        <v>-0.61559153145480749</v>
      </c>
    </row>
    <row r="183" spans="1:14" x14ac:dyDescent="0.25">
      <c r="A183" s="21" t="s">
        <v>269</v>
      </c>
      <c r="B183" s="22" t="s">
        <v>268</v>
      </c>
      <c r="C183" s="21">
        <v>0</v>
      </c>
      <c r="D183" s="23">
        <v>0</v>
      </c>
      <c r="E183" s="21">
        <v>0</v>
      </c>
      <c r="F183" s="23">
        <v>0</v>
      </c>
      <c r="G183" s="24"/>
      <c r="H183" s="21">
        <f t="shared" si="15"/>
        <v>0</v>
      </c>
      <c r="I183" s="23">
        <f t="shared" si="15"/>
        <v>0</v>
      </c>
      <c r="J183" s="21">
        <v>0</v>
      </c>
      <c r="K183" s="23">
        <v>0</v>
      </c>
      <c r="L183" s="21">
        <f t="shared" si="16"/>
        <v>0</v>
      </c>
      <c r="M183" s="25">
        <f t="shared" si="16"/>
        <v>0</v>
      </c>
      <c r="N183" s="26"/>
    </row>
    <row r="184" spans="1:14" x14ac:dyDescent="0.25">
      <c r="A184" s="21" t="s">
        <v>271</v>
      </c>
      <c r="B184" s="22" t="s">
        <v>270</v>
      </c>
      <c r="C184" s="21">
        <f>VLOOKUP(A184,[1]v_2024!F:I,3,FALSE)</f>
        <v>7</v>
      </c>
      <c r="D184" s="23">
        <f>VLOOKUP(A184,[1]v_2024!F:I,4,FALSE)</f>
        <v>415.55</v>
      </c>
      <c r="E184" s="21">
        <v>0</v>
      </c>
      <c r="F184" s="23">
        <v>0</v>
      </c>
      <c r="G184" s="24">
        <f t="shared" ref="G184:G188" si="21">F184/I184</f>
        <v>0</v>
      </c>
      <c r="H184" s="21">
        <f t="shared" si="15"/>
        <v>7</v>
      </c>
      <c r="I184" s="23">
        <f t="shared" si="15"/>
        <v>415.55</v>
      </c>
      <c r="J184" s="21">
        <f>VLOOKUP(A184,[1]v_2023!F:I,3,FALSE)</f>
        <v>51</v>
      </c>
      <c r="K184" s="23">
        <f>VLOOKUP(A184,[1]v_2023!F:I,4,FALSE)</f>
        <v>3256.79</v>
      </c>
      <c r="L184" s="21">
        <f t="shared" si="16"/>
        <v>-44</v>
      </c>
      <c r="M184" s="25">
        <f t="shared" si="16"/>
        <v>-2841.24</v>
      </c>
      <c r="N184" s="26">
        <f>M184/K184</f>
        <v>-0.87240503686144943</v>
      </c>
    </row>
    <row r="185" spans="1:14" x14ac:dyDescent="0.25">
      <c r="A185" s="21" t="s">
        <v>273</v>
      </c>
      <c r="B185" s="22" t="s">
        <v>272</v>
      </c>
      <c r="C185" s="21">
        <f>VLOOKUP(A185,[1]v_2024!F:I,3,FALSE)</f>
        <v>1</v>
      </c>
      <c r="D185" s="23">
        <f>VLOOKUP(A185,[1]v_2024!F:I,4,FALSE)</f>
        <v>18.18</v>
      </c>
      <c r="E185" s="21">
        <v>0</v>
      </c>
      <c r="F185" s="23">
        <v>0</v>
      </c>
      <c r="G185" s="24">
        <f t="shared" si="21"/>
        <v>0</v>
      </c>
      <c r="H185" s="21">
        <f t="shared" si="15"/>
        <v>1</v>
      </c>
      <c r="I185" s="23">
        <f t="shared" si="15"/>
        <v>18.18</v>
      </c>
      <c r="J185" s="21">
        <v>0</v>
      </c>
      <c r="K185" s="23">
        <v>0</v>
      </c>
      <c r="L185" s="21">
        <f t="shared" si="16"/>
        <v>1</v>
      </c>
      <c r="M185" s="25">
        <f t="shared" si="16"/>
        <v>18.18</v>
      </c>
      <c r="N185" s="26"/>
    </row>
    <row r="186" spans="1:14" x14ac:dyDescent="0.25">
      <c r="A186" s="21" t="s">
        <v>275</v>
      </c>
      <c r="B186" s="22" t="s">
        <v>274</v>
      </c>
      <c r="C186" s="21">
        <f>VLOOKUP(A186,[1]v_2024!F:I,3,FALSE)</f>
        <v>2</v>
      </c>
      <c r="D186" s="23">
        <f>VLOOKUP(A186,[1]v_2024!F:I,4,FALSE)</f>
        <v>32.01</v>
      </c>
      <c r="E186" s="21">
        <v>0</v>
      </c>
      <c r="F186" s="23">
        <v>0</v>
      </c>
      <c r="G186" s="24">
        <f t="shared" si="21"/>
        <v>0</v>
      </c>
      <c r="H186" s="21">
        <f t="shared" si="15"/>
        <v>2</v>
      </c>
      <c r="I186" s="23">
        <f t="shared" si="15"/>
        <v>32.01</v>
      </c>
      <c r="J186" s="21">
        <f>VLOOKUP(A186,[1]v_2023!F:I,3,FALSE)</f>
        <v>3</v>
      </c>
      <c r="K186" s="23">
        <f>VLOOKUP(A186,[1]v_2023!F:I,4,FALSE)</f>
        <v>48.93</v>
      </c>
      <c r="L186" s="21">
        <f t="shared" si="16"/>
        <v>-1</v>
      </c>
      <c r="M186" s="25">
        <f t="shared" si="16"/>
        <v>-16.920000000000002</v>
      </c>
      <c r="N186" s="26">
        <f>M186/K186</f>
        <v>-0.34580012262415699</v>
      </c>
    </row>
    <row r="187" spans="1:14" x14ac:dyDescent="0.25">
      <c r="A187" s="21" t="s">
        <v>277</v>
      </c>
      <c r="B187" s="22" t="s">
        <v>276</v>
      </c>
      <c r="C187" s="21">
        <f>VLOOKUP(A187,[1]v_2024!F:I,3,FALSE)</f>
        <v>6</v>
      </c>
      <c r="D187" s="23">
        <f>VLOOKUP(A187,[1]v_2024!F:I,4,FALSE)</f>
        <v>58.74</v>
      </c>
      <c r="E187" s="21">
        <v>0</v>
      </c>
      <c r="F187" s="23">
        <v>0</v>
      </c>
      <c r="G187" s="24">
        <f t="shared" si="21"/>
        <v>0</v>
      </c>
      <c r="H187" s="21">
        <f t="shared" si="15"/>
        <v>6</v>
      </c>
      <c r="I187" s="23">
        <f t="shared" si="15"/>
        <v>58.74</v>
      </c>
      <c r="J187" s="21">
        <v>0</v>
      </c>
      <c r="K187" s="23">
        <v>0</v>
      </c>
      <c r="L187" s="21">
        <f t="shared" si="16"/>
        <v>6</v>
      </c>
      <c r="M187" s="25">
        <f t="shared" si="16"/>
        <v>58.74</v>
      </c>
      <c r="N187" s="26"/>
    </row>
    <row r="188" spans="1:14" x14ac:dyDescent="0.25">
      <c r="A188" s="21" t="s">
        <v>279</v>
      </c>
      <c r="B188" s="22" t="s">
        <v>278</v>
      </c>
      <c r="C188" s="21">
        <f>VLOOKUP(A188,[1]v_2024!F:I,3,FALSE)</f>
        <v>4</v>
      </c>
      <c r="D188" s="23">
        <f>VLOOKUP(A188,[1]v_2024!F:I,4,FALSE)</f>
        <v>81.040000000000006</v>
      </c>
      <c r="E188" s="21">
        <v>0</v>
      </c>
      <c r="F188" s="23">
        <v>0</v>
      </c>
      <c r="G188" s="24">
        <f t="shared" si="21"/>
        <v>0</v>
      </c>
      <c r="H188" s="21">
        <f t="shared" si="15"/>
        <v>4</v>
      </c>
      <c r="I188" s="23">
        <f t="shared" si="15"/>
        <v>81.040000000000006</v>
      </c>
      <c r="J188" s="21">
        <v>0</v>
      </c>
      <c r="K188" s="23">
        <v>0</v>
      </c>
      <c r="L188" s="21">
        <f t="shared" si="16"/>
        <v>4</v>
      </c>
      <c r="M188" s="25">
        <f t="shared" si="16"/>
        <v>81.040000000000006</v>
      </c>
      <c r="N188" s="26"/>
    </row>
    <row r="189" spans="1:14" x14ac:dyDescent="0.25">
      <c r="A189" s="21" t="s">
        <v>281</v>
      </c>
      <c r="B189" s="22" t="s">
        <v>280</v>
      </c>
      <c r="C189" s="21">
        <v>0</v>
      </c>
      <c r="D189" s="23">
        <v>0</v>
      </c>
      <c r="E189" s="21">
        <v>0</v>
      </c>
      <c r="F189" s="23">
        <v>0</v>
      </c>
      <c r="G189" s="24"/>
      <c r="H189" s="21">
        <f t="shared" si="15"/>
        <v>0</v>
      </c>
      <c r="I189" s="23">
        <f t="shared" si="15"/>
        <v>0</v>
      </c>
      <c r="J189" s="21">
        <v>0</v>
      </c>
      <c r="K189" s="23">
        <v>0</v>
      </c>
      <c r="L189" s="21">
        <f t="shared" si="16"/>
        <v>0</v>
      </c>
      <c r="M189" s="25">
        <f t="shared" si="16"/>
        <v>0</v>
      </c>
      <c r="N189" s="26"/>
    </row>
    <row r="190" spans="1:14" x14ac:dyDescent="0.25">
      <c r="A190" s="21" t="s">
        <v>283</v>
      </c>
      <c r="B190" s="22" t="s">
        <v>282</v>
      </c>
      <c r="C190" s="21">
        <f>VLOOKUP(A190,[1]v_2024!F:I,3,FALSE)</f>
        <v>0</v>
      </c>
      <c r="D190" s="23">
        <f>VLOOKUP(A190,[1]v_2024!F:I,4,FALSE)</f>
        <v>0</v>
      </c>
      <c r="E190" s="21">
        <v>0</v>
      </c>
      <c r="F190" s="23">
        <v>0</v>
      </c>
      <c r="G190" s="24"/>
      <c r="H190" s="21">
        <f t="shared" si="15"/>
        <v>0</v>
      </c>
      <c r="I190" s="23">
        <f t="shared" si="15"/>
        <v>0</v>
      </c>
      <c r="J190" s="21">
        <f>VLOOKUP(A190,[1]v_2023!F:I,3,FALSE)</f>
        <v>40</v>
      </c>
      <c r="K190" s="23">
        <f>VLOOKUP(A190,[1]v_2023!F:I,4,FALSE)</f>
        <v>324.39999999999998</v>
      </c>
      <c r="L190" s="21">
        <f t="shared" si="16"/>
        <v>-40</v>
      </c>
      <c r="M190" s="25">
        <f t="shared" si="16"/>
        <v>-324.39999999999998</v>
      </c>
      <c r="N190" s="26">
        <f t="shared" ref="N190:N202" si="22">M190/K190</f>
        <v>-1</v>
      </c>
    </row>
    <row r="191" spans="1:14" x14ac:dyDescent="0.25">
      <c r="A191" s="21" t="s">
        <v>285</v>
      </c>
      <c r="B191" s="22" t="s">
        <v>284</v>
      </c>
      <c r="C191" s="21">
        <f>VLOOKUP(A191,[1]v_2024!F:I,3,FALSE)</f>
        <v>6</v>
      </c>
      <c r="D191" s="23">
        <f>VLOOKUP(A191,[1]v_2024!F:I,4,FALSE)</f>
        <v>109.67</v>
      </c>
      <c r="E191" s="21">
        <v>0</v>
      </c>
      <c r="F191" s="23">
        <v>0</v>
      </c>
      <c r="G191" s="24">
        <f t="shared" ref="G191:G213" si="23">F191/I191</f>
        <v>0</v>
      </c>
      <c r="H191" s="21">
        <f t="shared" si="15"/>
        <v>6</v>
      </c>
      <c r="I191" s="23">
        <f t="shared" si="15"/>
        <v>109.67</v>
      </c>
      <c r="J191" s="21">
        <f>VLOOKUP(A191,[1]v_2023!F:I,3,FALSE)</f>
        <v>34</v>
      </c>
      <c r="K191" s="23">
        <f>VLOOKUP(A191,[1]v_2023!F:I,4,FALSE)</f>
        <v>543.38</v>
      </c>
      <c r="L191" s="21">
        <f t="shared" si="16"/>
        <v>-28</v>
      </c>
      <c r="M191" s="25">
        <f t="shared" si="16"/>
        <v>-433.71</v>
      </c>
      <c r="N191" s="26">
        <f t="shared" si="22"/>
        <v>-0.79817070926423495</v>
      </c>
    </row>
    <row r="192" spans="1:14" x14ac:dyDescent="0.25">
      <c r="A192" s="21" t="s">
        <v>287</v>
      </c>
      <c r="B192" s="22" t="s">
        <v>286</v>
      </c>
      <c r="C192" s="21">
        <f>VLOOKUP(A192,[1]v_2024!F:I,3,FALSE)</f>
        <v>2</v>
      </c>
      <c r="D192" s="23">
        <f>VLOOKUP(A192,[1]v_2024!F:I,4,FALSE)</f>
        <v>32.619999999999997</v>
      </c>
      <c r="E192" s="21">
        <v>0</v>
      </c>
      <c r="F192" s="23">
        <v>0</v>
      </c>
      <c r="G192" s="24">
        <f t="shared" si="23"/>
        <v>0</v>
      </c>
      <c r="H192" s="21">
        <f t="shared" si="15"/>
        <v>2</v>
      </c>
      <c r="I192" s="23">
        <f t="shared" si="15"/>
        <v>32.619999999999997</v>
      </c>
      <c r="J192" s="21">
        <f>VLOOKUP(A192,[1]v_2023!F:I,3,FALSE)</f>
        <v>146</v>
      </c>
      <c r="K192" s="23">
        <f>VLOOKUP(A192,[1]v_2023!F:I,4,FALSE)</f>
        <v>2282.7399999999998</v>
      </c>
      <c r="L192" s="21">
        <f t="shared" si="16"/>
        <v>-144</v>
      </c>
      <c r="M192" s="25">
        <f t="shared" si="16"/>
        <v>-2250.12</v>
      </c>
      <c r="N192" s="26">
        <f t="shared" si="22"/>
        <v>-0.9857101553396358</v>
      </c>
    </row>
    <row r="193" spans="1:14" x14ac:dyDescent="0.25">
      <c r="A193" s="21" t="s">
        <v>289</v>
      </c>
      <c r="B193" s="22" t="s">
        <v>288</v>
      </c>
      <c r="C193" s="21">
        <f>VLOOKUP(A193,[1]v_2024!F:I,3,FALSE)</f>
        <v>5</v>
      </c>
      <c r="D193" s="23">
        <f>VLOOKUP(A193,[1]v_2024!F:I,4,FALSE)</f>
        <v>93.23</v>
      </c>
      <c r="E193" s="21">
        <v>0</v>
      </c>
      <c r="F193" s="23">
        <v>0</v>
      </c>
      <c r="G193" s="24">
        <f t="shared" si="23"/>
        <v>0</v>
      </c>
      <c r="H193" s="21">
        <f t="shared" si="15"/>
        <v>5</v>
      </c>
      <c r="I193" s="23">
        <f t="shared" si="15"/>
        <v>93.23</v>
      </c>
      <c r="J193" s="21">
        <f>VLOOKUP(A193,[1]v_2023!F:I,3,FALSE)</f>
        <v>111</v>
      </c>
      <c r="K193" s="23">
        <f>VLOOKUP(A193,[1]v_2023!F:I,4,FALSE)</f>
        <v>1355.31</v>
      </c>
      <c r="L193" s="21">
        <f t="shared" si="16"/>
        <v>-106</v>
      </c>
      <c r="M193" s="25">
        <f t="shared" si="16"/>
        <v>-1262.08</v>
      </c>
      <c r="N193" s="26">
        <f t="shared" si="22"/>
        <v>-0.9312113095896879</v>
      </c>
    </row>
    <row r="194" spans="1:14" x14ac:dyDescent="0.25">
      <c r="A194" s="21" t="s">
        <v>291</v>
      </c>
      <c r="B194" s="22" t="s">
        <v>290</v>
      </c>
      <c r="C194" s="21">
        <v>0</v>
      </c>
      <c r="D194" s="23">
        <v>0</v>
      </c>
      <c r="E194" s="21">
        <v>0</v>
      </c>
      <c r="F194" s="23">
        <v>0</v>
      </c>
      <c r="G194" s="24"/>
      <c r="H194" s="21">
        <f t="shared" si="15"/>
        <v>0</v>
      </c>
      <c r="I194" s="23">
        <f t="shared" si="15"/>
        <v>0</v>
      </c>
      <c r="J194" s="21">
        <v>0</v>
      </c>
      <c r="K194" s="23">
        <v>0</v>
      </c>
      <c r="L194" s="21">
        <f t="shared" si="16"/>
        <v>0</v>
      </c>
      <c r="M194" s="25">
        <f t="shared" si="16"/>
        <v>0</v>
      </c>
      <c r="N194" s="26"/>
    </row>
    <row r="195" spans="1:14" x14ac:dyDescent="0.25">
      <c r="A195" s="21" t="s">
        <v>293</v>
      </c>
      <c r="B195" s="22" t="s">
        <v>292</v>
      </c>
      <c r="C195" s="21">
        <f>VLOOKUP(A195,[1]v_2024!F:I,3,FALSE)</f>
        <v>81</v>
      </c>
      <c r="D195" s="23">
        <f>VLOOKUP(A195,[1]v_2024!F:I,4,FALSE)</f>
        <v>906.26</v>
      </c>
      <c r="E195" s="21">
        <v>0</v>
      </c>
      <c r="F195" s="23">
        <v>0</v>
      </c>
      <c r="G195" s="24">
        <f t="shared" si="23"/>
        <v>0</v>
      </c>
      <c r="H195" s="21">
        <f t="shared" si="15"/>
        <v>81</v>
      </c>
      <c r="I195" s="23">
        <f t="shared" si="15"/>
        <v>906.26</v>
      </c>
      <c r="J195" s="21">
        <f>VLOOKUP(A195,[1]v_2023!F:I,3,FALSE)</f>
        <v>546</v>
      </c>
      <c r="K195" s="23">
        <f>VLOOKUP(A195,[1]v_2023!F:I,4,FALSE)</f>
        <v>4428.0600000000004</v>
      </c>
      <c r="L195" s="21">
        <f t="shared" si="16"/>
        <v>-465</v>
      </c>
      <c r="M195" s="25">
        <f t="shared" si="16"/>
        <v>-3521.8</v>
      </c>
      <c r="N195" s="26">
        <f t="shared" si="22"/>
        <v>-0.79533700988694822</v>
      </c>
    </row>
    <row r="196" spans="1:14" x14ac:dyDescent="0.25">
      <c r="A196" s="21" t="s">
        <v>295</v>
      </c>
      <c r="B196" s="22" t="s">
        <v>294</v>
      </c>
      <c r="C196" s="21">
        <f>VLOOKUP(A196,[1]v_2024!F:I,3,FALSE)</f>
        <v>11</v>
      </c>
      <c r="D196" s="23">
        <f>VLOOKUP(A196,[1]v_2024!F:I,4,FALSE)</f>
        <v>84.03</v>
      </c>
      <c r="E196" s="21">
        <v>0</v>
      </c>
      <c r="F196" s="23">
        <v>0</v>
      </c>
      <c r="G196" s="24">
        <f t="shared" si="23"/>
        <v>0</v>
      </c>
      <c r="H196" s="21">
        <f t="shared" ref="H196:I259" si="24">E196+C196</f>
        <v>11</v>
      </c>
      <c r="I196" s="23">
        <f t="shared" si="24"/>
        <v>84.03</v>
      </c>
      <c r="J196" s="21">
        <f>VLOOKUP(A196,[1]v_2023!F:I,3,FALSE)</f>
        <v>132</v>
      </c>
      <c r="K196" s="23">
        <f>VLOOKUP(A196,[1]v_2023!F:I,4,FALSE)</f>
        <v>1042.1500000000001</v>
      </c>
      <c r="L196" s="21">
        <f t="shared" ref="L196:M259" si="25">H196-J196</f>
        <v>-121</v>
      </c>
      <c r="M196" s="25">
        <f t="shared" si="25"/>
        <v>-958.12000000000012</v>
      </c>
      <c r="N196" s="26">
        <f t="shared" si="22"/>
        <v>-0.91936861296358496</v>
      </c>
    </row>
    <row r="197" spans="1:14" x14ac:dyDescent="0.25">
      <c r="A197" s="21" t="s">
        <v>297</v>
      </c>
      <c r="B197" s="22" t="s">
        <v>296</v>
      </c>
      <c r="C197" s="21">
        <f>VLOOKUP(A197,[1]v_2024!F:I,3,FALSE)</f>
        <v>1</v>
      </c>
      <c r="D197" s="23">
        <f>VLOOKUP(A197,[1]v_2024!F:I,4,FALSE)</f>
        <v>9.51</v>
      </c>
      <c r="E197" s="21">
        <v>0</v>
      </c>
      <c r="F197" s="23">
        <v>0</v>
      </c>
      <c r="G197" s="24">
        <f t="shared" si="23"/>
        <v>0</v>
      </c>
      <c r="H197" s="21">
        <f t="shared" si="24"/>
        <v>1</v>
      </c>
      <c r="I197" s="23">
        <f t="shared" si="24"/>
        <v>9.51</v>
      </c>
      <c r="J197" s="21">
        <f>VLOOKUP(A197,[1]v_2023!F:I,3,FALSE)</f>
        <v>50</v>
      </c>
      <c r="K197" s="23">
        <f>VLOOKUP(A197,[1]v_2023!F:I,4,FALSE)</f>
        <v>859.53</v>
      </c>
      <c r="L197" s="21">
        <f t="shared" si="25"/>
        <v>-49</v>
      </c>
      <c r="M197" s="25">
        <f t="shared" si="25"/>
        <v>-850.02</v>
      </c>
      <c r="N197" s="26">
        <f t="shared" si="22"/>
        <v>-0.98893581375868211</v>
      </c>
    </row>
    <row r="198" spans="1:14" x14ac:dyDescent="0.25">
      <c r="A198" s="21" t="s">
        <v>299</v>
      </c>
      <c r="B198" s="22" t="s">
        <v>298</v>
      </c>
      <c r="C198" s="21">
        <v>0</v>
      </c>
      <c r="D198" s="23">
        <v>0</v>
      </c>
      <c r="E198" s="21">
        <v>0</v>
      </c>
      <c r="F198" s="23">
        <v>0</v>
      </c>
      <c r="G198" s="24"/>
      <c r="H198" s="21">
        <f t="shared" si="24"/>
        <v>0</v>
      </c>
      <c r="I198" s="23">
        <f t="shared" si="24"/>
        <v>0</v>
      </c>
      <c r="J198" s="21">
        <f>VLOOKUP(A198,[1]v_2023!F:I,3,FALSE)</f>
        <v>24</v>
      </c>
      <c r="K198" s="23">
        <f>VLOOKUP(A198,[1]v_2023!F:I,4,FALSE)</f>
        <v>230.68</v>
      </c>
      <c r="L198" s="21">
        <f t="shared" si="25"/>
        <v>-24</v>
      </c>
      <c r="M198" s="25">
        <f t="shared" si="25"/>
        <v>-230.68</v>
      </c>
      <c r="N198" s="26">
        <f t="shared" si="22"/>
        <v>-1</v>
      </c>
    </row>
    <row r="199" spans="1:14" x14ac:dyDescent="0.25">
      <c r="A199" s="21" t="s">
        <v>301</v>
      </c>
      <c r="B199" s="22" t="s">
        <v>300</v>
      </c>
      <c r="C199" s="21">
        <f>VLOOKUP(A199,[1]v_2024!F:I,3,FALSE)</f>
        <v>84</v>
      </c>
      <c r="D199" s="23">
        <f>VLOOKUP(A199,[1]v_2024!F:I,4,FALSE)</f>
        <v>1179.03</v>
      </c>
      <c r="E199" s="21">
        <f>VLOOKUP(A199,[1]s_2024!E:G,2,FALSE)</f>
        <v>70</v>
      </c>
      <c r="F199" s="23">
        <f>VLOOKUP(A199,[1]s_2024!E:G,3,FALSE)</f>
        <v>1052.9999999999991</v>
      </c>
      <c r="G199" s="24">
        <f t="shared" si="23"/>
        <v>0.47176785258262643</v>
      </c>
      <c r="H199" s="21">
        <f t="shared" si="24"/>
        <v>154</v>
      </c>
      <c r="I199" s="23">
        <f t="shared" si="24"/>
        <v>2232.0299999999988</v>
      </c>
      <c r="J199" s="21">
        <f>VLOOKUP(A199,[1]v_2023!F:I,3,FALSE)</f>
        <v>501</v>
      </c>
      <c r="K199" s="23">
        <f>VLOOKUP(A199,[1]v_2023!F:I,4,FALSE)</f>
        <v>6117.21</v>
      </c>
      <c r="L199" s="21">
        <f t="shared" si="25"/>
        <v>-347</v>
      </c>
      <c r="M199" s="25">
        <f t="shared" si="25"/>
        <v>-3885.1800000000012</v>
      </c>
      <c r="N199" s="26">
        <f t="shared" si="22"/>
        <v>-0.63512287464383288</v>
      </c>
    </row>
    <row r="200" spans="1:14" x14ac:dyDescent="0.25">
      <c r="A200" s="21" t="s">
        <v>303</v>
      </c>
      <c r="B200" s="22" t="s">
        <v>302</v>
      </c>
      <c r="C200" s="21">
        <f>VLOOKUP(A200,[1]v_2024!F:I,3,FALSE)</f>
        <v>12</v>
      </c>
      <c r="D200" s="23">
        <f>VLOOKUP(A200,[1]v_2024!F:I,4,FALSE)</f>
        <v>132.43</v>
      </c>
      <c r="E200" s="21">
        <v>0</v>
      </c>
      <c r="F200" s="23">
        <v>0</v>
      </c>
      <c r="G200" s="24">
        <f t="shared" si="23"/>
        <v>0</v>
      </c>
      <c r="H200" s="21">
        <f t="shared" si="24"/>
        <v>12</v>
      </c>
      <c r="I200" s="23">
        <f t="shared" si="24"/>
        <v>132.43</v>
      </c>
      <c r="J200" s="21">
        <f>VLOOKUP(A200,[1]v_2023!F:I,3,FALSE)</f>
        <v>11</v>
      </c>
      <c r="K200" s="23">
        <f>VLOOKUP(A200,[1]v_2023!F:I,4,FALSE)</f>
        <v>125.12</v>
      </c>
      <c r="L200" s="21">
        <f t="shared" si="25"/>
        <v>1</v>
      </c>
      <c r="M200" s="25">
        <f t="shared" si="25"/>
        <v>7.3100000000000023</v>
      </c>
      <c r="N200" s="26">
        <f t="shared" si="22"/>
        <v>5.8423913043478277E-2</v>
      </c>
    </row>
    <row r="201" spans="1:14" x14ac:dyDescent="0.25">
      <c r="A201" s="21" t="s">
        <v>305</v>
      </c>
      <c r="B201" s="22" t="s">
        <v>304</v>
      </c>
      <c r="C201" s="21">
        <v>0</v>
      </c>
      <c r="D201" s="23">
        <v>0</v>
      </c>
      <c r="E201" s="21">
        <v>0</v>
      </c>
      <c r="F201" s="23">
        <v>0</v>
      </c>
      <c r="G201" s="24"/>
      <c r="H201" s="21">
        <f t="shared" si="24"/>
        <v>0</v>
      </c>
      <c r="I201" s="23">
        <f t="shared" si="24"/>
        <v>0</v>
      </c>
      <c r="J201" s="21">
        <v>0</v>
      </c>
      <c r="K201" s="23">
        <v>0</v>
      </c>
      <c r="L201" s="21">
        <f t="shared" si="25"/>
        <v>0</v>
      </c>
      <c r="M201" s="25">
        <f t="shared" si="25"/>
        <v>0</v>
      </c>
      <c r="N201" s="26"/>
    </row>
    <row r="202" spans="1:14" x14ac:dyDescent="0.25">
      <c r="A202" s="21" t="s">
        <v>307</v>
      </c>
      <c r="B202" s="22" t="s">
        <v>306</v>
      </c>
      <c r="C202" s="21">
        <f>VLOOKUP(A202,[1]v_2024!F:I,3,FALSE)</f>
        <v>13</v>
      </c>
      <c r="D202" s="23">
        <f>VLOOKUP(A202,[1]v_2024!F:I,4,FALSE)</f>
        <v>158.72999999999999</v>
      </c>
      <c r="E202" s="21">
        <v>0</v>
      </c>
      <c r="F202" s="23">
        <v>0</v>
      </c>
      <c r="G202" s="24">
        <f t="shared" si="23"/>
        <v>0</v>
      </c>
      <c r="H202" s="21">
        <f t="shared" si="24"/>
        <v>13</v>
      </c>
      <c r="I202" s="23">
        <f t="shared" si="24"/>
        <v>158.72999999999999</v>
      </c>
      <c r="J202" s="21">
        <f>VLOOKUP(A202,[1]v_2023!F:I,3,FALSE)</f>
        <v>32</v>
      </c>
      <c r="K202" s="23">
        <f>VLOOKUP(A202,[1]v_2023!F:I,4,FALSE)</f>
        <v>390.72</v>
      </c>
      <c r="L202" s="21">
        <f t="shared" si="25"/>
        <v>-19</v>
      </c>
      <c r="M202" s="25">
        <f t="shared" si="25"/>
        <v>-231.99000000000004</v>
      </c>
      <c r="N202" s="26">
        <f t="shared" si="22"/>
        <v>-0.59375</v>
      </c>
    </row>
    <row r="203" spans="1:14" x14ac:dyDescent="0.25">
      <c r="A203" s="21" t="s">
        <v>309</v>
      </c>
      <c r="B203" s="22" t="s">
        <v>308</v>
      </c>
      <c r="C203" s="21">
        <f>VLOOKUP(A203,[1]v_2024!F:I,3,FALSE)</f>
        <v>2</v>
      </c>
      <c r="D203" s="23">
        <f>VLOOKUP(A203,[1]v_2024!F:I,4,FALSE)</f>
        <v>65.400000000000006</v>
      </c>
      <c r="E203" s="21">
        <v>0</v>
      </c>
      <c r="F203" s="23">
        <v>0</v>
      </c>
      <c r="G203" s="24">
        <f t="shared" si="23"/>
        <v>0</v>
      </c>
      <c r="H203" s="21">
        <f t="shared" si="24"/>
        <v>2</v>
      </c>
      <c r="I203" s="23">
        <f t="shared" si="24"/>
        <v>65.400000000000006</v>
      </c>
      <c r="J203" s="21">
        <v>0</v>
      </c>
      <c r="K203" s="23">
        <v>0</v>
      </c>
      <c r="L203" s="21">
        <f t="shared" si="25"/>
        <v>2</v>
      </c>
      <c r="M203" s="25">
        <f t="shared" si="25"/>
        <v>65.400000000000006</v>
      </c>
      <c r="N203" s="26"/>
    </row>
    <row r="204" spans="1:14" x14ac:dyDescent="0.25">
      <c r="A204" s="21" t="s">
        <v>311</v>
      </c>
      <c r="B204" s="22" t="s">
        <v>310</v>
      </c>
      <c r="C204" s="21">
        <f>VLOOKUP(A204,[1]v_2024!F:I,3,FALSE)</f>
        <v>1</v>
      </c>
      <c r="D204" s="23">
        <f>VLOOKUP(A204,[1]v_2024!F:I,4,FALSE)</f>
        <v>28.61</v>
      </c>
      <c r="E204" s="21">
        <f>VLOOKUP(A204,[1]s_2024!E:G,2,FALSE)</f>
        <v>8</v>
      </c>
      <c r="F204" s="23">
        <f>VLOOKUP(A204,[1]s_2024!E:G,3,FALSE)</f>
        <v>291.2</v>
      </c>
      <c r="G204" s="24">
        <f t="shared" si="23"/>
        <v>0.91054063350114123</v>
      </c>
      <c r="H204" s="21">
        <f t="shared" si="24"/>
        <v>9</v>
      </c>
      <c r="I204" s="23">
        <f t="shared" si="24"/>
        <v>319.81</v>
      </c>
      <c r="J204" s="21">
        <f>VLOOKUP(A204,[1]v_2023!F:I,3,FALSE)</f>
        <v>33</v>
      </c>
      <c r="K204" s="23">
        <f>VLOOKUP(A204,[1]v_2023!F:I,4,FALSE)</f>
        <v>944.13</v>
      </c>
      <c r="L204" s="21">
        <f t="shared" si="25"/>
        <v>-24</v>
      </c>
      <c r="M204" s="25">
        <f t="shared" si="25"/>
        <v>-624.31999999999994</v>
      </c>
      <c r="N204" s="26">
        <f>M204/K204</f>
        <v>-0.66126486818552521</v>
      </c>
    </row>
    <row r="205" spans="1:14" x14ac:dyDescent="0.25">
      <c r="A205" s="21" t="s">
        <v>313</v>
      </c>
      <c r="B205" s="22" t="s">
        <v>312</v>
      </c>
      <c r="C205" s="21">
        <f>VLOOKUP(A205,[1]v_2024!F:I,3,FALSE)</f>
        <v>7</v>
      </c>
      <c r="D205" s="23">
        <f>VLOOKUP(A205,[1]v_2024!F:I,4,FALSE)</f>
        <v>433.99</v>
      </c>
      <c r="E205" s="21">
        <v>0</v>
      </c>
      <c r="F205" s="23">
        <v>0</v>
      </c>
      <c r="G205" s="24">
        <f t="shared" si="23"/>
        <v>0</v>
      </c>
      <c r="H205" s="21">
        <f t="shared" si="24"/>
        <v>7</v>
      </c>
      <c r="I205" s="23">
        <f t="shared" si="24"/>
        <v>433.99</v>
      </c>
      <c r="J205" s="21">
        <f>VLOOKUP(A205,[1]v_2023!F:I,3,FALSE)</f>
        <v>3</v>
      </c>
      <c r="K205" s="23">
        <f>VLOOKUP(A205,[1]v_2023!F:I,4,FALSE)</f>
        <v>196.47</v>
      </c>
      <c r="L205" s="21">
        <f t="shared" si="25"/>
        <v>4</v>
      </c>
      <c r="M205" s="25">
        <f t="shared" si="25"/>
        <v>237.52</v>
      </c>
      <c r="N205" s="26">
        <f>M205/K205</f>
        <v>1.2089377513106327</v>
      </c>
    </row>
    <row r="206" spans="1:14" x14ac:dyDescent="0.25">
      <c r="A206" s="21" t="s">
        <v>315</v>
      </c>
      <c r="B206" s="22" t="s">
        <v>314</v>
      </c>
      <c r="C206" s="21">
        <f>VLOOKUP(A206,[1]v_2024!F:I,3,FALSE)</f>
        <v>1</v>
      </c>
      <c r="D206" s="23">
        <f>VLOOKUP(A206,[1]v_2024!F:I,4,FALSE)</f>
        <v>2.93</v>
      </c>
      <c r="E206" s="21">
        <v>0</v>
      </c>
      <c r="F206" s="23">
        <v>0</v>
      </c>
      <c r="G206" s="24">
        <f t="shared" si="23"/>
        <v>0</v>
      </c>
      <c r="H206" s="21">
        <f t="shared" si="24"/>
        <v>1</v>
      </c>
      <c r="I206" s="23">
        <f t="shared" si="24"/>
        <v>2.93</v>
      </c>
      <c r="J206" s="21">
        <v>0</v>
      </c>
      <c r="K206" s="23">
        <v>0</v>
      </c>
      <c r="L206" s="21">
        <f t="shared" si="25"/>
        <v>1</v>
      </c>
      <c r="M206" s="25">
        <f t="shared" si="25"/>
        <v>2.93</v>
      </c>
      <c r="N206" s="26"/>
    </row>
    <row r="207" spans="1:14" x14ac:dyDescent="0.25">
      <c r="A207" s="21" t="s">
        <v>317</v>
      </c>
      <c r="B207" s="22" t="s">
        <v>316</v>
      </c>
      <c r="C207" s="21">
        <v>0</v>
      </c>
      <c r="D207" s="23">
        <v>0</v>
      </c>
      <c r="E207" s="21">
        <v>0</v>
      </c>
      <c r="F207" s="23">
        <v>0</v>
      </c>
      <c r="G207" s="24"/>
      <c r="H207" s="21">
        <f t="shared" si="24"/>
        <v>0</v>
      </c>
      <c r="I207" s="23">
        <f t="shared" si="24"/>
        <v>0</v>
      </c>
      <c r="J207" s="21">
        <v>0</v>
      </c>
      <c r="K207" s="23">
        <v>0</v>
      </c>
      <c r="L207" s="21">
        <f t="shared" si="25"/>
        <v>0</v>
      </c>
      <c r="M207" s="25">
        <f t="shared" si="25"/>
        <v>0</v>
      </c>
      <c r="N207" s="26"/>
    </row>
    <row r="208" spans="1:14" x14ac:dyDescent="0.25">
      <c r="A208" s="21" t="s">
        <v>319</v>
      </c>
      <c r="B208" s="22" t="s">
        <v>318</v>
      </c>
      <c r="C208" s="21">
        <f>VLOOKUP(A208,[1]v_2024!F:I,3,FALSE)</f>
        <v>13</v>
      </c>
      <c r="D208" s="23">
        <f>VLOOKUP(A208,[1]v_2024!F:I,4,FALSE)</f>
        <v>187.88</v>
      </c>
      <c r="E208" s="21">
        <v>0</v>
      </c>
      <c r="F208" s="23">
        <v>0</v>
      </c>
      <c r="G208" s="24">
        <f t="shared" si="23"/>
        <v>0</v>
      </c>
      <c r="H208" s="21">
        <f t="shared" si="24"/>
        <v>13</v>
      </c>
      <c r="I208" s="23">
        <f t="shared" si="24"/>
        <v>187.88</v>
      </c>
      <c r="J208" s="21">
        <f>VLOOKUP(A208,[1]v_2023!F:I,3,FALSE)</f>
        <v>14</v>
      </c>
      <c r="K208" s="23">
        <f>VLOOKUP(A208,[1]v_2023!F:I,4,FALSE)</f>
        <v>228.34</v>
      </c>
      <c r="L208" s="21">
        <f t="shared" si="25"/>
        <v>-1</v>
      </c>
      <c r="M208" s="25">
        <f t="shared" si="25"/>
        <v>-40.460000000000008</v>
      </c>
      <c r="N208" s="26">
        <f t="shared" ref="N208:N220" si="26">M208/K208</f>
        <v>-0.17719190680564073</v>
      </c>
    </row>
    <row r="209" spans="1:14" x14ac:dyDescent="0.25">
      <c r="A209" s="21" t="s">
        <v>321</v>
      </c>
      <c r="B209" s="22" t="s">
        <v>320</v>
      </c>
      <c r="C209" s="21">
        <v>0</v>
      </c>
      <c r="D209" s="23">
        <v>0</v>
      </c>
      <c r="E209" s="21">
        <v>0</v>
      </c>
      <c r="F209" s="23">
        <v>0</v>
      </c>
      <c r="G209" s="24"/>
      <c r="H209" s="21">
        <f t="shared" si="24"/>
        <v>0</v>
      </c>
      <c r="I209" s="23">
        <f t="shared" si="24"/>
        <v>0</v>
      </c>
      <c r="J209" s="21">
        <v>0</v>
      </c>
      <c r="K209" s="23">
        <v>0</v>
      </c>
      <c r="L209" s="21">
        <f t="shared" si="25"/>
        <v>0</v>
      </c>
      <c r="M209" s="25">
        <f t="shared" si="25"/>
        <v>0</v>
      </c>
      <c r="N209" s="26"/>
    </row>
    <row r="210" spans="1:14" x14ac:dyDescent="0.25">
      <c r="A210" s="21" t="s">
        <v>323</v>
      </c>
      <c r="B210" s="22" t="s">
        <v>322</v>
      </c>
      <c r="C210" s="21">
        <f>VLOOKUP(A210,[1]v_2024!F:I,3,FALSE)</f>
        <v>0</v>
      </c>
      <c r="D210" s="23">
        <f>VLOOKUP(A210,[1]v_2024!F:I,4,FALSE)</f>
        <v>0</v>
      </c>
      <c r="E210" s="21">
        <v>0</v>
      </c>
      <c r="F210" s="23">
        <v>0</v>
      </c>
      <c r="G210" s="24"/>
      <c r="H210" s="21">
        <f t="shared" si="24"/>
        <v>0</v>
      </c>
      <c r="I210" s="23">
        <f t="shared" si="24"/>
        <v>0</v>
      </c>
      <c r="J210" s="21">
        <f>VLOOKUP(A210,[1]v_2023!F:I,3,FALSE)</f>
        <v>6</v>
      </c>
      <c r="K210" s="23">
        <f>VLOOKUP(A210,[1]v_2023!F:I,4,FALSE)</f>
        <v>196.2</v>
      </c>
      <c r="L210" s="21">
        <f t="shared" si="25"/>
        <v>-6</v>
      </c>
      <c r="M210" s="25">
        <f t="shared" si="25"/>
        <v>-196.2</v>
      </c>
      <c r="N210" s="26">
        <f t="shared" si="26"/>
        <v>-1</v>
      </c>
    </row>
    <row r="211" spans="1:14" x14ac:dyDescent="0.25">
      <c r="A211" s="21" t="s">
        <v>325</v>
      </c>
      <c r="B211" s="22" t="s">
        <v>324</v>
      </c>
      <c r="C211" s="21">
        <f>VLOOKUP(A211,[1]v_2024!F:I,3,FALSE)</f>
        <v>4</v>
      </c>
      <c r="D211" s="23">
        <f>VLOOKUP(A211,[1]v_2024!F:I,4,FALSE)</f>
        <v>112.32</v>
      </c>
      <c r="E211" s="21">
        <v>0</v>
      </c>
      <c r="F211" s="23">
        <v>0</v>
      </c>
      <c r="G211" s="24">
        <f t="shared" si="23"/>
        <v>0</v>
      </c>
      <c r="H211" s="21">
        <f t="shared" si="24"/>
        <v>4</v>
      </c>
      <c r="I211" s="23">
        <f t="shared" si="24"/>
        <v>112.32</v>
      </c>
      <c r="J211" s="21">
        <f>VLOOKUP(A211,[1]v_2023!F:I,3,FALSE)</f>
        <v>1</v>
      </c>
      <c r="K211" s="23">
        <f>VLOOKUP(A211,[1]v_2023!F:I,4,FALSE)</f>
        <v>28.61</v>
      </c>
      <c r="L211" s="21">
        <f t="shared" si="25"/>
        <v>3</v>
      </c>
      <c r="M211" s="25">
        <f t="shared" si="25"/>
        <v>83.71</v>
      </c>
      <c r="N211" s="26">
        <f t="shared" si="26"/>
        <v>2.9259000349528135</v>
      </c>
    </row>
    <row r="212" spans="1:14" x14ac:dyDescent="0.25">
      <c r="A212" s="21" t="s">
        <v>327</v>
      </c>
      <c r="B212" s="22" t="s">
        <v>326</v>
      </c>
      <c r="C212" s="21">
        <v>0</v>
      </c>
      <c r="D212" s="23">
        <v>0</v>
      </c>
      <c r="E212" s="21">
        <v>0</v>
      </c>
      <c r="F212" s="23">
        <v>0</v>
      </c>
      <c r="G212" s="24"/>
      <c r="H212" s="21">
        <f t="shared" si="24"/>
        <v>0</v>
      </c>
      <c r="I212" s="23">
        <f t="shared" si="24"/>
        <v>0</v>
      </c>
      <c r="J212" s="21">
        <f>VLOOKUP(A212,[1]v_2023!F:I,3,FALSE)</f>
        <v>1</v>
      </c>
      <c r="K212" s="23">
        <f>VLOOKUP(A212,[1]v_2023!F:I,4,FALSE)</f>
        <v>56.23</v>
      </c>
      <c r="L212" s="21">
        <f t="shared" si="25"/>
        <v>-1</v>
      </c>
      <c r="M212" s="25">
        <f t="shared" si="25"/>
        <v>-56.23</v>
      </c>
      <c r="N212" s="26">
        <f t="shared" si="26"/>
        <v>-1</v>
      </c>
    </row>
    <row r="213" spans="1:14" x14ac:dyDescent="0.25">
      <c r="A213" s="21" t="s">
        <v>329</v>
      </c>
      <c r="B213" s="22" t="s">
        <v>328</v>
      </c>
      <c r="C213" s="21">
        <f>VLOOKUP(A213,[1]v_2024!F:I,3,FALSE)</f>
        <v>5</v>
      </c>
      <c r="D213" s="23">
        <f>VLOOKUP(A213,[1]v_2024!F:I,4,FALSE)</f>
        <v>79.12</v>
      </c>
      <c r="E213" s="21">
        <v>0</v>
      </c>
      <c r="F213" s="23">
        <v>0</v>
      </c>
      <c r="G213" s="24">
        <f t="shared" si="23"/>
        <v>0</v>
      </c>
      <c r="H213" s="21">
        <f t="shared" si="24"/>
        <v>5</v>
      </c>
      <c r="I213" s="23">
        <f t="shared" si="24"/>
        <v>79.12</v>
      </c>
      <c r="J213" s="21">
        <f>VLOOKUP(A213,[1]v_2023!F:I,3,FALSE)</f>
        <v>5</v>
      </c>
      <c r="K213" s="23">
        <f>VLOOKUP(A213,[1]v_2023!F:I,4,FALSE)</f>
        <v>86.76</v>
      </c>
      <c r="L213" s="21">
        <f t="shared" si="25"/>
        <v>0</v>
      </c>
      <c r="M213" s="25">
        <f t="shared" si="25"/>
        <v>-7.6400000000000006</v>
      </c>
      <c r="N213" s="26">
        <f t="shared" si="26"/>
        <v>-8.8059013370216696E-2</v>
      </c>
    </row>
    <row r="214" spans="1:14" x14ac:dyDescent="0.25">
      <c r="A214" s="21" t="s">
        <v>331</v>
      </c>
      <c r="B214" s="22" t="s">
        <v>330</v>
      </c>
      <c r="C214" s="21">
        <f>VLOOKUP(A214,[1]v_2024!F:I,3,FALSE)</f>
        <v>0</v>
      </c>
      <c r="D214" s="23">
        <f>VLOOKUP(A214,[1]v_2024!F:I,4,FALSE)</f>
        <v>0</v>
      </c>
      <c r="E214" s="21">
        <v>0</v>
      </c>
      <c r="F214" s="23">
        <v>0</v>
      </c>
      <c r="G214" s="24"/>
      <c r="H214" s="21">
        <f t="shared" si="24"/>
        <v>0</v>
      </c>
      <c r="I214" s="23">
        <f t="shared" si="24"/>
        <v>0</v>
      </c>
      <c r="J214" s="21">
        <f>VLOOKUP(A214,[1]v_2023!F:I,3,FALSE)</f>
        <v>2</v>
      </c>
      <c r="K214" s="23">
        <f>VLOOKUP(A214,[1]v_2023!F:I,4,FALSE)</f>
        <v>51.28</v>
      </c>
      <c r="L214" s="21">
        <f t="shared" si="25"/>
        <v>-2</v>
      </c>
      <c r="M214" s="25">
        <f t="shared" si="25"/>
        <v>-51.28</v>
      </c>
      <c r="N214" s="26">
        <f t="shared" si="26"/>
        <v>-1</v>
      </c>
    </row>
    <row r="215" spans="1:14" x14ac:dyDescent="0.25">
      <c r="A215" s="21" t="s">
        <v>333</v>
      </c>
      <c r="B215" s="22" t="s">
        <v>332</v>
      </c>
      <c r="C215" s="21">
        <f>VLOOKUP(A215,[1]v_2024!F:I,3,FALSE)</f>
        <v>8</v>
      </c>
      <c r="D215" s="23">
        <f>VLOOKUP(A215,[1]v_2024!F:I,4,FALSE)</f>
        <v>842.72</v>
      </c>
      <c r="E215" s="21">
        <v>0</v>
      </c>
      <c r="F215" s="23">
        <v>0</v>
      </c>
      <c r="G215" s="24">
        <f t="shared" ref="G215:G221" si="27">F215/I215</f>
        <v>0</v>
      </c>
      <c r="H215" s="21">
        <f t="shared" si="24"/>
        <v>8</v>
      </c>
      <c r="I215" s="23">
        <f t="shared" si="24"/>
        <v>842.72</v>
      </c>
      <c r="J215" s="21">
        <f>VLOOKUP(A215,[1]v_2023!F:I,3,FALSE)</f>
        <v>6</v>
      </c>
      <c r="K215" s="23">
        <f>VLOOKUP(A215,[1]v_2023!F:I,4,FALSE)</f>
        <v>551.73</v>
      </c>
      <c r="L215" s="21">
        <f t="shared" si="25"/>
        <v>2</v>
      </c>
      <c r="M215" s="25">
        <f t="shared" si="25"/>
        <v>290.99</v>
      </c>
      <c r="N215" s="26">
        <f t="shared" si="26"/>
        <v>0.52741377122868072</v>
      </c>
    </row>
    <row r="216" spans="1:14" x14ac:dyDescent="0.25">
      <c r="A216" s="21" t="s">
        <v>335</v>
      </c>
      <c r="B216" s="22" t="s">
        <v>334</v>
      </c>
      <c r="C216" s="21">
        <f>VLOOKUP(A216,[1]v_2024!F:I,3,FALSE)</f>
        <v>4</v>
      </c>
      <c r="D216" s="23">
        <f>VLOOKUP(A216,[1]v_2024!F:I,4,FALSE)</f>
        <v>314.75</v>
      </c>
      <c r="E216" s="21">
        <v>0</v>
      </c>
      <c r="F216" s="23">
        <v>0</v>
      </c>
      <c r="G216" s="24">
        <f t="shared" si="27"/>
        <v>0</v>
      </c>
      <c r="H216" s="21">
        <f t="shared" si="24"/>
        <v>4</v>
      </c>
      <c r="I216" s="23">
        <f t="shared" si="24"/>
        <v>314.75</v>
      </c>
      <c r="J216" s="21">
        <f>VLOOKUP(A216,[1]v_2023!F:I,3,FALSE)</f>
        <v>19</v>
      </c>
      <c r="K216" s="23">
        <f>VLOOKUP(A216,[1]v_2023!F:I,4,FALSE)</f>
        <v>1386.05</v>
      </c>
      <c r="L216" s="21">
        <f t="shared" si="25"/>
        <v>-15</v>
      </c>
      <c r="M216" s="25">
        <f t="shared" si="25"/>
        <v>-1071.3</v>
      </c>
      <c r="N216" s="26">
        <f t="shared" si="26"/>
        <v>-0.77291583997691282</v>
      </c>
    </row>
    <row r="217" spans="1:14" x14ac:dyDescent="0.25">
      <c r="A217" s="21" t="s">
        <v>337</v>
      </c>
      <c r="B217" s="22" t="s">
        <v>336</v>
      </c>
      <c r="C217" s="21">
        <f>VLOOKUP(A217,[1]v_2024!F:I,3,FALSE)</f>
        <v>1</v>
      </c>
      <c r="D217" s="23">
        <f>VLOOKUP(A217,[1]v_2024!F:I,4,FALSE)</f>
        <v>58.2</v>
      </c>
      <c r="E217" s="21">
        <v>0</v>
      </c>
      <c r="F217" s="23">
        <v>0</v>
      </c>
      <c r="G217" s="24">
        <f t="shared" si="27"/>
        <v>0</v>
      </c>
      <c r="H217" s="21">
        <f t="shared" si="24"/>
        <v>1</v>
      </c>
      <c r="I217" s="23">
        <f t="shared" si="24"/>
        <v>58.2</v>
      </c>
      <c r="J217" s="21">
        <f>VLOOKUP(A217,[1]v_2023!F:I,3,FALSE)</f>
        <v>7</v>
      </c>
      <c r="K217" s="23">
        <f>VLOOKUP(A217,[1]v_2023!F:I,4,FALSE)</f>
        <v>401.1</v>
      </c>
      <c r="L217" s="21">
        <f t="shared" si="25"/>
        <v>-6</v>
      </c>
      <c r="M217" s="25">
        <f t="shared" si="25"/>
        <v>-342.90000000000003</v>
      </c>
      <c r="N217" s="26">
        <f t="shared" si="26"/>
        <v>-0.85489902767389681</v>
      </c>
    </row>
    <row r="218" spans="1:14" x14ac:dyDescent="0.25">
      <c r="A218" s="21" t="s">
        <v>339</v>
      </c>
      <c r="B218" s="22" t="s">
        <v>338</v>
      </c>
      <c r="C218" s="21">
        <f>VLOOKUP(A218,[1]v_2024!F:I,3,FALSE)</f>
        <v>21</v>
      </c>
      <c r="D218" s="23">
        <f>VLOOKUP(A218,[1]v_2024!F:I,4,FALSE)</f>
        <v>549.39</v>
      </c>
      <c r="E218" s="21">
        <v>0</v>
      </c>
      <c r="F218" s="23">
        <v>0</v>
      </c>
      <c r="G218" s="24">
        <f t="shared" si="27"/>
        <v>0</v>
      </c>
      <c r="H218" s="21">
        <f t="shared" si="24"/>
        <v>21</v>
      </c>
      <c r="I218" s="23">
        <f t="shared" si="24"/>
        <v>549.39</v>
      </c>
      <c r="J218" s="21">
        <f>VLOOKUP(A218,[1]v_2023!F:I,3,FALSE)</f>
        <v>105</v>
      </c>
      <c r="K218" s="23">
        <f>VLOOKUP(A218,[1]v_2023!F:I,4,FALSE)</f>
        <v>2143.0500000000002</v>
      </c>
      <c r="L218" s="21">
        <f t="shared" si="25"/>
        <v>-84</v>
      </c>
      <c r="M218" s="25">
        <f t="shared" si="25"/>
        <v>-1593.6600000000003</v>
      </c>
      <c r="N218" s="26">
        <f t="shared" si="26"/>
        <v>-0.74364107230349275</v>
      </c>
    </row>
    <row r="219" spans="1:14" x14ac:dyDescent="0.25">
      <c r="A219" s="21" t="s">
        <v>341</v>
      </c>
      <c r="B219" s="22" t="s">
        <v>340</v>
      </c>
      <c r="C219" s="21">
        <f>VLOOKUP(A219,[1]v_2024!F:I,3,FALSE)</f>
        <v>20</v>
      </c>
      <c r="D219" s="23">
        <f>VLOOKUP(A219,[1]v_2024!F:I,4,FALSE)</f>
        <v>490.2</v>
      </c>
      <c r="E219" s="21">
        <v>0</v>
      </c>
      <c r="F219" s="23">
        <v>0</v>
      </c>
      <c r="G219" s="24">
        <f t="shared" si="27"/>
        <v>0</v>
      </c>
      <c r="H219" s="21">
        <f t="shared" si="24"/>
        <v>20</v>
      </c>
      <c r="I219" s="23">
        <f t="shared" si="24"/>
        <v>490.2</v>
      </c>
      <c r="J219" s="21">
        <f>VLOOKUP(A219,[1]v_2023!F:I,3,FALSE)</f>
        <v>53</v>
      </c>
      <c r="K219" s="23">
        <f>VLOOKUP(A219,[1]v_2023!F:I,4,FALSE)</f>
        <v>1299.03</v>
      </c>
      <c r="L219" s="21">
        <f t="shared" si="25"/>
        <v>-33</v>
      </c>
      <c r="M219" s="25">
        <f t="shared" si="25"/>
        <v>-808.82999999999993</v>
      </c>
      <c r="N219" s="26">
        <f t="shared" si="26"/>
        <v>-0.62264150943396224</v>
      </c>
    </row>
    <row r="220" spans="1:14" x14ac:dyDescent="0.25">
      <c r="A220" s="21" t="s">
        <v>343</v>
      </c>
      <c r="B220" s="22" t="s">
        <v>342</v>
      </c>
      <c r="C220" s="21">
        <f>VLOOKUP(A220,[1]v_2024!F:I,3,FALSE)</f>
        <v>28</v>
      </c>
      <c r="D220" s="23">
        <f>VLOOKUP(A220,[1]v_2024!F:I,4,FALSE)</f>
        <v>516.37</v>
      </c>
      <c r="E220" s="21">
        <v>0</v>
      </c>
      <c r="F220" s="23">
        <v>0</v>
      </c>
      <c r="G220" s="24">
        <f t="shared" si="27"/>
        <v>0</v>
      </c>
      <c r="H220" s="21">
        <f t="shared" si="24"/>
        <v>28</v>
      </c>
      <c r="I220" s="23">
        <f t="shared" si="24"/>
        <v>516.37</v>
      </c>
      <c r="J220" s="21">
        <f>VLOOKUP(A220,[1]v_2023!F:I,3,FALSE)</f>
        <v>26</v>
      </c>
      <c r="K220" s="23">
        <f>VLOOKUP(A220,[1]v_2023!F:I,4,FALSE)</f>
        <v>536.78</v>
      </c>
      <c r="L220" s="21">
        <f t="shared" si="25"/>
        <v>2</v>
      </c>
      <c r="M220" s="25">
        <f t="shared" si="25"/>
        <v>-20.409999999999968</v>
      </c>
      <c r="N220" s="26">
        <f t="shared" si="26"/>
        <v>-3.8023026193226221E-2</v>
      </c>
    </row>
    <row r="221" spans="1:14" x14ac:dyDescent="0.25">
      <c r="A221" s="21" t="s">
        <v>345</v>
      </c>
      <c r="B221" s="22" t="s">
        <v>344</v>
      </c>
      <c r="C221" s="21">
        <f>VLOOKUP(A221,[1]v_2024!F:I,3,FALSE)</f>
        <v>1</v>
      </c>
      <c r="D221" s="23">
        <f>VLOOKUP(A221,[1]v_2024!F:I,4,FALSE)</f>
        <v>49.1</v>
      </c>
      <c r="E221" s="21">
        <v>0</v>
      </c>
      <c r="F221" s="23">
        <v>0</v>
      </c>
      <c r="G221" s="24">
        <f t="shared" si="27"/>
        <v>0</v>
      </c>
      <c r="H221" s="21">
        <f t="shared" si="24"/>
        <v>1</v>
      </c>
      <c r="I221" s="23">
        <f t="shared" si="24"/>
        <v>49.1</v>
      </c>
      <c r="J221" s="21">
        <v>0</v>
      </c>
      <c r="K221" s="23">
        <v>0</v>
      </c>
      <c r="L221" s="21">
        <f t="shared" si="25"/>
        <v>1</v>
      </c>
      <c r="M221" s="25">
        <f t="shared" si="25"/>
        <v>49.1</v>
      </c>
      <c r="N221" s="26"/>
    </row>
    <row r="222" spans="1:14" x14ac:dyDescent="0.25">
      <c r="A222" s="21" t="s">
        <v>347</v>
      </c>
      <c r="B222" s="22" t="s">
        <v>346</v>
      </c>
      <c r="C222" s="21">
        <f>VLOOKUP(A222,[1]v_2024!F:I,3,FALSE)</f>
        <v>0</v>
      </c>
      <c r="D222" s="23">
        <f>VLOOKUP(A222,[1]v_2024!F:I,4,FALSE)</f>
        <v>0</v>
      </c>
      <c r="E222" s="21">
        <v>0</v>
      </c>
      <c r="F222" s="23">
        <v>0</v>
      </c>
      <c r="G222" s="24"/>
      <c r="H222" s="21">
        <f t="shared" si="24"/>
        <v>0</v>
      </c>
      <c r="I222" s="23">
        <f t="shared" si="24"/>
        <v>0</v>
      </c>
      <c r="J222" s="21">
        <f>VLOOKUP(A222,[1]v_2023!F:I,3,FALSE)</f>
        <v>55</v>
      </c>
      <c r="K222" s="23">
        <f>VLOOKUP(A222,[1]v_2023!F:I,4,FALSE)</f>
        <v>1090.33</v>
      </c>
      <c r="L222" s="21">
        <f t="shared" si="25"/>
        <v>-55</v>
      </c>
      <c r="M222" s="25">
        <f t="shared" si="25"/>
        <v>-1090.33</v>
      </c>
      <c r="N222" s="26">
        <f t="shared" ref="N222:N227" si="28">M222/K222</f>
        <v>-1</v>
      </c>
    </row>
    <row r="223" spans="1:14" x14ac:dyDescent="0.25">
      <c r="A223" s="21" t="s">
        <v>349</v>
      </c>
      <c r="B223" s="22" t="s">
        <v>348</v>
      </c>
      <c r="C223" s="21">
        <f>VLOOKUP(A223,[1]v_2024!F:I,3,FALSE)</f>
        <v>2</v>
      </c>
      <c r="D223" s="23">
        <f>VLOOKUP(A223,[1]v_2024!F:I,4,FALSE)</f>
        <v>12.32</v>
      </c>
      <c r="E223" s="21">
        <v>0</v>
      </c>
      <c r="F223" s="23">
        <v>0</v>
      </c>
      <c r="G223" s="24">
        <f>F223/I223</f>
        <v>0</v>
      </c>
      <c r="H223" s="21">
        <f t="shared" si="24"/>
        <v>2</v>
      </c>
      <c r="I223" s="23">
        <f t="shared" si="24"/>
        <v>12.32</v>
      </c>
      <c r="J223" s="21">
        <v>0</v>
      </c>
      <c r="K223" s="23">
        <v>0</v>
      </c>
      <c r="L223" s="21">
        <f t="shared" si="25"/>
        <v>2</v>
      </c>
      <c r="M223" s="25">
        <f t="shared" si="25"/>
        <v>12.32</v>
      </c>
      <c r="N223" s="26"/>
    </row>
    <row r="224" spans="1:14" x14ac:dyDescent="0.25">
      <c r="A224" s="21" t="s">
        <v>351</v>
      </c>
      <c r="B224" s="22" t="s">
        <v>350</v>
      </c>
      <c r="C224" s="21">
        <f>VLOOKUP(A224,[1]v_2024!F:I,3,FALSE)</f>
        <v>8</v>
      </c>
      <c r="D224" s="23">
        <f>VLOOKUP(A224,[1]v_2024!F:I,4,FALSE)</f>
        <v>115.44</v>
      </c>
      <c r="E224" s="21">
        <v>0</v>
      </c>
      <c r="F224" s="23">
        <v>0</v>
      </c>
      <c r="G224" s="24">
        <f>F224/I224</f>
        <v>0</v>
      </c>
      <c r="H224" s="21">
        <f t="shared" si="24"/>
        <v>8</v>
      </c>
      <c r="I224" s="23">
        <f t="shared" si="24"/>
        <v>115.44</v>
      </c>
      <c r="J224" s="21">
        <f>VLOOKUP(A224,[1]v_2023!F:I,3,FALSE)</f>
        <v>10</v>
      </c>
      <c r="K224" s="23">
        <f>VLOOKUP(A224,[1]v_2023!F:I,4,FALSE)</f>
        <v>140.69</v>
      </c>
      <c r="L224" s="21">
        <f t="shared" si="25"/>
        <v>-2</v>
      </c>
      <c r="M224" s="25">
        <f t="shared" si="25"/>
        <v>-25.25</v>
      </c>
      <c r="N224" s="26">
        <f t="shared" si="28"/>
        <v>-0.17947259933186438</v>
      </c>
    </row>
    <row r="225" spans="1:14" x14ac:dyDescent="0.25">
      <c r="A225" s="21" t="s">
        <v>353</v>
      </c>
      <c r="B225" s="22" t="s">
        <v>352</v>
      </c>
      <c r="C225" s="21">
        <v>0</v>
      </c>
      <c r="D225" s="23">
        <v>0</v>
      </c>
      <c r="E225" s="21">
        <v>0</v>
      </c>
      <c r="F225" s="23">
        <v>0</v>
      </c>
      <c r="G225" s="24"/>
      <c r="H225" s="21">
        <f t="shared" si="24"/>
        <v>0</v>
      </c>
      <c r="I225" s="23">
        <f t="shared" si="24"/>
        <v>0</v>
      </c>
      <c r="J225" s="21">
        <f>VLOOKUP(A225,[1]v_2023!F:I,3,FALSE)</f>
        <v>1</v>
      </c>
      <c r="K225" s="23">
        <f>VLOOKUP(A225,[1]v_2023!F:I,4,FALSE)</f>
        <v>70.88</v>
      </c>
      <c r="L225" s="21">
        <f t="shared" si="25"/>
        <v>-1</v>
      </c>
      <c r="M225" s="25">
        <f t="shared" si="25"/>
        <v>-70.88</v>
      </c>
      <c r="N225" s="26">
        <f t="shared" si="28"/>
        <v>-1</v>
      </c>
    </row>
    <row r="226" spans="1:14" x14ac:dyDescent="0.25">
      <c r="A226" s="21" t="s">
        <v>355</v>
      </c>
      <c r="B226" s="22" t="s">
        <v>354</v>
      </c>
      <c r="C226" s="21">
        <f>VLOOKUP(A226,[1]v_2024!F:I,3,FALSE)</f>
        <v>0</v>
      </c>
      <c r="D226" s="23">
        <f>VLOOKUP(A226,[1]v_2024!F:I,4,FALSE)</f>
        <v>0</v>
      </c>
      <c r="E226" s="21">
        <v>0</v>
      </c>
      <c r="F226" s="23">
        <v>0</v>
      </c>
      <c r="G226" s="24"/>
      <c r="H226" s="21">
        <f t="shared" si="24"/>
        <v>0</v>
      </c>
      <c r="I226" s="23">
        <f t="shared" si="24"/>
        <v>0</v>
      </c>
      <c r="J226" s="21">
        <f>VLOOKUP(A226,[1]v_2023!F:I,3,FALSE)</f>
        <v>1</v>
      </c>
      <c r="K226" s="23">
        <f>VLOOKUP(A226,[1]v_2023!F:I,4,FALSE)</f>
        <v>30.37</v>
      </c>
      <c r="L226" s="21">
        <f t="shared" si="25"/>
        <v>-1</v>
      </c>
      <c r="M226" s="25">
        <f t="shared" si="25"/>
        <v>-30.37</v>
      </c>
      <c r="N226" s="26">
        <f t="shared" si="28"/>
        <v>-1</v>
      </c>
    </row>
    <row r="227" spans="1:14" x14ac:dyDescent="0.25">
      <c r="A227" s="21" t="s">
        <v>357</v>
      </c>
      <c r="B227" s="22" t="s">
        <v>356</v>
      </c>
      <c r="C227" s="21">
        <f>VLOOKUP(A227,[1]v_2024!F:I,3,FALSE)</f>
        <v>1</v>
      </c>
      <c r="D227" s="23">
        <f>VLOOKUP(A227,[1]v_2024!F:I,4,FALSE)</f>
        <v>98.22</v>
      </c>
      <c r="E227" s="21">
        <v>0</v>
      </c>
      <c r="F227" s="23">
        <v>0</v>
      </c>
      <c r="G227" s="24">
        <f t="shared" ref="G227:G284" si="29">F227/I227</f>
        <v>0</v>
      </c>
      <c r="H227" s="21">
        <f t="shared" si="24"/>
        <v>1</v>
      </c>
      <c r="I227" s="23">
        <f t="shared" si="24"/>
        <v>98.22</v>
      </c>
      <c r="J227" s="21">
        <f>VLOOKUP(A227,[1]v_2023!F:I,3,FALSE)</f>
        <v>13</v>
      </c>
      <c r="K227" s="23">
        <f>VLOOKUP(A227,[1]v_2023!F:I,4,FALSE)</f>
        <v>948.35</v>
      </c>
      <c r="L227" s="21">
        <f t="shared" si="25"/>
        <v>-12</v>
      </c>
      <c r="M227" s="25">
        <f t="shared" si="25"/>
        <v>-850.13</v>
      </c>
      <c r="N227" s="26">
        <f t="shared" si="28"/>
        <v>-0.89643064269520745</v>
      </c>
    </row>
    <row r="228" spans="1:14" x14ac:dyDescent="0.25">
      <c r="A228" s="21" t="s">
        <v>359</v>
      </c>
      <c r="B228" s="22" t="s">
        <v>358</v>
      </c>
      <c r="C228" s="21">
        <v>0</v>
      </c>
      <c r="D228" s="23">
        <v>0</v>
      </c>
      <c r="E228" s="21">
        <v>0</v>
      </c>
      <c r="F228" s="23">
        <v>0</v>
      </c>
      <c r="G228" s="24"/>
      <c r="H228" s="21">
        <f t="shared" si="24"/>
        <v>0</v>
      </c>
      <c r="I228" s="23">
        <f t="shared" si="24"/>
        <v>0</v>
      </c>
      <c r="J228" s="21">
        <v>0</v>
      </c>
      <c r="K228" s="23">
        <v>0</v>
      </c>
      <c r="L228" s="21">
        <f t="shared" si="25"/>
        <v>0</v>
      </c>
      <c r="M228" s="25">
        <f t="shared" si="25"/>
        <v>0</v>
      </c>
      <c r="N228" s="26"/>
    </row>
    <row r="229" spans="1:14" x14ac:dyDescent="0.25">
      <c r="A229" s="21" t="s">
        <v>361</v>
      </c>
      <c r="B229" s="22" t="s">
        <v>360</v>
      </c>
      <c r="C229" s="21">
        <f>VLOOKUP(A229,[1]v_2024!F:I,3,FALSE)</f>
        <v>92</v>
      </c>
      <c r="D229" s="23">
        <f>VLOOKUP(A229,[1]v_2024!F:I,4,FALSE)</f>
        <v>1274.2</v>
      </c>
      <c r="E229" s="21">
        <f>VLOOKUP(A229,[1]s_2024!E:G,2,FALSE)</f>
        <v>1</v>
      </c>
      <c r="F229" s="23">
        <f>VLOOKUP(A229,[1]s_2024!E:G,3,FALSE)</f>
        <v>24.9</v>
      </c>
      <c r="G229" s="24">
        <f t="shared" si="29"/>
        <v>1.9167115695481483E-2</v>
      </c>
      <c r="H229" s="21">
        <f t="shared" si="24"/>
        <v>93</v>
      </c>
      <c r="I229" s="23">
        <f t="shared" si="24"/>
        <v>1299.1000000000001</v>
      </c>
      <c r="J229" s="21">
        <f>VLOOKUP(A229,[1]v_2023!F:I,3,FALSE)</f>
        <v>208</v>
      </c>
      <c r="K229" s="23">
        <f>VLOOKUP(A229,[1]v_2023!F:I,4,FALSE)</f>
        <v>3392.48</v>
      </c>
      <c r="L229" s="21">
        <f t="shared" si="25"/>
        <v>-115</v>
      </c>
      <c r="M229" s="25">
        <f t="shared" si="25"/>
        <v>-2093.38</v>
      </c>
      <c r="N229" s="26">
        <f t="shared" ref="N229:N246" si="30">M229/K229</f>
        <v>-0.61706480215063908</v>
      </c>
    </row>
    <row r="230" spans="1:14" x14ac:dyDescent="0.25">
      <c r="A230" s="21" t="s">
        <v>363</v>
      </c>
      <c r="B230" s="22" t="s">
        <v>362</v>
      </c>
      <c r="C230" s="21">
        <v>0</v>
      </c>
      <c r="D230" s="23">
        <v>0</v>
      </c>
      <c r="E230" s="21">
        <v>0</v>
      </c>
      <c r="F230" s="23">
        <v>0</v>
      </c>
      <c r="G230" s="24"/>
      <c r="H230" s="21">
        <f t="shared" si="24"/>
        <v>0</v>
      </c>
      <c r="I230" s="23">
        <f t="shared" si="24"/>
        <v>0</v>
      </c>
      <c r="J230" s="21">
        <v>0</v>
      </c>
      <c r="K230" s="23">
        <v>0</v>
      </c>
      <c r="L230" s="21">
        <f t="shared" si="25"/>
        <v>0</v>
      </c>
      <c r="M230" s="25">
        <f t="shared" si="25"/>
        <v>0</v>
      </c>
      <c r="N230" s="26"/>
    </row>
    <row r="231" spans="1:14" x14ac:dyDescent="0.25">
      <c r="A231" s="21" t="s">
        <v>365</v>
      </c>
      <c r="B231" s="22" t="s">
        <v>364</v>
      </c>
      <c r="C231" s="21">
        <f>VLOOKUP(A231,[1]v_2024!F:I,3,FALSE)</f>
        <v>12</v>
      </c>
      <c r="D231" s="23">
        <f>VLOOKUP(A231,[1]v_2024!F:I,4,FALSE)</f>
        <v>451.55</v>
      </c>
      <c r="E231" s="21">
        <v>0</v>
      </c>
      <c r="F231" s="23">
        <v>0</v>
      </c>
      <c r="G231" s="24">
        <f t="shared" si="29"/>
        <v>0</v>
      </c>
      <c r="H231" s="21">
        <f t="shared" si="24"/>
        <v>12</v>
      </c>
      <c r="I231" s="23">
        <f t="shared" si="24"/>
        <v>451.55</v>
      </c>
      <c r="J231" s="21">
        <f>VLOOKUP(A231,[1]v_2023!F:I,3,FALSE)</f>
        <v>23</v>
      </c>
      <c r="K231" s="23">
        <f>VLOOKUP(A231,[1]v_2023!F:I,4,FALSE)</f>
        <v>906.26</v>
      </c>
      <c r="L231" s="21">
        <f t="shared" si="25"/>
        <v>-11</v>
      </c>
      <c r="M231" s="25">
        <f t="shared" si="25"/>
        <v>-454.71</v>
      </c>
      <c r="N231" s="26">
        <f t="shared" si="30"/>
        <v>-0.50174342903802438</v>
      </c>
    </row>
    <row r="232" spans="1:14" x14ac:dyDescent="0.25">
      <c r="A232" s="21" t="s">
        <v>367</v>
      </c>
      <c r="B232" s="22" t="s">
        <v>366</v>
      </c>
      <c r="C232" s="21">
        <f>VLOOKUP(A232,[1]v_2024!F:I,3,FALSE)</f>
        <v>6</v>
      </c>
      <c r="D232" s="23">
        <f>VLOOKUP(A232,[1]v_2024!F:I,4,FALSE)</f>
        <v>154.62</v>
      </c>
      <c r="E232" s="21">
        <v>0</v>
      </c>
      <c r="F232" s="23">
        <v>0</v>
      </c>
      <c r="G232" s="24">
        <f t="shared" si="29"/>
        <v>0</v>
      </c>
      <c r="H232" s="21">
        <f t="shared" si="24"/>
        <v>6</v>
      </c>
      <c r="I232" s="23">
        <f t="shared" si="24"/>
        <v>154.62</v>
      </c>
      <c r="J232" s="21">
        <f>VLOOKUP(A232,[1]v_2023!F:I,3,FALSE)</f>
        <v>15</v>
      </c>
      <c r="K232" s="23">
        <f>VLOOKUP(A232,[1]v_2023!F:I,4,FALSE)</f>
        <v>367.65</v>
      </c>
      <c r="L232" s="21">
        <f t="shared" si="25"/>
        <v>-9</v>
      </c>
      <c r="M232" s="25">
        <f t="shared" si="25"/>
        <v>-213.02999999999997</v>
      </c>
      <c r="N232" s="26">
        <f t="shared" si="30"/>
        <v>-0.57943696450428395</v>
      </c>
    </row>
    <row r="233" spans="1:14" x14ac:dyDescent="0.25">
      <c r="A233" s="21" t="s">
        <v>369</v>
      </c>
      <c r="B233" s="22" t="s">
        <v>368</v>
      </c>
      <c r="C233" s="21">
        <f>VLOOKUP(A233,[1]v_2024!F:I,3,FALSE)</f>
        <v>222</v>
      </c>
      <c r="D233" s="23">
        <f>VLOOKUP(A233,[1]v_2024!F:I,4,FALSE)</f>
        <v>2397.59</v>
      </c>
      <c r="E233" s="21">
        <v>0</v>
      </c>
      <c r="F233" s="23">
        <v>0</v>
      </c>
      <c r="G233" s="24">
        <f t="shared" si="29"/>
        <v>0</v>
      </c>
      <c r="H233" s="21">
        <f t="shared" si="24"/>
        <v>222</v>
      </c>
      <c r="I233" s="23">
        <f t="shared" si="24"/>
        <v>2397.59</v>
      </c>
      <c r="J233" s="21">
        <f>VLOOKUP(A233,[1]v_2023!F:I,3,FALSE)</f>
        <v>1584</v>
      </c>
      <c r="K233" s="23">
        <f>VLOOKUP(A233,[1]v_2023!F:I,4,FALSE)</f>
        <v>12846.24</v>
      </c>
      <c r="L233" s="21">
        <f t="shared" si="25"/>
        <v>-1362</v>
      </c>
      <c r="M233" s="25">
        <f t="shared" si="25"/>
        <v>-10448.65</v>
      </c>
      <c r="N233" s="26">
        <f t="shared" si="30"/>
        <v>-0.81336250918556707</v>
      </c>
    </row>
    <row r="234" spans="1:14" x14ac:dyDescent="0.25">
      <c r="A234" s="21" t="s">
        <v>371</v>
      </c>
      <c r="B234" s="22" t="s">
        <v>370</v>
      </c>
      <c r="C234" s="21">
        <f>VLOOKUP(A234,[1]v_2024!F:I,3,FALSE)</f>
        <v>6</v>
      </c>
      <c r="D234" s="23">
        <f>VLOOKUP(A234,[1]v_2024!F:I,4,FALSE)</f>
        <v>196.2</v>
      </c>
      <c r="E234" s="21">
        <v>0</v>
      </c>
      <c r="F234" s="23">
        <v>0</v>
      </c>
      <c r="G234" s="24">
        <f t="shared" si="29"/>
        <v>0</v>
      </c>
      <c r="H234" s="21">
        <f t="shared" si="24"/>
        <v>6</v>
      </c>
      <c r="I234" s="23">
        <f t="shared" si="24"/>
        <v>196.2</v>
      </c>
      <c r="J234" s="21">
        <f>VLOOKUP(A234,[1]v_2023!F:I,3,FALSE)</f>
        <v>32</v>
      </c>
      <c r="K234" s="23">
        <f>VLOOKUP(A234,[1]v_2023!F:I,4,FALSE)</f>
        <v>1046.4000000000001</v>
      </c>
      <c r="L234" s="21">
        <f t="shared" si="25"/>
        <v>-26</v>
      </c>
      <c r="M234" s="25">
        <f t="shared" si="25"/>
        <v>-850.2</v>
      </c>
      <c r="N234" s="26">
        <f t="shared" si="30"/>
        <v>-0.8125</v>
      </c>
    </row>
    <row r="235" spans="1:14" x14ac:dyDescent="0.25">
      <c r="A235" s="21" t="s">
        <v>373</v>
      </c>
      <c r="B235" s="22" t="s">
        <v>372</v>
      </c>
      <c r="C235" s="21">
        <v>0</v>
      </c>
      <c r="D235" s="23">
        <v>0</v>
      </c>
      <c r="E235" s="21">
        <v>0</v>
      </c>
      <c r="F235" s="23">
        <v>0</v>
      </c>
      <c r="G235" s="24"/>
      <c r="H235" s="21">
        <f t="shared" si="24"/>
        <v>0</v>
      </c>
      <c r="I235" s="23">
        <f t="shared" si="24"/>
        <v>0</v>
      </c>
      <c r="J235" s="21">
        <v>0</v>
      </c>
      <c r="K235" s="23">
        <v>0</v>
      </c>
      <c r="L235" s="21">
        <f t="shared" si="25"/>
        <v>0</v>
      </c>
      <c r="M235" s="25">
        <f t="shared" si="25"/>
        <v>0</v>
      </c>
      <c r="N235" s="26"/>
    </row>
    <row r="236" spans="1:14" x14ac:dyDescent="0.25">
      <c r="A236" s="21" t="s">
        <v>375</v>
      </c>
      <c r="B236" s="22" t="s">
        <v>374</v>
      </c>
      <c r="C236" s="21">
        <f>VLOOKUP(A236,[1]v_2024!F:I,3,FALSE)</f>
        <v>7</v>
      </c>
      <c r="D236" s="23">
        <f>VLOOKUP(A236,[1]v_2024!F:I,4,FALSE)</f>
        <v>131.65</v>
      </c>
      <c r="E236" s="21">
        <v>0</v>
      </c>
      <c r="F236" s="23">
        <v>0</v>
      </c>
      <c r="G236" s="24">
        <f t="shared" si="29"/>
        <v>0</v>
      </c>
      <c r="H236" s="21">
        <f t="shared" si="24"/>
        <v>7</v>
      </c>
      <c r="I236" s="23">
        <f t="shared" si="24"/>
        <v>131.65</v>
      </c>
      <c r="J236" s="21">
        <f>VLOOKUP(A236,[1]v_2023!F:I,3,FALSE)</f>
        <v>60</v>
      </c>
      <c r="K236" s="23">
        <f>VLOOKUP(A236,[1]v_2023!F:I,4,FALSE)</f>
        <v>978.6</v>
      </c>
      <c r="L236" s="21">
        <f t="shared" si="25"/>
        <v>-53</v>
      </c>
      <c r="M236" s="25">
        <f t="shared" si="25"/>
        <v>-846.95</v>
      </c>
      <c r="N236" s="26">
        <f t="shared" si="30"/>
        <v>-0.86547108113631721</v>
      </c>
    </row>
    <row r="237" spans="1:14" x14ac:dyDescent="0.25">
      <c r="A237" s="21" t="s">
        <v>377</v>
      </c>
      <c r="B237" s="22" t="s">
        <v>376</v>
      </c>
      <c r="C237" s="21">
        <f>VLOOKUP(A237,[1]v_2024!F:I,3,FALSE)</f>
        <v>5</v>
      </c>
      <c r="D237" s="23">
        <f>VLOOKUP(A237,[1]v_2024!F:I,4,FALSE)</f>
        <v>93.85</v>
      </c>
      <c r="E237" s="21">
        <v>0</v>
      </c>
      <c r="F237" s="23">
        <v>0</v>
      </c>
      <c r="G237" s="24">
        <f t="shared" si="29"/>
        <v>0</v>
      </c>
      <c r="H237" s="21">
        <f t="shared" si="24"/>
        <v>5</v>
      </c>
      <c r="I237" s="23">
        <f t="shared" si="24"/>
        <v>93.85</v>
      </c>
      <c r="J237" s="21">
        <f>VLOOKUP(A237,[1]v_2023!F:I,3,FALSE)</f>
        <v>22</v>
      </c>
      <c r="K237" s="23">
        <f>VLOOKUP(A237,[1]v_2023!F:I,4,FALSE)</f>
        <v>358.82</v>
      </c>
      <c r="L237" s="21">
        <f t="shared" si="25"/>
        <v>-17</v>
      </c>
      <c r="M237" s="25">
        <f t="shared" si="25"/>
        <v>-264.97000000000003</v>
      </c>
      <c r="N237" s="26">
        <f t="shared" si="30"/>
        <v>-0.73844824703193812</v>
      </c>
    </row>
    <row r="238" spans="1:14" x14ac:dyDescent="0.25">
      <c r="A238" s="21" t="s">
        <v>379</v>
      </c>
      <c r="B238" s="22" t="s">
        <v>378</v>
      </c>
      <c r="C238" s="21">
        <f>VLOOKUP(A238,[1]v_2024!F:I,3,FALSE)</f>
        <v>11</v>
      </c>
      <c r="D238" s="23">
        <f>VLOOKUP(A238,[1]v_2024!F:I,4,FALSE)</f>
        <v>206.47</v>
      </c>
      <c r="E238" s="21">
        <f>VLOOKUP(A238,[1]s_2024!E:G,2,FALSE)</f>
        <v>14</v>
      </c>
      <c r="F238" s="23">
        <f>VLOOKUP(A238,[1]s_2024!E:G,3,FALSE)</f>
        <v>348.6</v>
      </c>
      <c r="G238" s="24">
        <f t="shared" si="29"/>
        <v>0.62802889725620192</v>
      </c>
      <c r="H238" s="21">
        <f t="shared" si="24"/>
        <v>25</v>
      </c>
      <c r="I238" s="23">
        <f t="shared" si="24"/>
        <v>555.07000000000005</v>
      </c>
      <c r="J238" s="21">
        <f>VLOOKUP(A238,[1]v_2023!F:I,3,FALSE)</f>
        <v>79</v>
      </c>
      <c r="K238" s="23">
        <f>VLOOKUP(A238,[1]v_2023!F:I,4,FALSE)</f>
        <v>1288.49</v>
      </c>
      <c r="L238" s="21">
        <f t="shared" si="25"/>
        <v>-54</v>
      </c>
      <c r="M238" s="25">
        <f t="shared" si="25"/>
        <v>-733.42</v>
      </c>
      <c r="N238" s="26">
        <f t="shared" si="30"/>
        <v>-0.56920891896716308</v>
      </c>
    </row>
    <row r="239" spans="1:14" x14ac:dyDescent="0.25">
      <c r="A239" s="21" t="s">
        <v>381</v>
      </c>
      <c r="B239" s="22" t="s">
        <v>380</v>
      </c>
      <c r="C239" s="21">
        <f>VLOOKUP(A239,[1]v_2024!F:I,3,FALSE)</f>
        <v>2</v>
      </c>
      <c r="D239" s="23">
        <f>VLOOKUP(A239,[1]v_2024!F:I,4,FALSE)</f>
        <v>87.72</v>
      </c>
      <c r="E239" s="21">
        <v>0</v>
      </c>
      <c r="F239" s="23">
        <v>0</v>
      </c>
      <c r="G239" s="24">
        <f t="shared" si="29"/>
        <v>0</v>
      </c>
      <c r="H239" s="21">
        <f t="shared" si="24"/>
        <v>2</v>
      </c>
      <c r="I239" s="23">
        <f t="shared" si="24"/>
        <v>87.72</v>
      </c>
      <c r="J239" s="21">
        <f>VLOOKUP(A239,[1]v_2023!F:I,3,FALSE)</f>
        <v>7</v>
      </c>
      <c r="K239" s="23">
        <f>VLOOKUP(A239,[1]v_2023!F:I,4,FALSE)</f>
        <v>276.7</v>
      </c>
      <c r="L239" s="21">
        <f t="shared" si="25"/>
        <v>-5</v>
      </c>
      <c r="M239" s="25">
        <f t="shared" si="25"/>
        <v>-188.98</v>
      </c>
      <c r="N239" s="26">
        <f t="shared" si="30"/>
        <v>-0.68297795446331766</v>
      </c>
    </row>
    <row r="240" spans="1:14" x14ac:dyDescent="0.25">
      <c r="A240" s="21" t="s">
        <v>383</v>
      </c>
      <c r="B240" s="22" t="s">
        <v>382</v>
      </c>
      <c r="C240" s="21">
        <f>VLOOKUP(A240,[1]v_2024!F:I,3,FALSE)</f>
        <v>4</v>
      </c>
      <c r="D240" s="23">
        <f>VLOOKUP(A240,[1]v_2024!F:I,4,FALSE)</f>
        <v>52.72</v>
      </c>
      <c r="E240" s="21">
        <v>0</v>
      </c>
      <c r="F240" s="23">
        <v>0</v>
      </c>
      <c r="G240" s="24">
        <f t="shared" si="29"/>
        <v>0</v>
      </c>
      <c r="H240" s="21">
        <f t="shared" si="24"/>
        <v>4</v>
      </c>
      <c r="I240" s="23">
        <f t="shared" si="24"/>
        <v>52.72</v>
      </c>
      <c r="J240" s="21">
        <f>VLOOKUP(A240,[1]v_2023!F:I,3,FALSE)</f>
        <v>4</v>
      </c>
      <c r="K240" s="23">
        <f>VLOOKUP(A240,[1]v_2023!F:I,4,FALSE)</f>
        <v>65.239999999999995</v>
      </c>
      <c r="L240" s="21">
        <f t="shared" si="25"/>
        <v>0</v>
      </c>
      <c r="M240" s="25">
        <f t="shared" si="25"/>
        <v>-12.519999999999996</v>
      </c>
      <c r="N240" s="26">
        <f t="shared" si="30"/>
        <v>-0.19190680564071116</v>
      </c>
    </row>
    <row r="241" spans="1:14" x14ac:dyDescent="0.25">
      <c r="A241" s="21" t="s">
        <v>385</v>
      </c>
      <c r="B241" s="22" t="s">
        <v>384</v>
      </c>
      <c r="C241" s="21">
        <f>VLOOKUP(A241,[1]v_2024!F:I,3,FALSE)</f>
        <v>100</v>
      </c>
      <c r="D241" s="23">
        <f>VLOOKUP(A241,[1]v_2024!F:I,4,FALSE)</f>
        <v>1631</v>
      </c>
      <c r="E241" s="21">
        <f>VLOOKUP(A241,[1]s_2024!E:G,2,FALSE)</f>
        <v>17</v>
      </c>
      <c r="F241" s="23">
        <f>VLOOKUP(A241,[1]s_2024!E:G,3,FALSE)</f>
        <v>418.80999999999989</v>
      </c>
      <c r="G241" s="24">
        <f t="shared" si="29"/>
        <v>0.20431649762660925</v>
      </c>
      <c r="H241" s="21">
        <f t="shared" si="24"/>
        <v>117</v>
      </c>
      <c r="I241" s="23">
        <f t="shared" si="24"/>
        <v>2049.81</v>
      </c>
      <c r="J241" s="21">
        <f>VLOOKUP(A241,[1]v_2023!F:I,3,FALSE)</f>
        <v>828</v>
      </c>
      <c r="K241" s="23">
        <f>VLOOKUP(A241,[1]v_2023!F:I,4,FALSE)</f>
        <v>13504.68</v>
      </c>
      <c r="L241" s="21">
        <f t="shared" si="25"/>
        <v>-711</v>
      </c>
      <c r="M241" s="25">
        <f t="shared" si="25"/>
        <v>-11454.87</v>
      </c>
      <c r="N241" s="26">
        <f t="shared" si="30"/>
        <v>-0.84821484107731548</v>
      </c>
    </row>
    <row r="242" spans="1:14" x14ac:dyDescent="0.25">
      <c r="A242" s="21" t="s">
        <v>387</v>
      </c>
      <c r="B242" s="22" t="s">
        <v>386</v>
      </c>
      <c r="C242" s="21">
        <v>0</v>
      </c>
      <c r="D242" s="23">
        <v>0</v>
      </c>
      <c r="E242" s="21">
        <v>0</v>
      </c>
      <c r="F242" s="23">
        <v>0</v>
      </c>
      <c r="G242" s="24"/>
      <c r="H242" s="21">
        <f t="shared" si="24"/>
        <v>0</v>
      </c>
      <c r="I242" s="23">
        <f t="shared" si="24"/>
        <v>0</v>
      </c>
      <c r="J242" s="21">
        <f>VLOOKUP(A242,[1]v_2023!F:I,3,FALSE)</f>
        <v>3</v>
      </c>
      <c r="K242" s="23">
        <f>VLOOKUP(A242,[1]v_2023!F:I,4,FALSE)</f>
        <v>122.7</v>
      </c>
      <c r="L242" s="21">
        <f t="shared" si="25"/>
        <v>-3</v>
      </c>
      <c r="M242" s="25">
        <f t="shared" si="25"/>
        <v>-122.7</v>
      </c>
      <c r="N242" s="26">
        <f t="shared" si="30"/>
        <v>-1</v>
      </c>
    </row>
    <row r="243" spans="1:14" x14ac:dyDescent="0.25">
      <c r="A243" s="21" t="s">
        <v>389</v>
      </c>
      <c r="B243" s="22" t="s">
        <v>388</v>
      </c>
      <c r="C243" s="21">
        <f>VLOOKUP(A243,[1]v_2024!F:I,3,FALSE)</f>
        <v>9</v>
      </c>
      <c r="D243" s="23">
        <f>VLOOKUP(A243,[1]v_2024!F:I,4,FALSE)</f>
        <v>72.989999999999995</v>
      </c>
      <c r="E243" s="21">
        <v>0</v>
      </c>
      <c r="F243" s="23">
        <v>0</v>
      </c>
      <c r="G243" s="24">
        <f t="shared" si="29"/>
        <v>0</v>
      </c>
      <c r="H243" s="21">
        <f t="shared" si="24"/>
        <v>9</v>
      </c>
      <c r="I243" s="23">
        <f t="shared" si="24"/>
        <v>72.989999999999995</v>
      </c>
      <c r="J243" s="21">
        <f>VLOOKUP(A243,[1]v_2023!F:I,3,FALSE)</f>
        <v>27</v>
      </c>
      <c r="K243" s="23">
        <f>VLOOKUP(A243,[1]v_2023!F:I,4,FALSE)</f>
        <v>218.97</v>
      </c>
      <c r="L243" s="21">
        <f t="shared" si="25"/>
        <v>-18</v>
      </c>
      <c r="M243" s="25">
        <f t="shared" si="25"/>
        <v>-145.98000000000002</v>
      </c>
      <c r="N243" s="26">
        <f t="shared" si="30"/>
        <v>-0.66666666666666674</v>
      </c>
    </row>
    <row r="244" spans="1:14" x14ac:dyDescent="0.25">
      <c r="A244" s="21" t="s">
        <v>391</v>
      </c>
      <c r="B244" s="22" t="s">
        <v>390</v>
      </c>
      <c r="C244" s="21">
        <f>VLOOKUP(A244,[1]v_2024!F:I,3,FALSE)</f>
        <v>57</v>
      </c>
      <c r="D244" s="23">
        <f>VLOOKUP(A244,[1]v_2024!F:I,4,FALSE)</f>
        <v>5001.34</v>
      </c>
      <c r="E244" s="21">
        <v>0</v>
      </c>
      <c r="F244" s="23">
        <v>0</v>
      </c>
      <c r="G244" s="24">
        <f t="shared" si="29"/>
        <v>0</v>
      </c>
      <c r="H244" s="21">
        <f t="shared" si="24"/>
        <v>57</v>
      </c>
      <c r="I244" s="23">
        <f t="shared" si="24"/>
        <v>5001.34</v>
      </c>
      <c r="J244" s="21">
        <f>VLOOKUP(A244,[1]v_2023!F:I,3,FALSE)</f>
        <v>13</v>
      </c>
      <c r="K244" s="23">
        <f>VLOOKUP(A244,[1]v_2023!F:I,4,FALSE)</f>
        <v>1278.33</v>
      </c>
      <c r="L244" s="21">
        <f t="shared" si="25"/>
        <v>44</v>
      </c>
      <c r="M244" s="25">
        <f t="shared" si="25"/>
        <v>3723.01</v>
      </c>
      <c r="N244" s="26">
        <f t="shared" si="30"/>
        <v>2.9124013361182173</v>
      </c>
    </row>
    <row r="245" spans="1:14" x14ac:dyDescent="0.25">
      <c r="A245" s="21" t="s">
        <v>393</v>
      </c>
      <c r="B245" s="22" t="s">
        <v>392</v>
      </c>
      <c r="C245" s="21">
        <f>VLOOKUP(A245,[1]v_2024!F:I,3,FALSE)</f>
        <v>4</v>
      </c>
      <c r="D245" s="23">
        <f>VLOOKUP(A245,[1]v_2024!F:I,4,FALSE)</f>
        <v>380.8</v>
      </c>
      <c r="E245" s="21">
        <v>0</v>
      </c>
      <c r="F245" s="23">
        <v>0</v>
      </c>
      <c r="G245" s="24">
        <f t="shared" si="29"/>
        <v>0</v>
      </c>
      <c r="H245" s="21">
        <f t="shared" si="24"/>
        <v>4</v>
      </c>
      <c r="I245" s="23">
        <f t="shared" si="24"/>
        <v>380.8</v>
      </c>
      <c r="J245" s="21">
        <f>VLOOKUP(A245,[1]v_2023!F:I,3,FALSE)</f>
        <v>52</v>
      </c>
      <c r="K245" s="23">
        <f>VLOOKUP(A245,[1]v_2023!F:I,4,FALSE)</f>
        <v>4258.28</v>
      </c>
      <c r="L245" s="21">
        <f t="shared" si="25"/>
        <v>-48</v>
      </c>
      <c r="M245" s="25">
        <f t="shared" si="25"/>
        <v>-3877.4799999999996</v>
      </c>
      <c r="N245" s="26">
        <f t="shared" si="30"/>
        <v>-0.91057422245601505</v>
      </c>
    </row>
    <row r="246" spans="1:14" x14ac:dyDescent="0.25">
      <c r="A246" s="21" t="s">
        <v>395</v>
      </c>
      <c r="B246" s="22" t="s">
        <v>394</v>
      </c>
      <c r="C246" s="21">
        <f>VLOOKUP(A246,[1]v_2024!F:I,3,FALSE)</f>
        <v>62</v>
      </c>
      <c r="D246" s="23">
        <f>VLOOKUP(A246,[1]v_2024!F:I,4,FALSE)</f>
        <v>690.53</v>
      </c>
      <c r="E246" s="21">
        <v>0</v>
      </c>
      <c r="F246" s="23">
        <v>0</v>
      </c>
      <c r="G246" s="24">
        <f t="shared" si="29"/>
        <v>0</v>
      </c>
      <c r="H246" s="21">
        <f t="shared" si="24"/>
        <v>62</v>
      </c>
      <c r="I246" s="23">
        <f t="shared" si="24"/>
        <v>690.53</v>
      </c>
      <c r="J246" s="21">
        <f>VLOOKUP(A246,[1]v_2023!F:I,3,FALSE)</f>
        <v>198</v>
      </c>
      <c r="K246" s="23">
        <f>VLOOKUP(A246,[1]v_2023!F:I,4,FALSE)</f>
        <v>2092.86</v>
      </c>
      <c r="L246" s="21">
        <f t="shared" si="25"/>
        <v>-136</v>
      </c>
      <c r="M246" s="25">
        <f t="shared" si="25"/>
        <v>-1402.3300000000002</v>
      </c>
      <c r="N246" s="26">
        <f t="shared" si="30"/>
        <v>-0.67005437535238865</v>
      </c>
    </row>
    <row r="247" spans="1:14" x14ac:dyDescent="0.25">
      <c r="A247" s="21" t="s">
        <v>397</v>
      </c>
      <c r="B247" s="22" t="s">
        <v>396</v>
      </c>
      <c r="C247" s="21">
        <v>0</v>
      </c>
      <c r="D247" s="23">
        <v>0</v>
      </c>
      <c r="E247" s="21">
        <v>0</v>
      </c>
      <c r="F247" s="23">
        <v>0</v>
      </c>
      <c r="G247" s="24"/>
      <c r="H247" s="21">
        <f t="shared" si="24"/>
        <v>0</v>
      </c>
      <c r="I247" s="23">
        <f t="shared" si="24"/>
        <v>0</v>
      </c>
      <c r="J247" s="21">
        <f>VLOOKUP(A247,[1]v_2023!F:I,3,FALSE)</f>
        <v>0</v>
      </c>
      <c r="K247" s="23">
        <f>VLOOKUP(A247,[1]v_2023!F:I,4,FALSE)</f>
        <v>0</v>
      </c>
      <c r="L247" s="21">
        <f t="shared" si="25"/>
        <v>0</v>
      </c>
      <c r="M247" s="25">
        <f t="shared" si="25"/>
        <v>0</v>
      </c>
      <c r="N247" s="26"/>
    </row>
    <row r="248" spans="1:14" x14ac:dyDescent="0.25">
      <c r="A248" s="21" t="s">
        <v>399</v>
      </c>
      <c r="B248" s="22" t="s">
        <v>398</v>
      </c>
      <c r="C248" s="21">
        <f>VLOOKUP(A248,[1]v_2024!F:I,3,FALSE)</f>
        <v>2</v>
      </c>
      <c r="D248" s="23">
        <f>VLOOKUP(A248,[1]v_2024!F:I,4,FALSE)</f>
        <v>88.34</v>
      </c>
      <c r="E248" s="21">
        <v>0</v>
      </c>
      <c r="F248" s="23">
        <v>0</v>
      </c>
      <c r="G248" s="24">
        <f t="shared" si="29"/>
        <v>0</v>
      </c>
      <c r="H248" s="21">
        <f t="shared" si="24"/>
        <v>2</v>
      </c>
      <c r="I248" s="23">
        <f t="shared" si="24"/>
        <v>88.34</v>
      </c>
      <c r="J248" s="21">
        <f>VLOOKUP(A248,[1]v_2023!F:I,3,FALSE)</f>
        <v>6</v>
      </c>
      <c r="K248" s="23">
        <f>VLOOKUP(A248,[1]v_2023!F:I,4,FALSE)</f>
        <v>220.8</v>
      </c>
      <c r="L248" s="21">
        <f t="shared" si="25"/>
        <v>-4</v>
      </c>
      <c r="M248" s="25">
        <f t="shared" si="25"/>
        <v>-132.46</v>
      </c>
      <c r="N248" s="26">
        <f>M248/K248</f>
        <v>-0.59990942028985506</v>
      </c>
    </row>
    <row r="249" spans="1:14" x14ac:dyDescent="0.25">
      <c r="A249" s="21" t="s">
        <v>401</v>
      </c>
      <c r="B249" s="22" t="s">
        <v>400</v>
      </c>
      <c r="C249" s="21">
        <f>VLOOKUP(A249,[1]v_2024!F:I,3,FALSE)</f>
        <v>558</v>
      </c>
      <c r="D249" s="23">
        <f>VLOOKUP(A249,[1]v_2024!F:I,4,FALSE)</f>
        <v>9074.8700000000008</v>
      </c>
      <c r="E249" s="21">
        <v>0</v>
      </c>
      <c r="F249" s="23">
        <v>0</v>
      </c>
      <c r="G249" s="24">
        <f t="shared" si="29"/>
        <v>0</v>
      </c>
      <c r="H249" s="21">
        <f t="shared" si="24"/>
        <v>558</v>
      </c>
      <c r="I249" s="23">
        <f t="shared" si="24"/>
        <v>9074.8700000000008</v>
      </c>
      <c r="J249" s="21">
        <f>VLOOKUP(A249,[1]v_2023!F:I,3,FALSE)</f>
        <v>922</v>
      </c>
      <c r="K249" s="23">
        <f>VLOOKUP(A249,[1]v_2023!F:I,4,FALSE)</f>
        <v>15037.82</v>
      </c>
      <c r="L249" s="21">
        <f t="shared" si="25"/>
        <v>-364</v>
      </c>
      <c r="M249" s="25">
        <f t="shared" si="25"/>
        <v>-5962.9499999999989</v>
      </c>
      <c r="N249" s="26">
        <f>M249/K249</f>
        <v>-0.39653021515086623</v>
      </c>
    </row>
    <row r="250" spans="1:14" x14ac:dyDescent="0.25">
      <c r="A250" s="21" t="s">
        <v>403</v>
      </c>
      <c r="B250" s="22" t="s">
        <v>402</v>
      </c>
      <c r="C250" s="21">
        <f>VLOOKUP(A250,[1]v_2024!F:I,3,FALSE)</f>
        <v>0</v>
      </c>
      <c r="D250" s="23">
        <f>VLOOKUP(A250,[1]v_2024!F:I,4,FALSE)</f>
        <v>0</v>
      </c>
      <c r="E250" s="21">
        <v>0</v>
      </c>
      <c r="F250" s="23">
        <v>0</v>
      </c>
      <c r="G250" s="24"/>
      <c r="H250" s="21">
        <f t="shared" si="24"/>
        <v>0</v>
      </c>
      <c r="I250" s="23">
        <f t="shared" si="24"/>
        <v>0</v>
      </c>
      <c r="J250" s="21">
        <f>VLOOKUP(A250,[1]v_2023!F:I,3,FALSE)</f>
        <v>1</v>
      </c>
      <c r="K250" s="23">
        <f>VLOOKUP(A250,[1]v_2023!F:I,4,FALSE)</f>
        <v>31.75</v>
      </c>
      <c r="L250" s="21">
        <f t="shared" si="25"/>
        <v>-1</v>
      </c>
      <c r="M250" s="25">
        <f t="shared" si="25"/>
        <v>-31.75</v>
      </c>
      <c r="N250" s="26">
        <f>M250/K250</f>
        <v>-1</v>
      </c>
    </row>
    <row r="251" spans="1:14" x14ac:dyDescent="0.25">
      <c r="A251" s="21" t="s">
        <v>405</v>
      </c>
      <c r="B251" s="22" t="s">
        <v>404</v>
      </c>
      <c r="C251" s="21">
        <f>VLOOKUP(A251,[1]v_2024!F:I,3,FALSE)</f>
        <v>1</v>
      </c>
      <c r="D251" s="23">
        <f>VLOOKUP(A251,[1]v_2024!F:I,4,FALSE)</f>
        <v>160.65</v>
      </c>
      <c r="E251" s="21">
        <v>0</v>
      </c>
      <c r="F251" s="23">
        <v>0</v>
      </c>
      <c r="G251" s="24">
        <f t="shared" si="29"/>
        <v>0</v>
      </c>
      <c r="H251" s="21">
        <f t="shared" si="24"/>
        <v>1</v>
      </c>
      <c r="I251" s="23">
        <f t="shared" si="24"/>
        <v>160.65</v>
      </c>
      <c r="J251" s="21">
        <v>0</v>
      </c>
      <c r="K251" s="23">
        <v>0</v>
      </c>
      <c r="L251" s="21">
        <f t="shared" si="25"/>
        <v>1</v>
      </c>
      <c r="M251" s="25">
        <f t="shared" si="25"/>
        <v>160.65</v>
      </c>
      <c r="N251" s="26"/>
    </row>
    <row r="252" spans="1:14" x14ac:dyDescent="0.25">
      <c r="A252" s="21" t="s">
        <v>407</v>
      </c>
      <c r="B252" s="22" t="s">
        <v>406</v>
      </c>
      <c r="C252" s="21">
        <f>VLOOKUP(A252,[1]v_2024!F:I,3,FALSE)</f>
        <v>453</v>
      </c>
      <c r="D252" s="23">
        <f>VLOOKUP(A252,[1]v_2024!F:I,4,FALSE)</f>
        <v>2224.23</v>
      </c>
      <c r="E252" s="21">
        <v>0</v>
      </c>
      <c r="F252" s="23">
        <v>0</v>
      </c>
      <c r="G252" s="24">
        <f t="shared" si="29"/>
        <v>0</v>
      </c>
      <c r="H252" s="21">
        <f t="shared" si="24"/>
        <v>453</v>
      </c>
      <c r="I252" s="23">
        <f t="shared" si="24"/>
        <v>2224.23</v>
      </c>
      <c r="J252" s="21">
        <f>VLOOKUP(A252,[1]v_2023!F:I,3,FALSE)</f>
        <v>512</v>
      </c>
      <c r="K252" s="23">
        <f>VLOOKUP(A252,[1]v_2023!F:I,4,FALSE)</f>
        <v>2094.08</v>
      </c>
      <c r="L252" s="21">
        <f t="shared" si="25"/>
        <v>-59</v>
      </c>
      <c r="M252" s="25">
        <f t="shared" si="25"/>
        <v>130.15000000000009</v>
      </c>
      <c r="N252" s="26">
        <f>M252/K252</f>
        <v>6.2151398227383907E-2</v>
      </c>
    </row>
    <row r="253" spans="1:14" x14ac:dyDescent="0.25">
      <c r="A253" s="21" t="s">
        <v>409</v>
      </c>
      <c r="B253" s="22" t="s">
        <v>408</v>
      </c>
      <c r="C253" s="21">
        <f>VLOOKUP(A253,[1]v_2024!F:I,3,FALSE)</f>
        <v>31</v>
      </c>
      <c r="D253" s="23">
        <f>VLOOKUP(A253,[1]v_2024!F:I,4,FALSE)</f>
        <v>172.86</v>
      </c>
      <c r="E253" s="21">
        <v>0</v>
      </c>
      <c r="F253" s="23">
        <v>0</v>
      </c>
      <c r="G253" s="24">
        <f t="shared" si="29"/>
        <v>0</v>
      </c>
      <c r="H253" s="21">
        <f t="shared" si="24"/>
        <v>31</v>
      </c>
      <c r="I253" s="23">
        <f t="shared" si="24"/>
        <v>172.86</v>
      </c>
      <c r="J253" s="21">
        <f>VLOOKUP(A253,[1]v_2023!F:I,3,FALSE)</f>
        <v>2441</v>
      </c>
      <c r="K253" s="23">
        <f>VLOOKUP(A253,[1]v_2023!F:I,4,FALSE)</f>
        <v>9812.82</v>
      </c>
      <c r="L253" s="21">
        <f t="shared" si="25"/>
        <v>-2410</v>
      </c>
      <c r="M253" s="25">
        <f t="shared" si="25"/>
        <v>-9639.9599999999991</v>
      </c>
      <c r="N253" s="26">
        <f>M253/K253</f>
        <v>-0.98238426874231866</v>
      </c>
    </row>
    <row r="254" spans="1:14" x14ac:dyDescent="0.25">
      <c r="A254" s="21" t="s">
        <v>411</v>
      </c>
      <c r="B254" s="22" t="s">
        <v>410</v>
      </c>
      <c r="C254" s="21">
        <f>VLOOKUP(A254,[1]v_2024!F:I,3,FALSE)</f>
        <v>9</v>
      </c>
      <c r="D254" s="23">
        <f>VLOOKUP(A254,[1]v_2024!F:I,4,FALSE)</f>
        <v>33.79</v>
      </c>
      <c r="E254" s="21">
        <v>0</v>
      </c>
      <c r="F254" s="23">
        <v>0</v>
      </c>
      <c r="G254" s="24">
        <f t="shared" si="29"/>
        <v>0</v>
      </c>
      <c r="H254" s="21">
        <f t="shared" si="24"/>
        <v>9</v>
      </c>
      <c r="I254" s="23">
        <f t="shared" si="24"/>
        <v>33.79</v>
      </c>
      <c r="J254" s="21">
        <f>VLOOKUP(A254,[1]v_2023!F:I,3,FALSE)</f>
        <v>12</v>
      </c>
      <c r="K254" s="23">
        <f>VLOOKUP(A254,[1]v_2023!F:I,4,FALSE)</f>
        <v>78.599999999999994</v>
      </c>
      <c r="L254" s="21">
        <f t="shared" si="25"/>
        <v>-3</v>
      </c>
      <c r="M254" s="25">
        <f t="shared" si="25"/>
        <v>-44.809999999999995</v>
      </c>
      <c r="N254" s="26">
        <f>M254/K254</f>
        <v>-0.57010178117048349</v>
      </c>
    </row>
    <row r="255" spans="1:14" x14ac:dyDescent="0.25">
      <c r="A255" s="21" t="s">
        <v>413</v>
      </c>
      <c r="B255" s="22" t="s">
        <v>412</v>
      </c>
      <c r="C255" s="21">
        <v>0</v>
      </c>
      <c r="D255" s="23">
        <v>0</v>
      </c>
      <c r="E255" s="21">
        <v>0</v>
      </c>
      <c r="F255" s="23">
        <v>0</v>
      </c>
      <c r="G255" s="24"/>
      <c r="H255" s="21">
        <f t="shared" si="24"/>
        <v>0</v>
      </c>
      <c r="I255" s="23">
        <f t="shared" si="24"/>
        <v>0</v>
      </c>
      <c r="J255" s="21">
        <v>0</v>
      </c>
      <c r="K255" s="23">
        <v>0</v>
      </c>
      <c r="L255" s="21">
        <f t="shared" si="25"/>
        <v>0</v>
      </c>
      <c r="M255" s="25">
        <f t="shared" si="25"/>
        <v>0</v>
      </c>
      <c r="N255" s="26"/>
    </row>
    <row r="256" spans="1:14" x14ac:dyDescent="0.25">
      <c r="A256" s="21" t="s">
        <v>415</v>
      </c>
      <c r="B256" s="22" t="s">
        <v>414</v>
      </c>
      <c r="C256" s="21">
        <f>VLOOKUP(A256,[1]v_2024!F:I,3,FALSE)</f>
        <v>99</v>
      </c>
      <c r="D256" s="23">
        <f>VLOOKUP(A256,[1]v_2024!F:I,4,FALSE)</f>
        <v>1096.6500000000001</v>
      </c>
      <c r="E256" s="21">
        <v>0</v>
      </c>
      <c r="F256" s="23">
        <v>0</v>
      </c>
      <c r="G256" s="24">
        <f t="shared" si="29"/>
        <v>0</v>
      </c>
      <c r="H256" s="21">
        <f t="shared" si="24"/>
        <v>99</v>
      </c>
      <c r="I256" s="23">
        <f t="shared" si="24"/>
        <v>1096.6500000000001</v>
      </c>
      <c r="J256" s="21">
        <v>0</v>
      </c>
      <c r="K256" s="23">
        <v>0</v>
      </c>
      <c r="L256" s="21">
        <f t="shared" si="25"/>
        <v>99</v>
      </c>
      <c r="M256" s="25">
        <f t="shared" si="25"/>
        <v>1096.6500000000001</v>
      </c>
      <c r="N256" s="26"/>
    </row>
    <row r="257" spans="1:14" x14ac:dyDescent="0.25">
      <c r="A257" s="21" t="s">
        <v>417</v>
      </c>
      <c r="B257" s="22" t="s">
        <v>416</v>
      </c>
      <c r="C257" s="21">
        <v>0</v>
      </c>
      <c r="D257" s="23">
        <v>0</v>
      </c>
      <c r="E257" s="21">
        <v>0</v>
      </c>
      <c r="F257" s="23">
        <v>0</v>
      </c>
      <c r="G257" s="24"/>
      <c r="H257" s="21">
        <f t="shared" si="24"/>
        <v>0</v>
      </c>
      <c r="I257" s="23">
        <f t="shared" si="24"/>
        <v>0</v>
      </c>
      <c r="J257" s="21">
        <v>0</v>
      </c>
      <c r="K257" s="23">
        <v>0</v>
      </c>
      <c r="L257" s="21">
        <f t="shared" si="25"/>
        <v>0</v>
      </c>
      <c r="M257" s="25">
        <f t="shared" si="25"/>
        <v>0</v>
      </c>
      <c r="N257" s="26"/>
    </row>
    <row r="258" spans="1:14" x14ac:dyDescent="0.25">
      <c r="A258" s="21" t="s">
        <v>419</v>
      </c>
      <c r="B258" s="22" t="s">
        <v>418</v>
      </c>
      <c r="C258" s="21">
        <f>VLOOKUP(A258,[1]v_2024!F:I,3,FALSE)</f>
        <v>168</v>
      </c>
      <c r="D258" s="23">
        <f>VLOOKUP(A258,[1]v_2024!F:I,4,FALSE)</f>
        <v>1493.58</v>
      </c>
      <c r="E258" s="21">
        <v>0</v>
      </c>
      <c r="F258" s="23">
        <v>0</v>
      </c>
      <c r="G258" s="24">
        <f t="shared" si="29"/>
        <v>0</v>
      </c>
      <c r="H258" s="21">
        <f t="shared" si="24"/>
        <v>168</v>
      </c>
      <c r="I258" s="23">
        <f t="shared" si="24"/>
        <v>1493.58</v>
      </c>
      <c r="J258" s="21">
        <v>0</v>
      </c>
      <c r="K258" s="23">
        <v>0</v>
      </c>
      <c r="L258" s="21">
        <f t="shared" si="25"/>
        <v>168</v>
      </c>
      <c r="M258" s="25">
        <f t="shared" si="25"/>
        <v>1493.58</v>
      </c>
      <c r="N258" s="26"/>
    </row>
    <row r="259" spans="1:14" x14ac:dyDescent="0.25">
      <c r="A259" s="21" t="s">
        <v>421</v>
      </c>
      <c r="B259" s="22" t="s">
        <v>420</v>
      </c>
      <c r="C259" s="21">
        <f>VLOOKUP(A259,[1]v_2024!F:I,3,FALSE)</f>
        <v>3</v>
      </c>
      <c r="D259" s="23">
        <f>VLOOKUP(A259,[1]v_2024!F:I,4,FALSE)</f>
        <v>122.7</v>
      </c>
      <c r="E259" s="21">
        <v>0</v>
      </c>
      <c r="F259" s="23">
        <v>0</v>
      </c>
      <c r="G259" s="24">
        <f t="shared" si="29"/>
        <v>0</v>
      </c>
      <c r="H259" s="21">
        <f t="shared" si="24"/>
        <v>3</v>
      </c>
      <c r="I259" s="23">
        <f t="shared" si="24"/>
        <v>122.7</v>
      </c>
      <c r="J259" s="21">
        <v>0</v>
      </c>
      <c r="K259" s="23">
        <v>0</v>
      </c>
      <c r="L259" s="21">
        <f t="shared" si="25"/>
        <v>3</v>
      </c>
      <c r="M259" s="25">
        <f t="shared" si="25"/>
        <v>122.7</v>
      </c>
      <c r="N259" s="26"/>
    </row>
    <row r="260" spans="1:14" x14ac:dyDescent="0.25">
      <c r="A260" s="21" t="s">
        <v>423</v>
      </c>
      <c r="B260" s="22" t="s">
        <v>422</v>
      </c>
      <c r="C260" s="21">
        <f>VLOOKUP(A260,[1]v_2024!F:I,3,FALSE)</f>
        <v>12</v>
      </c>
      <c r="D260" s="23">
        <f>VLOOKUP(A260,[1]v_2024!F:I,4,FALSE)</f>
        <v>464.74</v>
      </c>
      <c r="E260" s="21">
        <v>0</v>
      </c>
      <c r="F260" s="23">
        <v>0</v>
      </c>
      <c r="G260" s="24">
        <f t="shared" si="29"/>
        <v>0</v>
      </c>
      <c r="H260" s="21">
        <f t="shared" ref="H260:I285" si="31">E260+C260</f>
        <v>12</v>
      </c>
      <c r="I260" s="23">
        <f t="shared" si="31"/>
        <v>464.74</v>
      </c>
      <c r="J260" s="21">
        <v>0</v>
      </c>
      <c r="K260" s="23">
        <v>0</v>
      </c>
      <c r="L260" s="21">
        <f t="shared" ref="L260:M283" si="32">H260-J260</f>
        <v>12</v>
      </c>
      <c r="M260" s="25">
        <f t="shared" si="32"/>
        <v>464.74</v>
      </c>
      <c r="N260" s="26"/>
    </row>
    <row r="261" spans="1:14" x14ac:dyDescent="0.25">
      <c r="A261" s="21" t="s">
        <v>425</v>
      </c>
      <c r="B261" s="22" t="s">
        <v>424</v>
      </c>
      <c r="C261" s="21">
        <f>VLOOKUP(A261,[1]v_2024!F:I,3,FALSE)</f>
        <v>2</v>
      </c>
      <c r="D261" s="23">
        <f>VLOOKUP(A261,[1]v_2024!F:I,4,FALSE)</f>
        <v>50.2</v>
      </c>
      <c r="E261" s="21">
        <v>0</v>
      </c>
      <c r="F261" s="23">
        <v>0</v>
      </c>
      <c r="G261" s="24">
        <f t="shared" si="29"/>
        <v>0</v>
      </c>
      <c r="H261" s="21">
        <f t="shared" si="31"/>
        <v>2</v>
      </c>
      <c r="I261" s="23">
        <f t="shared" si="31"/>
        <v>50.2</v>
      </c>
      <c r="J261" s="21">
        <v>0</v>
      </c>
      <c r="K261" s="23">
        <v>0</v>
      </c>
      <c r="L261" s="21">
        <f t="shared" si="32"/>
        <v>2</v>
      </c>
      <c r="M261" s="25">
        <f t="shared" si="32"/>
        <v>50.2</v>
      </c>
      <c r="N261" s="26"/>
    </row>
    <row r="262" spans="1:14" x14ac:dyDescent="0.25">
      <c r="A262" s="21" t="s">
        <v>427</v>
      </c>
      <c r="B262" s="22" t="s">
        <v>426</v>
      </c>
      <c r="C262" s="21">
        <f>VLOOKUP(A262,[1]v_2024!F:I,3,FALSE)</f>
        <v>1</v>
      </c>
      <c r="D262" s="23">
        <f>VLOOKUP(A262,[1]v_2024!F:I,4,FALSE)</f>
        <v>39.58</v>
      </c>
      <c r="E262" s="21">
        <v>0</v>
      </c>
      <c r="F262" s="23">
        <v>0</v>
      </c>
      <c r="G262" s="24">
        <f t="shared" si="29"/>
        <v>0</v>
      </c>
      <c r="H262" s="21">
        <f t="shared" si="31"/>
        <v>1</v>
      </c>
      <c r="I262" s="23">
        <f t="shared" si="31"/>
        <v>39.58</v>
      </c>
      <c r="J262" s="21">
        <v>0</v>
      </c>
      <c r="K262" s="23">
        <v>0</v>
      </c>
      <c r="L262" s="21">
        <f t="shared" si="32"/>
        <v>1</v>
      </c>
      <c r="M262" s="25">
        <f t="shared" si="32"/>
        <v>39.58</v>
      </c>
      <c r="N262" s="26"/>
    </row>
    <row r="263" spans="1:14" x14ac:dyDescent="0.25">
      <c r="A263" s="21" t="s">
        <v>429</v>
      </c>
      <c r="B263" s="22" t="s">
        <v>428</v>
      </c>
      <c r="C263" s="21">
        <v>0</v>
      </c>
      <c r="D263" s="23">
        <v>0</v>
      </c>
      <c r="E263" s="21">
        <v>0</v>
      </c>
      <c r="F263" s="23">
        <v>0</v>
      </c>
      <c r="G263" s="24"/>
      <c r="H263" s="21">
        <f t="shared" si="31"/>
        <v>0</v>
      </c>
      <c r="I263" s="23">
        <f t="shared" si="31"/>
        <v>0</v>
      </c>
      <c r="J263" s="21">
        <v>0</v>
      </c>
      <c r="K263" s="23">
        <v>0</v>
      </c>
      <c r="L263" s="21">
        <f t="shared" si="32"/>
        <v>0</v>
      </c>
      <c r="M263" s="25">
        <f t="shared" si="32"/>
        <v>0</v>
      </c>
      <c r="N263" s="26"/>
    </row>
    <row r="264" spans="1:14" x14ac:dyDescent="0.25">
      <c r="A264" s="21" t="s">
        <v>431</v>
      </c>
      <c r="B264" s="22" t="s">
        <v>430</v>
      </c>
      <c r="C264" s="21">
        <f>VLOOKUP(A264,[1]v_2024!F:I,3,FALSE)</f>
        <v>5</v>
      </c>
      <c r="D264" s="23">
        <f>VLOOKUP(A264,[1]v_2024!F:I,4,FALSE)</f>
        <v>143.05000000000001</v>
      </c>
      <c r="E264" s="21">
        <v>0</v>
      </c>
      <c r="F264" s="23">
        <v>0</v>
      </c>
      <c r="G264" s="24">
        <f t="shared" si="29"/>
        <v>0</v>
      </c>
      <c r="H264" s="21">
        <f t="shared" si="31"/>
        <v>5</v>
      </c>
      <c r="I264" s="23">
        <f t="shared" si="31"/>
        <v>143.05000000000001</v>
      </c>
      <c r="J264" s="21">
        <v>0</v>
      </c>
      <c r="K264" s="23">
        <v>0</v>
      </c>
      <c r="L264" s="21">
        <f t="shared" si="32"/>
        <v>5</v>
      </c>
      <c r="M264" s="25">
        <f t="shared" si="32"/>
        <v>143.05000000000001</v>
      </c>
      <c r="N264" s="26"/>
    </row>
    <row r="265" spans="1:14" x14ac:dyDescent="0.25">
      <c r="A265" s="21" t="s">
        <v>433</v>
      </c>
      <c r="B265" s="22" t="s">
        <v>432</v>
      </c>
      <c r="C265" s="21">
        <v>0</v>
      </c>
      <c r="D265" s="23">
        <v>0</v>
      </c>
      <c r="E265" s="21">
        <v>0</v>
      </c>
      <c r="F265" s="23">
        <v>0</v>
      </c>
      <c r="G265" s="24"/>
      <c r="H265" s="21">
        <f t="shared" si="31"/>
        <v>0</v>
      </c>
      <c r="I265" s="23">
        <f t="shared" si="31"/>
        <v>0</v>
      </c>
      <c r="J265" s="21">
        <v>0</v>
      </c>
      <c r="K265" s="23">
        <v>0</v>
      </c>
      <c r="L265" s="21">
        <f t="shared" si="32"/>
        <v>0</v>
      </c>
      <c r="M265" s="25">
        <f t="shared" si="32"/>
        <v>0</v>
      </c>
      <c r="N265" s="26"/>
    </row>
    <row r="266" spans="1:14" x14ac:dyDescent="0.25">
      <c r="A266" s="21" t="s">
        <v>435</v>
      </c>
      <c r="B266" s="22" t="s">
        <v>434</v>
      </c>
      <c r="C266" s="21">
        <v>0</v>
      </c>
      <c r="D266" s="23">
        <v>0</v>
      </c>
      <c r="E266" s="21">
        <v>0</v>
      </c>
      <c r="F266" s="23">
        <v>0</v>
      </c>
      <c r="G266" s="24"/>
      <c r="H266" s="21">
        <f t="shared" si="31"/>
        <v>0</v>
      </c>
      <c r="I266" s="23">
        <f t="shared" si="31"/>
        <v>0</v>
      </c>
      <c r="J266" s="21">
        <v>0</v>
      </c>
      <c r="K266" s="23">
        <v>0</v>
      </c>
      <c r="L266" s="21">
        <f t="shared" si="32"/>
        <v>0</v>
      </c>
      <c r="M266" s="25">
        <f t="shared" si="32"/>
        <v>0</v>
      </c>
      <c r="N266" s="26"/>
    </row>
    <row r="267" spans="1:14" x14ac:dyDescent="0.25">
      <c r="A267" s="21" t="s">
        <v>437</v>
      </c>
      <c r="B267" s="22" t="s">
        <v>436</v>
      </c>
      <c r="C267" s="21">
        <f>VLOOKUP(A267,[1]v_2024!F:I,3,FALSE)</f>
        <v>11</v>
      </c>
      <c r="D267" s="23">
        <f>VLOOKUP(A267,[1]v_2024!F:I,4,FALSE)</f>
        <v>188.32</v>
      </c>
      <c r="E267" s="21">
        <v>0</v>
      </c>
      <c r="F267" s="23">
        <v>0</v>
      </c>
      <c r="G267" s="24">
        <f t="shared" si="29"/>
        <v>0</v>
      </c>
      <c r="H267" s="21">
        <f t="shared" si="31"/>
        <v>11</v>
      </c>
      <c r="I267" s="23">
        <f t="shared" si="31"/>
        <v>188.32</v>
      </c>
      <c r="J267" s="21">
        <v>0</v>
      </c>
      <c r="K267" s="23">
        <v>0</v>
      </c>
      <c r="L267" s="21">
        <f t="shared" si="32"/>
        <v>11</v>
      </c>
      <c r="M267" s="25">
        <f t="shared" si="32"/>
        <v>188.32</v>
      </c>
      <c r="N267" s="26"/>
    </row>
    <row r="268" spans="1:14" x14ac:dyDescent="0.25">
      <c r="A268" s="21" t="s">
        <v>439</v>
      </c>
      <c r="B268" s="22" t="s">
        <v>438</v>
      </c>
      <c r="C268" s="21">
        <f>VLOOKUP(A268,[1]v_2024!F:I,3,FALSE)</f>
        <v>1</v>
      </c>
      <c r="D268" s="23">
        <f>VLOOKUP(A268,[1]v_2024!F:I,4,FALSE)</f>
        <v>18.47</v>
      </c>
      <c r="E268" s="21">
        <v>0</v>
      </c>
      <c r="F268" s="23">
        <v>0</v>
      </c>
      <c r="G268" s="24">
        <f t="shared" si="29"/>
        <v>0</v>
      </c>
      <c r="H268" s="21">
        <f t="shared" si="31"/>
        <v>1</v>
      </c>
      <c r="I268" s="23">
        <f t="shared" si="31"/>
        <v>18.47</v>
      </c>
      <c r="J268" s="21">
        <v>0</v>
      </c>
      <c r="K268" s="23">
        <v>0</v>
      </c>
      <c r="L268" s="21">
        <f t="shared" si="32"/>
        <v>1</v>
      </c>
      <c r="M268" s="25">
        <f t="shared" si="32"/>
        <v>18.47</v>
      </c>
      <c r="N268" s="26"/>
    </row>
    <row r="269" spans="1:14" x14ac:dyDescent="0.25">
      <c r="A269" s="21" t="s">
        <v>441</v>
      </c>
      <c r="B269" s="22" t="s">
        <v>440</v>
      </c>
      <c r="C269" s="21">
        <v>0</v>
      </c>
      <c r="D269" s="23">
        <v>0</v>
      </c>
      <c r="E269" s="21">
        <v>0</v>
      </c>
      <c r="F269" s="23">
        <v>0</v>
      </c>
      <c r="G269" s="24"/>
      <c r="H269" s="21">
        <f t="shared" si="31"/>
        <v>0</v>
      </c>
      <c r="I269" s="23">
        <f t="shared" si="31"/>
        <v>0</v>
      </c>
      <c r="J269" s="21">
        <v>0</v>
      </c>
      <c r="K269" s="23">
        <v>0</v>
      </c>
      <c r="L269" s="21">
        <f t="shared" si="32"/>
        <v>0</v>
      </c>
      <c r="M269" s="25">
        <f t="shared" si="32"/>
        <v>0</v>
      </c>
      <c r="N269" s="26"/>
    </row>
    <row r="270" spans="1:14" x14ac:dyDescent="0.25">
      <c r="A270" s="21" t="s">
        <v>443</v>
      </c>
      <c r="B270" s="22" t="s">
        <v>442</v>
      </c>
      <c r="C270" s="21">
        <v>0</v>
      </c>
      <c r="D270" s="23">
        <v>0</v>
      </c>
      <c r="E270" s="21">
        <v>0</v>
      </c>
      <c r="F270" s="23">
        <v>0</v>
      </c>
      <c r="G270" s="24"/>
      <c r="H270" s="21">
        <f t="shared" si="31"/>
        <v>0</v>
      </c>
      <c r="I270" s="23">
        <f t="shared" si="31"/>
        <v>0</v>
      </c>
      <c r="J270" s="21">
        <v>0</v>
      </c>
      <c r="K270" s="23">
        <v>0</v>
      </c>
      <c r="L270" s="21">
        <f t="shared" si="32"/>
        <v>0</v>
      </c>
      <c r="M270" s="25">
        <f t="shared" si="32"/>
        <v>0</v>
      </c>
      <c r="N270" s="26"/>
    </row>
    <row r="271" spans="1:14" x14ac:dyDescent="0.25">
      <c r="A271" s="21" t="s">
        <v>445</v>
      </c>
      <c r="B271" s="22" t="s">
        <v>444</v>
      </c>
      <c r="C271" s="21">
        <f>VLOOKUP(A271,[1]v_2024!F:I,3,FALSE)</f>
        <v>21</v>
      </c>
      <c r="D271" s="23">
        <f>VLOOKUP(A271,[1]v_2024!F:I,4,FALSE)</f>
        <v>489.7</v>
      </c>
      <c r="E271" s="21">
        <v>0</v>
      </c>
      <c r="F271" s="23">
        <v>0</v>
      </c>
      <c r="G271" s="24">
        <f t="shared" si="29"/>
        <v>0</v>
      </c>
      <c r="H271" s="21">
        <f t="shared" si="31"/>
        <v>21</v>
      </c>
      <c r="I271" s="23">
        <f t="shared" si="31"/>
        <v>489.7</v>
      </c>
      <c r="J271" s="21">
        <v>0</v>
      </c>
      <c r="K271" s="23">
        <v>0</v>
      </c>
      <c r="L271" s="21">
        <f t="shared" si="32"/>
        <v>21</v>
      </c>
      <c r="M271" s="25">
        <f t="shared" si="32"/>
        <v>489.7</v>
      </c>
      <c r="N271" s="26"/>
    </row>
    <row r="272" spans="1:14" x14ac:dyDescent="0.25">
      <c r="A272" s="21" t="s">
        <v>447</v>
      </c>
      <c r="B272" s="22" t="s">
        <v>446</v>
      </c>
      <c r="C272" s="21">
        <f>VLOOKUP(A272,[1]v_2024!F:I,3,FALSE)</f>
        <v>24</v>
      </c>
      <c r="D272" s="23">
        <f>VLOOKUP(A272,[1]v_2024!F:I,4,FALSE)</f>
        <v>122.81</v>
      </c>
      <c r="E272" s="21">
        <v>0</v>
      </c>
      <c r="F272" s="23">
        <v>0</v>
      </c>
      <c r="G272" s="24">
        <f t="shared" si="29"/>
        <v>0</v>
      </c>
      <c r="H272" s="21">
        <f t="shared" si="31"/>
        <v>24</v>
      </c>
      <c r="I272" s="23">
        <f t="shared" si="31"/>
        <v>122.81</v>
      </c>
      <c r="J272" s="21">
        <v>0</v>
      </c>
      <c r="K272" s="23">
        <v>0</v>
      </c>
      <c r="L272" s="21">
        <f t="shared" si="32"/>
        <v>24</v>
      </c>
      <c r="M272" s="25">
        <f t="shared" si="32"/>
        <v>122.81</v>
      </c>
      <c r="N272" s="26"/>
    </row>
    <row r="273" spans="1:14" x14ac:dyDescent="0.25">
      <c r="A273" s="21" t="s">
        <v>449</v>
      </c>
      <c r="B273" s="22" t="s">
        <v>448</v>
      </c>
      <c r="C273" s="21">
        <f>VLOOKUP(A273,[1]v_2024!F:I,3,FALSE)</f>
        <v>1</v>
      </c>
      <c r="D273" s="23">
        <f>VLOOKUP(A273,[1]v_2024!F:I,4,FALSE)</f>
        <v>6.55</v>
      </c>
      <c r="E273" s="21">
        <v>0</v>
      </c>
      <c r="F273" s="23">
        <v>0</v>
      </c>
      <c r="G273" s="24">
        <f t="shared" si="29"/>
        <v>0</v>
      </c>
      <c r="H273" s="21">
        <f t="shared" si="31"/>
        <v>1</v>
      </c>
      <c r="I273" s="23">
        <f t="shared" si="31"/>
        <v>6.55</v>
      </c>
      <c r="J273" s="21">
        <v>0</v>
      </c>
      <c r="K273" s="23">
        <v>0</v>
      </c>
      <c r="L273" s="21">
        <f t="shared" si="32"/>
        <v>1</v>
      </c>
      <c r="M273" s="25">
        <f t="shared" si="32"/>
        <v>6.55</v>
      </c>
      <c r="N273" s="26"/>
    </row>
    <row r="274" spans="1:14" x14ac:dyDescent="0.25">
      <c r="A274" s="21" t="s">
        <v>451</v>
      </c>
      <c r="B274" s="22" t="s">
        <v>450</v>
      </c>
      <c r="C274" s="21">
        <f>VLOOKUP(A274,[1]v_2024!F:I,3,FALSE)</f>
        <v>199</v>
      </c>
      <c r="D274" s="23">
        <f>VLOOKUP(A274,[1]v_2024!F:I,4,FALSE)</f>
        <v>1134.1099999999999</v>
      </c>
      <c r="E274" s="21">
        <v>0</v>
      </c>
      <c r="F274" s="23">
        <v>0</v>
      </c>
      <c r="G274" s="24">
        <f t="shared" si="29"/>
        <v>0</v>
      </c>
      <c r="H274" s="21">
        <f t="shared" si="31"/>
        <v>199</v>
      </c>
      <c r="I274" s="23">
        <f t="shared" si="31"/>
        <v>1134.1099999999999</v>
      </c>
      <c r="J274" s="21">
        <v>0</v>
      </c>
      <c r="K274" s="23">
        <v>0</v>
      </c>
      <c r="L274" s="21">
        <f t="shared" si="32"/>
        <v>199</v>
      </c>
      <c r="M274" s="25">
        <f t="shared" si="32"/>
        <v>1134.1099999999999</v>
      </c>
      <c r="N274" s="26"/>
    </row>
    <row r="275" spans="1:14" x14ac:dyDescent="0.25">
      <c r="A275" s="21" t="s">
        <v>453</v>
      </c>
      <c r="B275" s="22" t="s">
        <v>452</v>
      </c>
      <c r="C275" s="21">
        <f>VLOOKUP(A275,[1]v_2024!F:I,3,FALSE)</f>
        <v>51</v>
      </c>
      <c r="D275" s="23">
        <f>VLOOKUP(A275,[1]v_2024!F:I,4,FALSE)</f>
        <v>1652.69</v>
      </c>
      <c r="E275" s="21">
        <v>0</v>
      </c>
      <c r="F275" s="23">
        <v>0</v>
      </c>
      <c r="G275" s="24">
        <f t="shared" si="29"/>
        <v>0</v>
      </c>
      <c r="H275" s="21">
        <f t="shared" si="31"/>
        <v>51</v>
      </c>
      <c r="I275" s="23">
        <f t="shared" si="31"/>
        <v>1652.69</v>
      </c>
      <c r="J275" s="21">
        <v>0</v>
      </c>
      <c r="K275" s="23">
        <v>0</v>
      </c>
      <c r="L275" s="21">
        <f t="shared" si="32"/>
        <v>51</v>
      </c>
      <c r="M275" s="25">
        <f t="shared" si="32"/>
        <v>1652.69</v>
      </c>
      <c r="N275" s="26"/>
    </row>
    <row r="276" spans="1:14" x14ac:dyDescent="0.25">
      <c r="A276" s="21" t="s">
        <v>455</v>
      </c>
      <c r="B276" s="22" t="s">
        <v>454</v>
      </c>
      <c r="C276" s="21">
        <f>VLOOKUP(A276,[1]v_2024!F:I,3,FALSE)</f>
        <v>85</v>
      </c>
      <c r="D276" s="23">
        <f>VLOOKUP(A276,[1]v_2024!F:I,4,FALSE)</f>
        <v>1342.61</v>
      </c>
      <c r="E276" s="21">
        <v>0</v>
      </c>
      <c r="F276" s="23">
        <v>0</v>
      </c>
      <c r="G276" s="24">
        <f t="shared" si="29"/>
        <v>0</v>
      </c>
      <c r="H276" s="21">
        <f t="shared" si="31"/>
        <v>85</v>
      </c>
      <c r="I276" s="23">
        <f t="shared" si="31"/>
        <v>1342.61</v>
      </c>
      <c r="J276" s="21">
        <v>0</v>
      </c>
      <c r="K276" s="23">
        <v>0</v>
      </c>
      <c r="L276" s="21">
        <f t="shared" si="32"/>
        <v>85</v>
      </c>
      <c r="M276" s="25">
        <f t="shared" si="32"/>
        <v>1342.61</v>
      </c>
      <c r="N276" s="26"/>
    </row>
    <row r="277" spans="1:14" x14ac:dyDescent="0.25">
      <c r="A277" s="21" t="s">
        <v>457</v>
      </c>
      <c r="B277" s="22" t="s">
        <v>456</v>
      </c>
      <c r="C277" s="21">
        <v>0</v>
      </c>
      <c r="D277" s="23">
        <v>0</v>
      </c>
      <c r="E277" s="21">
        <v>0</v>
      </c>
      <c r="F277" s="23">
        <v>0</v>
      </c>
      <c r="G277" s="24"/>
      <c r="H277" s="21">
        <f t="shared" si="31"/>
        <v>0</v>
      </c>
      <c r="I277" s="23">
        <f t="shared" si="31"/>
        <v>0</v>
      </c>
      <c r="J277" s="21">
        <v>0</v>
      </c>
      <c r="K277" s="23">
        <v>0</v>
      </c>
      <c r="L277" s="21">
        <f t="shared" si="32"/>
        <v>0</v>
      </c>
      <c r="M277" s="25">
        <f t="shared" si="32"/>
        <v>0</v>
      </c>
      <c r="N277" s="26"/>
    </row>
    <row r="278" spans="1:14" x14ac:dyDescent="0.25">
      <c r="A278" s="21" t="s">
        <v>459</v>
      </c>
      <c r="B278" s="22" t="s">
        <v>458</v>
      </c>
      <c r="C278" s="21">
        <f>VLOOKUP(A278,[1]v_2024!F:I,3,FALSE)</f>
        <v>5</v>
      </c>
      <c r="D278" s="23">
        <f>VLOOKUP(A278,[1]v_2024!F:I,4,FALSE)</f>
        <v>204.5</v>
      </c>
      <c r="E278" s="21">
        <v>0</v>
      </c>
      <c r="F278" s="23">
        <v>0</v>
      </c>
      <c r="G278" s="24">
        <f t="shared" si="29"/>
        <v>0</v>
      </c>
      <c r="H278" s="21">
        <f t="shared" si="31"/>
        <v>5</v>
      </c>
      <c r="I278" s="23">
        <f t="shared" si="31"/>
        <v>204.5</v>
      </c>
      <c r="J278" s="21">
        <v>0</v>
      </c>
      <c r="K278" s="23">
        <v>0</v>
      </c>
      <c r="L278" s="21">
        <f t="shared" si="32"/>
        <v>5</v>
      </c>
      <c r="M278" s="25">
        <f t="shared" si="32"/>
        <v>204.5</v>
      </c>
      <c r="N278" s="26"/>
    </row>
    <row r="279" spans="1:14" x14ac:dyDescent="0.25">
      <c r="A279" s="21" t="s">
        <v>461</v>
      </c>
      <c r="B279" s="22" t="s">
        <v>460</v>
      </c>
      <c r="C279" s="21">
        <f>VLOOKUP(A279,[1]v_2024!F:I,3,FALSE)</f>
        <v>95</v>
      </c>
      <c r="D279" s="23">
        <f>VLOOKUP(A279,[1]v_2024!F:I,4,FALSE)</f>
        <v>1549.45</v>
      </c>
      <c r="E279" s="21">
        <v>0</v>
      </c>
      <c r="F279" s="23">
        <v>0</v>
      </c>
      <c r="G279" s="24">
        <f t="shared" si="29"/>
        <v>0</v>
      </c>
      <c r="H279" s="21">
        <f t="shared" si="31"/>
        <v>95</v>
      </c>
      <c r="I279" s="23">
        <f t="shared" si="31"/>
        <v>1549.45</v>
      </c>
      <c r="J279" s="21">
        <v>0</v>
      </c>
      <c r="K279" s="23">
        <v>0</v>
      </c>
      <c r="L279" s="21">
        <f t="shared" si="32"/>
        <v>95</v>
      </c>
      <c r="M279" s="25">
        <f t="shared" si="32"/>
        <v>1549.45</v>
      </c>
      <c r="N279" s="26"/>
    </row>
    <row r="280" spans="1:14" x14ac:dyDescent="0.25">
      <c r="A280" s="21" t="s">
        <v>463</v>
      </c>
      <c r="B280" s="22" t="s">
        <v>462</v>
      </c>
      <c r="C280" s="21">
        <f>VLOOKUP(A280,[1]v_2024!F:I,3,FALSE)</f>
        <v>324</v>
      </c>
      <c r="D280" s="23">
        <f>VLOOKUP(A280,[1]v_2024!F:I,4,FALSE)</f>
        <v>5284.44</v>
      </c>
      <c r="E280" s="21">
        <v>0</v>
      </c>
      <c r="F280" s="23">
        <v>0</v>
      </c>
      <c r="G280" s="24">
        <f t="shared" si="29"/>
        <v>0</v>
      </c>
      <c r="H280" s="21">
        <f t="shared" si="31"/>
        <v>324</v>
      </c>
      <c r="I280" s="23">
        <f t="shared" si="31"/>
        <v>5284.44</v>
      </c>
      <c r="J280" s="21">
        <v>0</v>
      </c>
      <c r="K280" s="23">
        <v>0</v>
      </c>
      <c r="L280" s="21">
        <f t="shared" si="32"/>
        <v>324</v>
      </c>
      <c r="M280" s="25">
        <f t="shared" si="32"/>
        <v>5284.44</v>
      </c>
      <c r="N280" s="26"/>
    </row>
    <row r="281" spans="1:14" x14ac:dyDescent="0.25">
      <c r="A281" s="21" t="s">
        <v>465</v>
      </c>
      <c r="B281" s="22" t="s">
        <v>464</v>
      </c>
      <c r="C281" s="21">
        <f>VLOOKUP(A281,[1]v_2024!F:I,3,FALSE)</f>
        <v>137</v>
      </c>
      <c r="D281" s="23">
        <f>VLOOKUP(A281,[1]v_2024!F:I,4,FALSE)</f>
        <v>2234.4699999999998</v>
      </c>
      <c r="E281" s="21">
        <v>0</v>
      </c>
      <c r="F281" s="23">
        <v>0</v>
      </c>
      <c r="G281" s="24">
        <f t="shared" si="29"/>
        <v>0</v>
      </c>
      <c r="H281" s="21">
        <f t="shared" si="31"/>
        <v>137</v>
      </c>
      <c r="I281" s="23">
        <f t="shared" si="31"/>
        <v>2234.4699999999998</v>
      </c>
      <c r="J281" s="21">
        <v>0</v>
      </c>
      <c r="K281" s="23">
        <v>0</v>
      </c>
      <c r="L281" s="21">
        <f t="shared" si="32"/>
        <v>137</v>
      </c>
      <c r="M281" s="25">
        <f t="shared" si="32"/>
        <v>2234.4699999999998</v>
      </c>
      <c r="N281" s="26"/>
    </row>
    <row r="282" spans="1:14" x14ac:dyDescent="0.25">
      <c r="A282" s="21" t="s">
        <v>467</v>
      </c>
      <c r="B282" s="22" t="s">
        <v>466</v>
      </c>
      <c r="C282" s="21">
        <f>VLOOKUP(A282,[1]v_2024!F:I,3,FALSE)</f>
        <v>0</v>
      </c>
      <c r="D282" s="23">
        <f>VLOOKUP(A282,[1]v_2024!F:I,4,FALSE)</f>
        <v>0</v>
      </c>
      <c r="E282" s="21">
        <v>0</v>
      </c>
      <c r="F282" s="23">
        <v>0</v>
      </c>
      <c r="G282" s="24"/>
      <c r="H282" s="21">
        <f t="shared" si="31"/>
        <v>0</v>
      </c>
      <c r="I282" s="23">
        <f t="shared" si="31"/>
        <v>0</v>
      </c>
      <c r="J282" s="21">
        <v>0</v>
      </c>
      <c r="K282" s="23">
        <v>0</v>
      </c>
      <c r="L282" s="21">
        <f t="shared" si="32"/>
        <v>0</v>
      </c>
      <c r="M282" s="25">
        <f t="shared" si="32"/>
        <v>0</v>
      </c>
      <c r="N282" s="26"/>
    </row>
    <row r="283" spans="1:14" x14ac:dyDescent="0.25">
      <c r="A283" s="21" t="s">
        <v>469</v>
      </c>
      <c r="B283" s="22" t="s">
        <v>468</v>
      </c>
      <c r="C283" s="21">
        <f>VLOOKUP(A283,[1]v_2024!F:I,3,FALSE)</f>
        <v>40</v>
      </c>
      <c r="D283" s="23">
        <f>VLOOKUP(A283,[1]v_2024!F:I,4,FALSE)</f>
        <v>1210</v>
      </c>
      <c r="E283" s="21">
        <v>0</v>
      </c>
      <c r="F283" s="23">
        <v>0</v>
      </c>
      <c r="G283" s="24">
        <f t="shared" si="29"/>
        <v>0</v>
      </c>
      <c r="H283" s="21">
        <f t="shared" si="31"/>
        <v>40</v>
      </c>
      <c r="I283" s="23">
        <f t="shared" si="31"/>
        <v>1210</v>
      </c>
      <c r="J283" s="21">
        <v>0</v>
      </c>
      <c r="K283" s="23">
        <v>0</v>
      </c>
      <c r="L283" s="21">
        <f t="shared" si="32"/>
        <v>40</v>
      </c>
      <c r="M283" s="25">
        <f t="shared" si="32"/>
        <v>1210</v>
      </c>
      <c r="N283" s="26"/>
    </row>
    <row r="284" spans="1:14" x14ac:dyDescent="0.25">
      <c r="A284" s="21" t="s">
        <v>471</v>
      </c>
      <c r="B284" s="22" t="s">
        <v>470</v>
      </c>
      <c r="C284" s="21">
        <f>VLOOKUP(A284,[1]v_2024!F:I,3,FALSE)</f>
        <v>8</v>
      </c>
      <c r="D284" s="23">
        <f>VLOOKUP(A284,[1]v_2024!F:I,4,FALSE)</f>
        <v>117.36</v>
      </c>
      <c r="E284" s="21">
        <v>0</v>
      </c>
      <c r="F284" s="23">
        <v>0</v>
      </c>
      <c r="G284" s="24">
        <f t="shared" si="29"/>
        <v>0</v>
      </c>
      <c r="H284" s="21">
        <f t="shared" si="31"/>
        <v>8</v>
      </c>
      <c r="I284" s="23">
        <f t="shared" si="31"/>
        <v>117.36</v>
      </c>
      <c r="J284" s="21">
        <v>0</v>
      </c>
      <c r="K284" s="23">
        <v>0</v>
      </c>
      <c r="L284" s="21">
        <f>H284-J284</f>
        <v>8</v>
      </c>
      <c r="M284" s="25">
        <f t="shared" ref="M284:M347" si="33">I284-K284</f>
        <v>117.36</v>
      </c>
      <c r="N284" s="26"/>
    </row>
    <row r="285" spans="1:14" x14ac:dyDescent="0.25">
      <c r="A285" s="21" t="s">
        <v>473</v>
      </c>
      <c r="B285" s="22" t="str">
        <f>VLOOKUP(A285,[1]v_2023!A:B,2,FALSE)</f>
        <v>40.993</v>
      </c>
      <c r="C285" s="21">
        <v>0</v>
      </c>
      <c r="D285" s="23">
        <v>0</v>
      </c>
      <c r="E285" s="21">
        <v>0</v>
      </c>
      <c r="F285" s="23">
        <v>0</v>
      </c>
      <c r="G285" s="24"/>
      <c r="H285" s="21">
        <f t="shared" si="31"/>
        <v>0</v>
      </c>
      <c r="I285" s="23">
        <f t="shared" si="31"/>
        <v>0</v>
      </c>
      <c r="J285" s="21">
        <v>0</v>
      </c>
      <c r="K285" s="23">
        <v>0</v>
      </c>
      <c r="L285" s="21">
        <f>H284-J284</f>
        <v>8</v>
      </c>
      <c r="M285" s="25">
        <f t="shared" si="33"/>
        <v>0</v>
      </c>
      <c r="N285" s="26"/>
    </row>
    <row r="286" spans="1:14" x14ac:dyDescent="0.25">
      <c r="A286" s="21" t="s">
        <v>747</v>
      </c>
      <c r="B286" s="22" t="str">
        <f>VLOOKUP(A286,[1]v_2023!A:B,2,FALSE)</f>
        <v>90.502</v>
      </c>
      <c r="C286" s="21">
        <v>0</v>
      </c>
      <c r="D286" s="23">
        <v>0</v>
      </c>
      <c r="E286" s="21">
        <v>0</v>
      </c>
      <c r="F286" s="23">
        <v>0</v>
      </c>
      <c r="G286" s="24"/>
      <c r="H286" s="21">
        <f t="shared" ref="H286:I349" si="34">E286+C286</f>
        <v>0</v>
      </c>
      <c r="I286" s="23">
        <f t="shared" si="34"/>
        <v>0</v>
      </c>
      <c r="J286" s="21">
        <f>VLOOKUP(A286,[1]v_2023!F:I,3,FALSE)</f>
        <v>0</v>
      </c>
      <c r="K286" s="23">
        <f>VLOOKUP(A286,[1]v_2023!F:I,4,FALSE)</f>
        <v>0</v>
      </c>
      <c r="L286" s="21" t="e">
        <f>#REF!-#REF!</f>
        <v>#REF!</v>
      </c>
      <c r="M286" s="25">
        <f t="shared" si="33"/>
        <v>0</v>
      </c>
      <c r="N286" s="26"/>
    </row>
    <row r="287" spans="1:14" x14ac:dyDescent="0.25">
      <c r="A287" s="21" t="s">
        <v>572</v>
      </c>
      <c r="B287" s="22" t="str">
        <f>VLOOKUP(A287,[1]v_2023!A:B,2,FALSE)</f>
        <v>RI.501SL</v>
      </c>
      <c r="C287" s="21">
        <v>0</v>
      </c>
      <c r="D287" s="23">
        <v>0</v>
      </c>
      <c r="E287" s="21">
        <v>0</v>
      </c>
      <c r="F287" s="23">
        <v>0</v>
      </c>
      <c r="G287" s="24"/>
      <c r="H287" s="21">
        <f t="shared" si="34"/>
        <v>0</v>
      </c>
      <c r="I287" s="23">
        <f t="shared" si="34"/>
        <v>0</v>
      </c>
      <c r="J287" s="21">
        <v>0</v>
      </c>
      <c r="K287" s="23">
        <v>0</v>
      </c>
      <c r="L287" s="21">
        <f t="shared" ref="L287:L350" si="35">H285-J285</f>
        <v>0</v>
      </c>
      <c r="M287" s="25">
        <f t="shared" si="33"/>
        <v>0</v>
      </c>
      <c r="N287" s="26"/>
    </row>
    <row r="288" spans="1:14" x14ac:dyDescent="0.25">
      <c r="A288" s="21" t="s">
        <v>574</v>
      </c>
      <c r="B288" s="22" t="str">
        <f>VLOOKUP(A288,[1]v_2023!A:B,2,FALSE)</f>
        <v>40.967N</v>
      </c>
      <c r="C288" s="21">
        <v>0</v>
      </c>
      <c r="D288" s="23">
        <v>0</v>
      </c>
      <c r="E288" s="21">
        <f>VLOOKUP(A288,[1]s_2024!E:G,2,FALSE)</f>
        <v>27</v>
      </c>
      <c r="F288" s="23">
        <f>VLOOKUP(A288,[1]s_2024!E:G,3,FALSE)</f>
        <v>822.29999999999961</v>
      </c>
      <c r="G288" s="24">
        <f t="shared" ref="G288" si="36">F288/I288</f>
        <v>1</v>
      </c>
      <c r="H288" s="21">
        <f t="shared" si="34"/>
        <v>27</v>
      </c>
      <c r="I288" s="23">
        <f t="shared" si="34"/>
        <v>822.29999999999961</v>
      </c>
      <c r="J288" s="21">
        <f>VLOOKUP(A288,[1]v_2023!F:I,3,FALSE)</f>
        <v>165</v>
      </c>
      <c r="K288" s="23">
        <f>VLOOKUP(A288,[1]v_2023!F:I,4,FALSE)</f>
        <v>3367.65</v>
      </c>
      <c r="L288" s="21">
        <f t="shared" si="35"/>
        <v>0</v>
      </c>
      <c r="M288" s="25">
        <f t="shared" si="33"/>
        <v>-2545.3500000000004</v>
      </c>
      <c r="N288" s="26">
        <f t="shared" ref="N288:N348" si="37">M288/K288</f>
        <v>-0.7558237940403546</v>
      </c>
    </row>
    <row r="289" spans="1:14" x14ac:dyDescent="0.25">
      <c r="A289" s="21" t="s">
        <v>576</v>
      </c>
      <c r="B289" s="22" t="str">
        <f>VLOOKUP(A289,[1]v_2023!A:B,2,FALSE)</f>
        <v>40.11</v>
      </c>
      <c r="C289" s="21">
        <v>0</v>
      </c>
      <c r="D289" s="23">
        <v>0</v>
      </c>
      <c r="E289" s="21">
        <v>0</v>
      </c>
      <c r="F289" s="23">
        <v>0</v>
      </c>
      <c r="G289" s="24"/>
      <c r="H289" s="21">
        <f t="shared" si="34"/>
        <v>0</v>
      </c>
      <c r="I289" s="23">
        <f t="shared" si="34"/>
        <v>0</v>
      </c>
      <c r="J289" s="21">
        <v>0</v>
      </c>
      <c r="K289" s="23">
        <v>0</v>
      </c>
      <c r="L289" s="21">
        <f t="shared" si="35"/>
        <v>0</v>
      </c>
      <c r="M289" s="25">
        <f t="shared" si="33"/>
        <v>0</v>
      </c>
      <c r="N289" s="26"/>
    </row>
    <row r="290" spans="1:14" x14ac:dyDescent="0.25">
      <c r="A290" s="21" t="s">
        <v>578</v>
      </c>
      <c r="B290" s="22" t="str">
        <f>VLOOKUP(A290,[1]v_2023!A:B,2,FALSE)</f>
        <v>40.994</v>
      </c>
      <c r="C290" s="21">
        <v>0</v>
      </c>
      <c r="D290" s="23">
        <v>0</v>
      </c>
      <c r="E290" s="21">
        <v>0</v>
      </c>
      <c r="F290" s="23">
        <v>0</v>
      </c>
      <c r="G290" s="24"/>
      <c r="H290" s="21">
        <f t="shared" si="34"/>
        <v>0</v>
      </c>
      <c r="I290" s="23">
        <f t="shared" si="34"/>
        <v>0</v>
      </c>
      <c r="J290" s="21">
        <v>0</v>
      </c>
      <c r="K290" s="23">
        <v>0</v>
      </c>
      <c r="L290" s="21">
        <f t="shared" si="35"/>
        <v>-138</v>
      </c>
      <c r="M290" s="25">
        <f t="shared" si="33"/>
        <v>0</v>
      </c>
      <c r="N290" s="26"/>
    </row>
    <row r="291" spans="1:14" x14ac:dyDescent="0.25">
      <c r="A291" s="21" t="s">
        <v>580</v>
      </c>
      <c r="B291" s="22" t="str">
        <f>VLOOKUP(A291,[1]v_2023!A:B,2,FALSE)</f>
        <v>40.947</v>
      </c>
      <c r="C291" s="21">
        <v>0</v>
      </c>
      <c r="D291" s="23">
        <v>0</v>
      </c>
      <c r="E291" s="21">
        <v>0</v>
      </c>
      <c r="F291" s="23">
        <v>0</v>
      </c>
      <c r="G291" s="24"/>
      <c r="H291" s="21">
        <f t="shared" si="34"/>
        <v>0</v>
      </c>
      <c r="I291" s="23">
        <f t="shared" si="34"/>
        <v>0</v>
      </c>
      <c r="J291" s="21">
        <f>VLOOKUP(A291,[1]v_2023!F:I,3,FALSE)</f>
        <v>7</v>
      </c>
      <c r="K291" s="23">
        <f>VLOOKUP(A291,[1]v_2023!F:I,4,FALSE)</f>
        <v>71.13</v>
      </c>
      <c r="L291" s="21">
        <f t="shared" si="35"/>
        <v>0</v>
      </c>
      <c r="M291" s="25">
        <f t="shared" si="33"/>
        <v>-71.13</v>
      </c>
      <c r="N291" s="26">
        <f t="shared" si="37"/>
        <v>-1</v>
      </c>
    </row>
    <row r="292" spans="1:14" x14ac:dyDescent="0.25">
      <c r="A292" s="21" t="s">
        <v>584</v>
      </c>
      <c r="B292" s="22" t="str">
        <f>VLOOKUP(A292,[1]v_2023!A:B,2,FALSE)</f>
        <v>40.978</v>
      </c>
      <c r="C292" s="21">
        <v>0</v>
      </c>
      <c r="D292" s="23">
        <v>0</v>
      </c>
      <c r="E292" s="21">
        <v>0</v>
      </c>
      <c r="F292" s="23">
        <v>0</v>
      </c>
      <c r="G292" s="24"/>
      <c r="H292" s="21">
        <f t="shared" si="34"/>
        <v>0</v>
      </c>
      <c r="I292" s="23">
        <f t="shared" si="34"/>
        <v>0</v>
      </c>
      <c r="J292" s="21">
        <v>0</v>
      </c>
      <c r="K292" s="23">
        <v>0</v>
      </c>
      <c r="L292" s="21">
        <f t="shared" si="35"/>
        <v>0</v>
      </c>
      <c r="M292" s="25">
        <f t="shared" si="33"/>
        <v>0</v>
      </c>
      <c r="N292" s="26"/>
    </row>
    <row r="293" spans="1:14" x14ac:dyDescent="0.25">
      <c r="A293" s="21" t="s">
        <v>586</v>
      </c>
      <c r="B293" s="22" t="str">
        <f>VLOOKUP(A293,[1]v_2023!A:B,2,FALSE)</f>
        <v>90.605</v>
      </c>
      <c r="C293" s="21">
        <v>0</v>
      </c>
      <c r="D293" s="23">
        <v>0</v>
      </c>
      <c r="E293" s="21">
        <v>0</v>
      </c>
      <c r="F293" s="23">
        <v>0</v>
      </c>
      <c r="G293" s="24"/>
      <c r="H293" s="21">
        <f t="shared" si="34"/>
        <v>0</v>
      </c>
      <c r="I293" s="23">
        <f t="shared" si="34"/>
        <v>0</v>
      </c>
      <c r="J293" s="21">
        <v>0</v>
      </c>
      <c r="K293" s="23">
        <v>0</v>
      </c>
      <c r="L293" s="21">
        <f t="shared" si="35"/>
        <v>-7</v>
      </c>
      <c r="M293" s="25">
        <f t="shared" si="33"/>
        <v>0</v>
      </c>
      <c r="N293" s="26"/>
    </row>
    <row r="294" spans="1:14" x14ac:dyDescent="0.25">
      <c r="A294" s="21" t="s">
        <v>588</v>
      </c>
      <c r="B294" s="22" t="str">
        <f>VLOOKUP(A294,[1]v_2023!A:B,2,FALSE)</f>
        <v>40.969</v>
      </c>
      <c r="C294" s="21">
        <v>0</v>
      </c>
      <c r="D294" s="23">
        <v>0</v>
      </c>
      <c r="E294" s="21">
        <v>0</v>
      </c>
      <c r="F294" s="23">
        <v>0</v>
      </c>
      <c r="G294" s="24"/>
      <c r="H294" s="21">
        <f t="shared" si="34"/>
        <v>0</v>
      </c>
      <c r="I294" s="23">
        <f t="shared" si="34"/>
        <v>0</v>
      </c>
      <c r="J294" s="21">
        <f>VLOOKUP(A294,[1]v_2023!F:I,3,FALSE)</f>
        <v>4</v>
      </c>
      <c r="K294" s="23">
        <f>VLOOKUP(A294,[1]v_2023!F:I,4,FALSE)</f>
        <v>27.55</v>
      </c>
      <c r="L294" s="21">
        <f t="shared" si="35"/>
        <v>0</v>
      </c>
      <c r="M294" s="25">
        <f t="shared" si="33"/>
        <v>-27.55</v>
      </c>
      <c r="N294" s="26">
        <f t="shared" si="37"/>
        <v>-1</v>
      </c>
    </row>
    <row r="295" spans="1:14" x14ac:dyDescent="0.25">
      <c r="A295" s="21" t="s">
        <v>749</v>
      </c>
      <c r="B295" s="22" t="str">
        <f>VLOOKUP(A295,[1]v_2023!A:B,2,FALSE)</f>
        <v>40.996</v>
      </c>
      <c r="C295" s="21">
        <v>0</v>
      </c>
      <c r="D295" s="23">
        <v>0</v>
      </c>
      <c r="E295" s="21">
        <v>0</v>
      </c>
      <c r="F295" s="23">
        <v>0</v>
      </c>
      <c r="G295" s="24"/>
      <c r="H295" s="21">
        <f t="shared" si="34"/>
        <v>0</v>
      </c>
      <c r="I295" s="23">
        <f t="shared" si="34"/>
        <v>0</v>
      </c>
      <c r="J295" s="21">
        <v>0</v>
      </c>
      <c r="K295" s="23">
        <v>0</v>
      </c>
      <c r="L295" s="21">
        <f t="shared" si="35"/>
        <v>0</v>
      </c>
      <c r="M295" s="25">
        <f t="shared" si="33"/>
        <v>0</v>
      </c>
      <c r="N295" s="26"/>
    </row>
    <row r="296" spans="1:14" x14ac:dyDescent="0.25">
      <c r="A296" s="21" t="s">
        <v>751</v>
      </c>
      <c r="B296" s="22" t="str">
        <f>VLOOKUP(A296,[1]v_2023!A:B,2,FALSE)</f>
        <v>90.520</v>
      </c>
      <c r="C296" s="21">
        <v>0</v>
      </c>
      <c r="D296" s="23">
        <v>0</v>
      </c>
      <c r="E296" s="21">
        <v>0</v>
      </c>
      <c r="F296" s="23">
        <v>0</v>
      </c>
      <c r="G296" s="24"/>
      <c r="H296" s="21">
        <f t="shared" si="34"/>
        <v>0</v>
      </c>
      <c r="I296" s="23">
        <f t="shared" si="34"/>
        <v>0</v>
      </c>
      <c r="J296" s="21">
        <v>0</v>
      </c>
      <c r="K296" s="23">
        <v>0</v>
      </c>
      <c r="L296" s="21">
        <f t="shared" si="35"/>
        <v>-4</v>
      </c>
      <c r="M296" s="25">
        <f t="shared" si="33"/>
        <v>0</v>
      </c>
      <c r="N296" s="26"/>
    </row>
    <row r="297" spans="1:14" x14ac:dyDescent="0.25">
      <c r="A297" s="21" t="s">
        <v>596</v>
      </c>
      <c r="B297" s="22" t="str">
        <f>VLOOKUP(A297,[1]v_2023!A:B,2,FALSE)</f>
        <v>40.761</v>
      </c>
      <c r="C297" s="21">
        <v>0</v>
      </c>
      <c r="D297" s="23">
        <v>0</v>
      </c>
      <c r="E297" s="21">
        <v>0</v>
      </c>
      <c r="F297" s="23">
        <v>0</v>
      </c>
      <c r="G297" s="24"/>
      <c r="H297" s="21">
        <f t="shared" si="34"/>
        <v>0</v>
      </c>
      <c r="I297" s="23">
        <f t="shared" si="34"/>
        <v>0</v>
      </c>
      <c r="J297" s="21">
        <f>VLOOKUP(A297,[1]v_2023!F:I,3,FALSE)</f>
        <v>1</v>
      </c>
      <c r="K297" s="23">
        <f>VLOOKUP(A297,[1]v_2023!F:I,4,FALSE)</f>
        <v>11.82</v>
      </c>
      <c r="L297" s="21">
        <f t="shared" si="35"/>
        <v>0</v>
      </c>
      <c r="M297" s="25">
        <f t="shared" si="33"/>
        <v>-11.82</v>
      </c>
      <c r="N297" s="26">
        <f t="shared" si="37"/>
        <v>-1</v>
      </c>
    </row>
    <row r="298" spans="1:14" x14ac:dyDescent="0.25">
      <c r="A298" s="21" t="s">
        <v>598</v>
      </c>
      <c r="B298" s="22" t="str">
        <f>VLOOKUP(A298,[1]v_2023!A:B,2,FALSE)</f>
        <v>90.514</v>
      </c>
      <c r="C298" s="21">
        <v>0</v>
      </c>
      <c r="D298" s="23">
        <v>0</v>
      </c>
      <c r="E298" s="21">
        <v>0</v>
      </c>
      <c r="F298" s="23">
        <v>0</v>
      </c>
      <c r="G298" s="24"/>
      <c r="H298" s="21">
        <f t="shared" si="34"/>
        <v>0</v>
      </c>
      <c r="I298" s="23">
        <f t="shared" si="34"/>
        <v>0</v>
      </c>
      <c r="J298" s="21">
        <f>VLOOKUP(A298,[1]v_2023!F:I,3,FALSE)</f>
        <v>1</v>
      </c>
      <c r="K298" s="23">
        <f>VLOOKUP(A298,[1]v_2023!F:I,4,FALSE)</f>
        <v>27.93</v>
      </c>
      <c r="L298" s="21">
        <f t="shared" si="35"/>
        <v>0</v>
      </c>
      <c r="M298" s="25">
        <f t="shared" si="33"/>
        <v>-27.93</v>
      </c>
      <c r="N298" s="26">
        <f t="shared" si="37"/>
        <v>-1</v>
      </c>
    </row>
    <row r="299" spans="1:14" x14ac:dyDescent="0.25">
      <c r="A299" s="21" t="s">
        <v>608</v>
      </c>
      <c r="B299" s="22" t="str">
        <f>VLOOKUP(A299,[1]v_2023!A:B,2,FALSE)</f>
        <v>40.531</v>
      </c>
      <c r="C299" s="21">
        <v>0</v>
      </c>
      <c r="D299" s="23">
        <v>0</v>
      </c>
      <c r="E299" s="21">
        <v>0</v>
      </c>
      <c r="F299" s="23">
        <v>0</v>
      </c>
      <c r="G299" s="24"/>
      <c r="H299" s="21">
        <f t="shared" si="34"/>
        <v>0</v>
      </c>
      <c r="I299" s="23">
        <f t="shared" si="34"/>
        <v>0</v>
      </c>
      <c r="J299" s="21">
        <f>VLOOKUP(A299,[1]v_2023!F:I,3,FALSE)</f>
        <v>0</v>
      </c>
      <c r="K299" s="23">
        <f>VLOOKUP(A299,[1]v_2023!F:I,4,FALSE)</f>
        <v>0</v>
      </c>
      <c r="L299" s="21">
        <f t="shared" si="35"/>
        <v>-1</v>
      </c>
      <c r="M299" s="25">
        <f t="shared" si="33"/>
        <v>0</v>
      </c>
      <c r="N299" s="26"/>
    </row>
    <row r="300" spans="1:14" x14ac:dyDescent="0.25">
      <c r="A300" s="21" t="s">
        <v>753</v>
      </c>
      <c r="B300" s="22" t="str">
        <f>VLOOKUP(A300,[1]v_2023!A:B,2,FALSE)</f>
        <v>MD.002</v>
      </c>
      <c r="C300" s="21">
        <v>0</v>
      </c>
      <c r="D300" s="23">
        <v>0</v>
      </c>
      <c r="E300" s="21">
        <v>0</v>
      </c>
      <c r="F300" s="23">
        <v>0</v>
      </c>
      <c r="G300" s="24"/>
      <c r="H300" s="21">
        <f t="shared" si="34"/>
        <v>0</v>
      </c>
      <c r="I300" s="23">
        <f t="shared" si="34"/>
        <v>0</v>
      </c>
      <c r="J300" s="21">
        <v>0</v>
      </c>
      <c r="K300" s="23">
        <v>0</v>
      </c>
      <c r="L300" s="21">
        <f t="shared" si="35"/>
        <v>-1</v>
      </c>
      <c r="M300" s="25">
        <f t="shared" si="33"/>
        <v>0</v>
      </c>
      <c r="N300" s="26"/>
    </row>
    <row r="301" spans="1:14" x14ac:dyDescent="0.25">
      <c r="A301" s="21" t="s">
        <v>610</v>
      </c>
      <c r="B301" s="22" t="str">
        <f>VLOOKUP(A301,[1]v_2023!A:B,2,FALSE)</f>
        <v>MD.213</v>
      </c>
      <c r="C301" s="21">
        <v>0</v>
      </c>
      <c r="D301" s="23">
        <v>0</v>
      </c>
      <c r="E301" s="21">
        <v>0</v>
      </c>
      <c r="F301" s="23">
        <v>0</v>
      </c>
      <c r="G301" s="24"/>
      <c r="H301" s="21">
        <f t="shared" si="34"/>
        <v>0</v>
      </c>
      <c r="I301" s="23">
        <f t="shared" si="34"/>
        <v>0</v>
      </c>
      <c r="J301" s="21">
        <f>VLOOKUP(A301,[1]v_2023!F:I,3,FALSE)</f>
        <v>14</v>
      </c>
      <c r="K301" s="23">
        <f>VLOOKUP(A301,[1]v_2023!F:I,4,FALSE)</f>
        <v>117.64</v>
      </c>
      <c r="L301" s="21">
        <f t="shared" si="35"/>
        <v>0</v>
      </c>
      <c r="M301" s="25">
        <f t="shared" si="33"/>
        <v>-117.64</v>
      </c>
      <c r="N301" s="26">
        <f t="shared" si="37"/>
        <v>-1</v>
      </c>
    </row>
    <row r="302" spans="1:14" x14ac:dyDescent="0.25">
      <c r="A302" s="21" t="s">
        <v>612</v>
      </c>
      <c r="B302" s="22" t="str">
        <f>VLOOKUP(A302,[1]v_2023!A:B,2,FALSE)</f>
        <v>PO.002</v>
      </c>
      <c r="C302" s="21">
        <v>0</v>
      </c>
      <c r="D302" s="23">
        <v>0</v>
      </c>
      <c r="E302" s="21">
        <v>0</v>
      </c>
      <c r="F302" s="23">
        <v>0</v>
      </c>
      <c r="G302" s="24"/>
      <c r="H302" s="21">
        <f t="shared" si="34"/>
        <v>0</v>
      </c>
      <c r="I302" s="23">
        <f t="shared" si="34"/>
        <v>0</v>
      </c>
      <c r="J302" s="21">
        <v>0</v>
      </c>
      <c r="K302" s="23">
        <v>0</v>
      </c>
      <c r="L302" s="21">
        <f t="shared" si="35"/>
        <v>0</v>
      </c>
      <c r="M302" s="25">
        <f t="shared" si="33"/>
        <v>0</v>
      </c>
      <c r="N302" s="26"/>
    </row>
    <row r="303" spans="1:14" x14ac:dyDescent="0.25">
      <c r="A303" s="21" t="s">
        <v>618</v>
      </c>
      <c r="B303" s="22" t="str">
        <f>VLOOKUP(A303,[1]v_2023!A:B,2,FALSE)</f>
        <v>90.836</v>
      </c>
      <c r="C303" s="21">
        <v>0</v>
      </c>
      <c r="D303" s="23">
        <v>0</v>
      </c>
      <c r="E303" s="21">
        <v>0</v>
      </c>
      <c r="F303" s="23">
        <v>0</v>
      </c>
      <c r="G303" s="24"/>
      <c r="H303" s="21">
        <f t="shared" si="34"/>
        <v>0</v>
      </c>
      <c r="I303" s="23">
        <f t="shared" si="34"/>
        <v>0</v>
      </c>
      <c r="J303" s="21">
        <v>0</v>
      </c>
      <c r="K303" s="23">
        <v>0</v>
      </c>
      <c r="L303" s="21">
        <f t="shared" si="35"/>
        <v>-14</v>
      </c>
      <c r="M303" s="25">
        <f t="shared" si="33"/>
        <v>0</v>
      </c>
      <c r="N303" s="26"/>
    </row>
    <row r="304" spans="1:14" x14ac:dyDescent="0.25">
      <c r="A304" s="21" t="s">
        <v>755</v>
      </c>
      <c r="B304" s="22" t="str">
        <f>VLOOKUP(A304,[1]v_2023!A:B,2,FALSE)</f>
        <v>PE.361</v>
      </c>
      <c r="C304" s="21">
        <v>0</v>
      </c>
      <c r="D304" s="23">
        <v>0</v>
      </c>
      <c r="E304" s="21">
        <v>0</v>
      </c>
      <c r="F304" s="23">
        <v>0</v>
      </c>
      <c r="G304" s="24"/>
      <c r="H304" s="21">
        <f t="shared" si="34"/>
        <v>0</v>
      </c>
      <c r="I304" s="23">
        <f t="shared" si="34"/>
        <v>0</v>
      </c>
      <c r="J304" s="21">
        <v>0</v>
      </c>
      <c r="K304" s="23">
        <v>0</v>
      </c>
      <c r="L304" s="21">
        <f t="shared" si="35"/>
        <v>0</v>
      </c>
      <c r="M304" s="25">
        <f t="shared" si="33"/>
        <v>0</v>
      </c>
      <c r="N304" s="26"/>
    </row>
    <row r="305" spans="1:14" x14ac:dyDescent="0.25">
      <c r="A305" s="21" t="s">
        <v>622</v>
      </c>
      <c r="B305" s="22" t="str">
        <f>VLOOKUP(A305,[1]v_2023!A:B,2,FALSE)</f>
        <v>40.926</v>
      </c>
      <c r="C305" s="21">
        <v>0</v>
      </c>
      <c r="D305" s="23">
        <v>0</v>
      </c>
      <c r="E305" s="21">
        <v>0</v>
      </c>
      <c r="F305" s="23">
        <v>0</v>
      </c>
      <c r="G305" s="24"/>
      <c r="H305" s="21">
        <f t="shared" si="34"/>
        <v>0</v>
      </c>
      <c r="I305" s="23">
        <f t="shared" si="34"/>
        <v>0</v>
      </c>
      <c r="J305" s="21">
        <v>0</v>
      </c>
      <c r="K305" s="23">
        <v>0</v>
      </c>
      <c r="L305" s="21">
        <f t="shared" si="35"/>
        <v>0</v>
      </c>
      <c r="M305" s="25">
        <f t="shared" si="33"/>
        <v>0</v>
      </c>
      <c r="N305" s="26"/>
    </row>
    <row r="306" spans="1:14" x14ac:dyDescent="0.25">
      <c r="A306" s="21" t="s">
        <v>624</v>
      </c>
      <c r="B306" s="22" t="str">
        <f>VLOOKUP(A306,[1]v_2023!A:B,2,FALSE)</f>
        <v>PE.376</v>
      </c>
      <c r="C306" s="21">
        <v>0</v>
      </c>
      <c r="D306" s="23">
        <v>0</v>
      </c>
      <c r="E306" s="21">
        <v>0</v>
      </c>
      <c r="F306" s="23">
        <v>0</v>
      </c>
      <c r="G306" s="24"/>
      <c r="H306" s="21">
        <f t="shared" si="34"/>
        <v>0</v>
      </c>
      <c r="I306" s="23">
        <f t="shared" si="34"/>
        <v>0</v>
      </c>
      <c r="J306" s="21">
        <f>VLOOKUP(A306,[1]v_2023!F:I,3,FALSE)</f>
        <v>26</v>
      </c>
      <c r="K306" s="23">
        <f>VLOOKUP(A306,[1]v_2023!F:I,4,FALSE)</f>
        <v>223.33</v>
      </c>
      <c r="L306" s="21">
        <f t="shared" si="35"/>
        <v>0</v>
      </c>
      <c r="M306" s="25">
        <f t="shared" si="33"/>
        <v>-223.33</v>
      </c>
      <c r="N306" s="26">
        <f t="shared" si="37"/>
        <v>-1</v>
      </c>
    </row>
    <row r="307" spans="1:14" x14ac:dyDescent="0.25">
      <c r="A307" s="21" t="s">
        <v>626</v>
      </c>
      <c r="B307" s="22" t="str">
        <f>VLOOKUP(A307,[1]v_2023!A:B,2,FALSE)</f>
        <v>PE.377</v>
      </c>
      <c r="C307" s="21">
        <v>0</v>
      </c>
      <c r="D307" s="23">
        <v>0</v>
      </c>
      <c r="E307" s="21">
        <v>0</v>
      </c>
      <c r="F307" s="23">
        <v>0</v>
      </c>
      <c r="G307" s="24"/>
      <c r="H307" s="21">
        <f t="shared" si="34"/>
        <v>0</v>
      </c>
      <c r="I307" s="23">
        <f t="shared" si="34"/>
        <v>0</v>
      </c>
      <c r="J307" s="21">
        <f>VLOOKUP(A307,[1]v_2023!F:I,3,FALSE)</f>
        <v>16</v>
      </c>
      <c r="K307" s="23">
        <f>VLOOKUP(A307,[1]v_2023!F:I,4,FALSE)</f>
        <v>150.5</v>
      </c>
      <c r="L307" s="21">
        <f t="shared" si="35"/>
        <v>0</v>
      </c>
      <c r="M307" s="25">
        <f t="shared" si="33"/>
        <v>-150.5</v>
      </c>
      <c r="N307" s="26">
        <f t="shared" si="37"/>
        <v>-1</v>
      </c>
    </row>
    <row r="308" spans="1:14" x14ac:dyDescent="0.25">
      <c r="A308" s="21" t="s">
        <v>628</v>
      </c>
      <c r="B308" s="22" t="str">
        <f>VLOOKUP(A308,[1]v_2023!A:B,2,FALSE)</f>
        <v>90.130F2</v>
      </c>
      <c r="C308" s="21">
        <v>0</v>
      </c>
      <c r="D308" s="23">
        <v>0</v>
      </c>
      <c r="E308" s="21">
        <v>0</v>
      </c>
      <c r="F308" s="23">
        <v>0</v>
      </c>
      <c r="G308" s="24"/>
      <c r="H308" s="21">
        <f t="shared" si="34"/>
        <v>0</v>
      </c>
      <c r="I308" s="23">
        <f t="shared" si="34"/>
        <v>0</v>
      </c>
      <c r="J308" s="21">
        <v>0</v>
      </c>
      <c r="K308" s="23">
        <v>0</v>
      </c>
      <c r="L308" s="21">
        <f t="shared" si="35"/>
        <v>-26</v>
      </c>
      <c r="M308" s="25">
        <f t="shared" si="33"/>
        <v>0</v>
      </c>
      <c r="N308" s="26"/>
    </row>
    <row r="309" spans="1:14" x14ac:dyDescent="0.25">
      <c r="A309" s="21" t="s">
        <v>757</v>
      </c>
      <c r="B309" s="22" t="str">
        <f>VLOOKUP(A309,[1]v_2023!A:B,2,FALSE)</f>
        <v>90.436H</v>
      </c>
      <c r="C309" s="21">
        <v>0</v>
      </c>
      <c r="D309" s="23">
        <v>0</v>
      </c>
      <c r="E309" s="21">
        <v>0</v>
      </c>
      <c r="F309" s="23">
        <v>0</v>
      </c>
      <c r="G309" s="24"/>
      <c r="H309" s="21">
        <f t="shared" si="34"/>
        <v>0</v>
      </c>
      <c r="I309" s="23">
        <f t="shared" si="34"/>
        <v>0</v>
      </c>
      <c r="J309" s="21">
        <f>VLOOKUP(A309,[1]v_2023!F:I,3,FALSE)</f>
        <v>0</v>
      </c>
      <c r="K309" s="23">
        <f>VLOOKUP(A309,[1]v_2023!F:I,4,FALSE)</f>
        <v>0</v>
      </c>
      <c r="L309" s="21">
        <f t="shared" si="35"/>
        <v>-16</v>
      </c>
      <c r="M309" s="25">
        <f t="shared" si="33"/>
        <v>0</v>
      </c>
      <c r="N309" s="26"/>
    </row>
    <row r="310" spans="1:14" x14ac:dyDescent="0.25">
      <c r="A310" s="21" t="s">
        <v>759</v>
      </c>
      <c r="B310" s="22" t="str">
        <f>VLOOKUP(A310,[1]v_2023!A:B,2,FALSE)</f>
        <v>50.920V</v>
      </c>
      <c r="C310" s="21">
        <v>0</v>
      </c>
      <c r="D310" s="23">
        <v>0</v>
      </c>
      <c r="E310" s="21">
        <v>0</v>
      </c>
      <c r="F310" s="23">
        <v>0</v>
      </c>
      <c r="G310" s="24"/>
      <c r="H310" s="21">
        <f t="shared" si="34"/>
        <v>0</v>
      </c>
      <c r="I310" s="23">
        <f t="shared" si="34"/>
        <v>0</v>
      </c>
      <c r="J310" s="21">
        <f>VLOOKUP(A310,[1]v_2023!F:I,3,FALSE)</f>
        <v>-1</v>
      </c>
      <c r="K310" s="23">
        <f>VLOOKUP(A310,[1]v_2023!F:I,4,FALSE)</f>
        <v>-11.39</v>
      </c>
      <c r="L310" s="21">
        <f t="shared" si="35"/>
        <v>0</v>
      </c>
      <c r="M310" s="25">
        <f t="shared" si="33"/>
        <v>11.39</v>
      </c>
      <c r="N310" s="26">
        <f t="shared" si="37"/>
        <v>-1</v>
      </c>
    </row>
    <row r="311" spans="1:14" x14ac:dyDescent="0.25">
      <c r="A311" s="21" t="s">
        <v>632</v>
      </c>
      <c r="B311" s="22" t="str">
        <f>VLOOKUP(A311,[1]v_2023!A:B,2,FALSE)</f>
        <v>90.350V</v>
      </c>
      <c r="C311" s="21">
        <v>0</v>
      </c>
      <c r="D311" s="23">
        <v>0</v>
      </c>
      <c r="E311" s="21">
        <v>0</v>
      </c>
      <c r="F311" s="23">
        <v>0</v>
      </c>
      <c r="G311" s="24"/>
      <c r="H311" s="21">
        <f t="shared" si="34"/>
        <v>0</v>
      </c>
      <c r="I311" s="23">
        <f t="shared" si="34"/>
        <v>0</v>
      </c>
      <c r="J311" s="21">
        <v>0</v>
      </c>
      <c r="K311" s="23">
        <v>0</v>
      </c>
      <c r="L311" s="21">
        <f t="shared" si="35"/>
        <v>0</v>
      </c>
      <c r="M311" s="25">
        <f t="shared" si="33"/>
        <v>0</v>
      </c>
      <c r="N311" s="26"/>
    </row>
    <row r="312" spans="1:14" x14ac:dyDescent="0.25">
      <c r="A312" s="21" t="s">
        <v>761</v>
      </c>
      <c r="B312" s="22" t="str">
        <f>VLOOKUP(A312,[1]v_2023!A:B,2,FALSE)</f>
        <v>BT.001R</v>
      </c>
      <c r="C312" s="21">
        <v>0</v>
      </c>
      <c r="D312" s="23">
        <v>0</v>
      </c>
      <c r="E312" s="21">
        <v>0</v>
      </c>
      <c r="F312" s="23">
        <v>0</v>
      </c>
      <c r="G312" s="24"/>
      <c r="H312" s="21">
        <f t="shared" si="34"/>
        <v>0</v>
      </c>
      <c r="I312" s="23">
        <f t="shared" si="34"/>
        <v>0</v>
      </c>
      <c r="J312" s="21">
        <f>VLOOKUP(A312,[1]v_2023!F:I,3,FALSE)</f>
        <v>0</v>
      </c>
      <c r="K312" s="23">
        <f>VLOOKUP(A312,[1]v_2023!F:I,4,FALSE)</f>
        <v>0</v>
      </c>
      <c r="L312" s="21">
        <f t="shared" si="35"/>
        <v>1</v>
      </c>
      <c r="M312" s="25">
        <f t="shared" si="33"/>
        <v>0</v>
      </c>
      <c r="N312" s="26"/>
    </row>
    <row r="313" spans="1:14" x14ac:dyDescent="0.25">
      <c r="A313" s="21" t="s">
        <v>763</v>
      </c>
      <c r="B313" s="22" t="str">
        <f>VLOOKUP(A313,[1]v_2023!A:B,2,FALSE)</f>
        <v>40.957N</v>
      </c>
      <c r="C313" s="21">
        <v>0</v>
      </c>
      <c r="D313" s="23">
        <v>0</v>
      </c>
      <c r="E313" s="21">
        <v>0</v>
      </c>
      <c r="F313" s="23">
        <v>0</v>
      </c>
      <c r="G313" s="24"/>
      <c r="H313" s="21">
        <f t="shared" si="34"/>
        <v>0</v>
      </c>
      <c r="I313" s="23">
        <f t="shared" si="34"/>
        <v>0</v>
      </c>
      <c r="J313" s="21">
        <f>VLOOKUP(A313,[1]v_2023!F:I,3,FALSE)</f>
        <v>2</v>
      </c>
      <c r="K313" s="23">
        <f>VLOOKUP(A313,[1]v_2023!F:I,4,FALSE)</f>
        <v>23.6</v>
      </c>
      <c r="L313" s="21">
        <f t="shared" si="35"/>
        <v>0</v>
      </c>
      <c r="M313" s="25">
        <f t="shared" si="33"/>
        <v>-23.6</v>
      </c>
      <c r="N313" s="26">
        <f t="shared" si="37"/>
        <v>-1</v>
      </c>
    </row>
    <row r="314" spans="1:14" x14ac:dyDescent="0.25">
      <c r="A314" s="21" t="s">
        <v>636</v>
      </c>
      <c r="B314" s="22" t="str">
        <f>VLOOKUP(A314,[1]v_2023!A:B,2,FALSE)</f>
        <v>90.886</v>
      </c>
      <c r="C314" s="21">
        <v>0</v>
      </c>
      <c r="D314" s="23">
        <v>0</v>
      </c>
      <c r="E314" s="21">
        <v>0</v>
      </c>
      <c r="F314" s="23">
        <v>0</v>
      </c>
      <c r="G314" s="24"/>
      <c r="H314" s="21">
        <f t="shared" si="34"/>
        <v>0</v>
      </c>
      <c r="I314" s="23">
        <f t="shared" si="34"/>
        <v>0</v>
      </c>
      <c r="J314" s="21">
        <f>VLOOKUP(A314,[1]v_2023!F:I,3,FALSE)</f>
        <v>2</v>
      </c>
      <c r="K314" s="23">
        <f>VLOOKUP(A314,[1]v_2023!F:I,4,FALSE)</f>
        <v>211.48</v>
      </c>
      <c r="L314" s="21">
        <f t="shared" si="35"/>
        <v>0</v>
      </c>
      <c r="M314" s="25">
        <f t="shared" si="33"/>
        <v>-211.48</v>
      </c>
      <c r="N314" s="26">
        <f t="shared" si="37"/>
        <v>-1</v>
      </c>
    </row>
    <row r="315" spans="1:14" x14ac:dyDescent="0.25">
      <c r="A315" s="21" t="s">
        <v>638</v>
      </c>
      <c r="B315" s="22" t="str">
        <f>VLOOKUP(A315,[1]v_2023!A:B,2,FALSE)</f>
        <v>BP.600</v>
      </c>
      <c r="C315" s="21">
        <v>0</v>
      </c>
      <c r="D315" s="23">
        <v>0</v>
      </c>
      <c r="E315" s="21">
        <v>0</v>
      </c>
      <c r="F315" s="23">
        <v>0</v>
      </c>
      <c r="G315" s="24"/>
      <c r="H315" s="21">
        <f t="shared" si="34"/>
        <v>0</v>
      </c>
      <c r="I315" s="23">
        <f t="shared" si="34"/>
        <v>0</v>
      </c>
      <c r="J315" s="21">
        <f>VLOOKUP(A315,[1]v_2023!F:I,3,FALSE)</f>
        <v>1</v>
      </c>
      <c r="K315" s="23">
        <f>VLOOKUP(A315,[1]v_2023!F:I,4,FALSE)</f>
        <v>21.51</v>
      </c>
      <c r="L315" s="21">
        <f t="shared" si="35"/>
        <v>-2</v>
      </c>
      <c r="M315" s="25">
        <f t="shared" si="33"/>
        <v>-21.51</v>
      </c>
      <c r="N315" s="26">
        <f t="shared" si="37"/>
        <v>-1</v>
      </c>
    </row>
    <row r="316" spans="1:14" x14ac:dyDescent="0.25">
      <c r="A316" s="21" t="s">
        <v>765</v>
      </c>
      <c r="B316" s="22" t="str">
        <f>VLOOKUP(A316,[1]v_2023!A:B,2,FALSE)</f>
        <v>BB.001</v>
      </c>
      <c r="C316" s="21">
        <v>0</v>
      </c>
      <c r="D316" s="23">
        <v>0</v>
      </c>
      <c r="E316" s="21">
        <v>0</v>
      </c>
      <c r="F316" s="23">
        <v>0</v>
      </c>
      <c r="G316" s="24"/>
      <c r="H316" s="21">
        <f t="shared" si="34"/>
        <v>0</v>
      </c>
      <c r="I316" s="23">
        <f t="shared" si="34"/>
        <v>0</v>
      </c>
      <c r="J316" s="21">
        <v>0</v>
      </c>
      <c r="K316" s="23">
        <v>0</v>
      </c>
      <c r="L316" s="21">
        <f t="shared" si="35"/>
        <v>-2</v>
      </c>
      <c r="M316" s="25">
        <f t="shared" si="33"/>
        <v>0</v>
      </c>
      <c r="N316" s="26"/>
    </row>
    <row r="317" spans="1:14" x14ac:dyDescent="0.25">
      <c r="A317" s="21" t="s">
        <v>644</v>
      </c>
      <c r="B317" s="22" t="str">
        <f>VLOOKUP(A317,[1]v_2023!A:B,2,FALSE)</f>
        <v>40.915</v>
      </c>
      <c r="C317" s="21">
        <v>0</v>
      </c>
      <c r="D317" s="23">
        <v>0</v>
      </c>
      <c r="E317" s="21">
        <v>0</v>
      </c>
      <c r="F317" s="23">
        <v>0</v>
      </c>
      <c r="G317" s="24"/>
      <c r="H317" s="21">
        <f t="shared" si="34"/>
        <v>0</v>
      </c>
      <c r="I317" s="23">
        <f t="shared" si="34"/>
        <v>0</v>
      </c>
      <c r="J317" s="21">
        <f>VLOOKUP(A317,[1]v_2023!F:I,3,FALSE)</f>
        <v>14</v>
      </c>
      <c r="K317" s="23">
        <f>VLOOKUP(A317,[1]v_2023!F:I,4,FALSE)</f>
        <v>71.680000000000007</v>
      </c>
      <c r="L317" s="21">
        <f t="shared" si="35"/>
        <v>-1</v>
      </c>
      <c r="M317" s="25">
        <f t="shared" si="33"/>
        <v>-71.680000000000007</v>
      </c>
      <c r="N317" s="26">
        <f t="shared" si="37"/>
        <v>-1</v>
      </c>
    </row>
    <row r="318" spans="1:14" x14ac:dyDescent="0.25">
      <c r="A318" s="21" t="s">
        <v>646</v>
      </c>
      <c r="B318" s="22" t="str">
        <f>VLOOKUP(A318,[1]v_2023!A:B,2,FALSE)</f>
        <v>BF.550</v>
      </c>
      <c r="C318" s="21">
        <v>0</v>
      </c>
      <c r="D318" s="23">
        <v>0</v>
      </c>
      <c r="E318" s="21">
        <v>0</v>
      </c>
      <c r="F318" s="23">
        <v>0</v>
      </c>
      <c r="G318" s="24"/>
      <c r="H318" s="21">
        <f t="shared" si="34"/>
        <v>0</v>
      </c>
      <c r="I318" s="23">
        <f t="shared" si="34"/>
        <v>0</v>
      </c>
      <c r="J318" s="21">
        <f>VLOOKUP(A318,[1]v_2023!F:I,3,FALSE)</f>
        <v>1</v>
      </c>
      <c r="K318" s="23">
        <f>VLOOKUP(A318,[1]v_2023!F:I,4,FALSE)</f>
        <v>64.61</v>
      </c>
      <c r="L318" s="21">
        <f t="shared" si="35"/>
        <v>0</v>
      </c>
      <c r="M318" s="25">
        <f t="shared" si="33"/>
        <v>-64.61</v>
      </c>
      <c r="N318" s="26">
        <f t="shared" si="37"/>
        <v>-1</v>
      </c>
    </row>
    <row r="319" spans="1:14" x14ac:dyDescent="0.25">
      <c r="A319" s="21" t="s">
        <v>648</v>
      </c>
      <c r="B319" s="22" t="str">
        <f>VLOOKUP(A319,[1]v_2023!A:B,2,FALSE)</f>
        <v>VE.402</v>
      </c>
      <c r="C319" s="21">
        <v>0</v>
      </c>
      <c r="D319" s="23">
        <v>0</v>
      </c>
      <c r="E319" s="21">
        <v>0</v>
      </c>
      <c r="F319" s="23">
        <v>0</v>
      </c>
      <c r="G319" s="24"/>
      <c r="H319" s="21">
        <f t="shared" si="34"/>
        <v>0</v>
      </c>
      <c r="I319" s="23">
        <f t="shared" si="34"/>
        <v>0</v>
      </c>
      <c r="J319" s="21">
        <f>VLOOKUP(A319,[1]v_2023!F:I,3,FALSE)</f>
        <v>0</v>
      </c>
      <c r="K319" s="23">
        <f>VLOOKUP(A319,[1]v_2023!F:I,4,FALSE)</f>
        <v>0</v>
      </c>
      <c r="L319" s="21">
        <f t="shared" si="35"/>
        <v>-14</v>
      </c>
      <c r="M319" s="25">
        <f t="shared" si="33"/>
        <v>0</v>
      </c>
      <c r="N319" s="26"/>
    </row>
    <row r="320" spans="1:14" x14ac:dyDescent="0.25">
      <c r="A320" s="21" t="s">
        <v>650</v>
      </c>
      <c r="B320" s="22" t="str">
        <f>VLOOKUP(A320,[1]v_2023!A:B,2,FALSE)</f>
        <v>BC.130</v>
      </c>
      <c r="C320" s="21">
        <v>0</v>
      </c>
      <c r="D320" s="23">
        <v>0</v>
      </c>
      <c r="E320" s="21">
        <v>0</v>
      </c>
      <c r="F320" s="23">
        <v>0</v>
      </c>
      <c r="G320" s="24"/>
      <c r="H320" s="21">
        <f t="shared" si="34"/>
        <v>0</v>
      </c>
      <c r="I320" s="23">
        <f t="shared" si="34"/>
        <v>0</v>
      </c>
      <c r="J320" s="21">
        <v>0</v>
      </c>
      <c r="K320" s="23">
        <v>0</v>
      </c>
      <c r="L320" s="21">
        <f t="shared" si="35"/>
        <v>-1</v>
      </c>
      <c r="M320" s="25">
        <f t="shared" si="33"/>
        <v>0</v>
      </c>
      <c r="N320" s="26"/>
    </row>
    <row r="321" spans="1:14" x14ac:dyDescent="0.25">
      <c r="A321" s="21" t="s">
        <v>767</v>
      </c>
      <c r="B321" s="22" t="str">
        <f>VLOOKUP(A321,[1]v_2023!A:B,2,FALSE)</f>
        <v>50.940GO</v>
      </c>
      <c r="C321" s="21">
        <v>0</v>
      </c>
      <c r="D321" s="23">
        <v>0</v>
      </c>
      <c r="E321" s="21">
        <v>0</v>
      </c>
      <c r="F321" s="23">
        <v>0</v>
      </c>
      <c r="G321" s="24"/>
      <c r="H321" s="21">
        <f t="shared" si="34"/>
        <v>0</v>
      </c>
      <c r="I321" s="23">
        <f t="shared" si="34"/>
        <v>0</v>
      </c>
      <c r="J321" s="21">
        <f>VLOOKUP(A321,[1]v_2023!F:I,3,FALSE)</f>
        <v>2</v>
      </c>
      <c r="K321" s="23">
        <f>VLOOKUP(A321,[1]v_2023!F:I,4,FALSE)</f>
        <v>49.02</v>
      </c>
      <c r="L321" s="21">
        <f t="shared" si="35"/>
        <v>0</v>
      </c>
      <c r="M321" s="25">
        <f t="shared" si="33"/>
        <v>-49.02</v>
      </c>
      <c r="N321" s="26">
        <f t="shared" si="37"/>
        <v>-1</v>
      </c>
    </row>
    <row r="322" spans="1:14" x14ac:dyDescent="0.25">
      <c r="A322" s="21" t="s">
        <v>652</v>
      </c>
      <c r="B322" s="22" t="str">
        <f>VLOOKUP(A322,[1]v_2023!A:B,2,FALSE)</f>
        <v>ri.093</v>
      </c>
      <c r="C322" s="21">
        <v>0</v>
      </c>
      <c r="D322" s="23">
        <v>0</v>
      </c>
      <c r="E322" s="21">
        <v>0</v>
      </c>
      <c r="F322" s="23">
        <v>0</v>
      </c>
      <c r="G322" s="24"/>
      <c r="H322" s="21">
        <f t="shared" si="34"/>
        <v>0</v>
      </c>
      <c r="I322" s="23">
        <f t="shared" si="34"/>
        <v>0</v>
      </c>
      <c r="J322" s="21">
        <f>VLOOKUP(A322,[1]v_2023!F:I,3,FALSE)</f>
        <v>1</v>
      </c>
      <c r="K322" s="23">
        <f>VLOOKUP(A322,[1]v_2023!F:I,4,FALSE)</f>
        <v>20.41</v>
      </c>
      <c r="L322" s="21">
        <f t="shared" si="35"/>
        <v>0</v>
      </c>
      <c r="M322" s="25">
        <f t="shared" si="33"/>
        <v>-20.41</v>
      </c>
      <c r="N322" s="26">
        <f t="shared" si="37"/>
        <v>-1</v>
      </c>
    </row>
    <row r="323" spans="1:14" x14ac:dyDescent="0.25">
      <c r="A323" s="21" t="s">
        <v>769</v>
      </c>
      <c r="B323" s="22" t="str">
        <f>VLOOKUP(A323,[1]v_2023!A:B,2,FALSE)</f>
        <v>RI.552</v>
      </c>
      <c r="C323" s="21">
        <v>0</v>
      </c>
      <c r="D323" s="23">
        <v>0</v>
      </c>
      <c r="E323" s="21">
        <v>0</v>
      </c>
      <c r="F323" s="23">
        <v>0</v>
      </c>
      <c r="G323" s="24"/>
      <c r="H323" s="21">
        <f t="shared" si="34"/>
        <v>0</v>
      </c>
      <c r="I323" s="23">
        <f t="shared" si="34"/>
        <v>0</v>
      </c>
      <c r="J323" s="21">
        <f>VLOOKUP(A323,[1]v_2023!F:I,3,FALSE)</f>
        <v>0</v>
      </c>
      <c r="K323" s="23">
        <f>VLOOKUP(A323,[1]v_2023!F:I,4,FALSE)</f>
        <v>0</v>
      </c>
      <c r="L323" s="21">
        <f t="shared" si="35"/>
        <v>-2</v>
      </c>
      <c r="M323" s="25">
        <f t="shared" si="33"/>
        <v>0</v>
      </c>
      <c r="N323" s="26"/>
    </row>
    <row r="324" spans="1:14" x14ac:dyDescent="0.25">
      <c r="A324" s="21" t="s">
        <v>656</v>
      </c>
      <c r="B324" s="22" t="str">
        <f>VLOOKUP(A324,[1]v_2023!A:B,2,FALSE)</f>
        <v>50600</v>
      </c>
      <c r="C324" s="21">
        <v>0</v>
      </c>
      <c r="D324" s="23">
        <v>0</v>
      </c>
      <c r="E324" s="21">
        <v>0</v>
      </c>
      <c r="F324" s="23">
        <v>0</v>
      </c>
      <c r="G324" s="24"/>
      <c r="H324" s="21">
        <f t="shared" si="34"/>
        <v>0</v>
      </c>
      <c r="I324" s="23">
        <f t="shared" si="34"/>
        <v>0</v>
      </c>
      <c r="J324" s="21">
        <v>0</v>
      </c>
      <c r="K324" s="23">
        <v>0</v>
      </c>
      <c r="L324" s="21">
        <f t="shared" si="35"/>
        <v>-1</v>
      </c>
      <c r="M324" s="25">
        <f t="shared" si="33"/>
        <v>0</v>
      </c>
      <c r="N324" s="26"/>
    </row>
    <row r="325" spans="1:14" x14ac:dyDescent="0.25">
      <c r="A325" s="21" t="s">
        <v>660</v>
      </c>
      <c r="B325" s="22" t="str">
        <f>VLOOKUP(A325,[1]v_2023!A:B,2,FALSE)</f>
        <v>BT.300</v>
      </c>
      <c r="C325" s="21">
        <v>0</v>
      </c>
      <c r="D325" s="23">
        <v>0</v>
      </c>
      <c r="E325" s="21">
        <v>0</v>
      </c>
      <c r="F325" s="23">
        <v>0</v>
      </c>
      <c r="G325" s="24"/>
      <c r="H325" s="21">
        <f t="shared" si="34"/>
        <v>0</v>
      </c>
      <c r="I325" s="23">
        <f t="shared" si="34"/>
        <v>0</v>
      </c>
      <c r="J325" s="21">
        <f>VLOOKUP(A325,[1]v_2023!F:I,3,FALSE)</f>
        <v>0</v>
      </c>
      <c r="K325" s="23">
        <f>VLOOKUP(A325,[1]v_2023!F:I,4,FALSE)</f>
        <v>0</v>
      </c>
      <c r="L325" s="21">
        <f t="shared" si="35"/>
        <v>0</v>
      </c>
      <c r="M325" s="25">
        <f t="shared" si="33"/>
        <v>0</v>
      </c>
      <c r="N325" s="26"/>
    </row>
    <row r="326" spans="1:14" x14ac:dyDescent="0.25">
      <c r="A326" s="21" t="s">
        <v>662</v>
      </c>
      <c r="B326" s="22" t="str">
        <f>VLOOKUP(A326,[1]v_2023!A:B,2,FALSE)</f>
        <v>BP.500</v>
      </c>
      <c r="C326" s="21">
        <v>0</v>
      </c>
      <c r="D326" s="23">
        <v>0</v>
      </c>
      <c r="E326" s="21">
        <v>0</v>
      </c>
      <c r="F326" s="23">
        <v>0</v>
      </c>
      <c r="G326" s="24"/>
      <c r="H326" s="21">
        <f t="shared" si="34"/>
        <v>0</v>
      </c>
      <c r="I326" s="23">
        <f t="shared" si="34"/>
        <v>0</v>
      </c>
      <c r="J326" s="21">
        <f>VLOOKUP(A326,[1]v_2023!F:I,3,FALSE)</f>
        <v>5</v>
      </c>
      <c r="K326" s="23">
        <f>VLOOKUP(A326,[1]v_2023!F:I,4,FALSE)</f>
        <v>327.45</v>
      </c>
      <c r="L326" s="21">
        <f t="shared" si="35"/>
        <v>0</v>
      </c>
      <c r="M326" s="25">
        <f t="shared" si="33"/>
        <v>-327.45</v>
      </c>
      <c r="N326" s="26">
        <f t="shared" si="37"/>
        <v>-1</v>
      </c>
    </row>
    <row r="327" spans="1:14" x14ac:dyDescent="0.25">
      <c r="A327" s="21" t="s">
        <v>664</v>
      </c>
      <c r="B327" s="22" t="str">
        <f>VLOOKUP(A327,[1]v_2023!A:B,2,FALSE)</f>
        <v>BT.604</v>
      </c>
      <c r="C327" s="21">
        <v>0</v>
      </c>
      <c r="D327" s="23">
        <v>0</v>
      </c>
      <c r="E327" s="21">
        <v>0</v>
      </c>
      <c r="F327" s="23">
        <v>0</v>
      </c>
      <c r="G327" s="24"/>
      <c r="H327" s="21">
        <f t="shared" si="34"/>
        <v>0</v>
      </c>
      <c r="I327" s="23">
        <f t="shared" si="34"/>
        <v>0</v>
      </c>
      <c r="J327" s="21">
        <v>0</v>
      </c>
      <c r="K327" s="23">
        <v>0</v>
      </c>
      <c r="L327" s="21">
        <f t="shared" si="35"/>
        <v>0</v>
      </c>
      <c r="M327" s="25">
        <f t="shared" si="33"/>
        <v>0</v>
      </c>
      <c r="N327" s="26"/>
    </row>
    <row r="328" spans="1:14" x14ac:dyDescent="0.25">
      <c r="A328" s="21" t="s">
        <v>666</v>
      </c>
      <c r="B328" s="22" t="str">
        <f>VLOOKUP(A328,[1]v_2023!A:B,2,FALSE)</f>
        <v>BT.450</v>
      </c>
      <c r="C328" s="21">
        <v>0</v>
      </c>
      <c r="D328" s="23">
        <v>0</v>
      </c>
      <c r="E328" s="21">
        <v>0</v>
      </c>
      <c r="F328" s="23">
        <v>0</v>
      </c>
      <c r="G328" s="24"/>
      <c r="H328" s="21">
        <f t="shared" si="34"/>
        <v>0</v>
      </c>
      <c r="I328" s="23">
        <f t="shared" si="34"/>
        <v>0</v>
      </c>
      <c r="J328" s="21">
        <f>VLOOKUP(A328,[1]v_2023!F:I,3,FALSE)</f>
        <v>1</v>
      </c>
      <c r="K328" s="23">
        <f>VLOOKUP(A328,[1]v_2023!F:I,4,FALSE)</f>
        <v>44.57</v>
      </c>
      <c r="L328" s="21">
        <f t="shared" si="35"/>
        <v>-5</v>
      </c>
      <c r="M328" s="25">
        <f t="shared" si="33"/>
        <v>-44.57</v>
      </c>
      <c r="N328" s="26">
        <f t="shared" si="37"/>
        <v>-1</v>
      </c>
    </row>
    <row r="329" spans="1:14" x14ac:dyDescent="0.25">
      <c r="A329" s="21" t="s">
        <v>771</v>
      </c>
      <c r="B329" s="22" t="str">
        <f>VLOOKUP(A329,[1]v_2023!A:B,2,FALSE)</f>
        <v>BB.105</v>
      </c>
      <c r="C329" s="21">
        <v>0</v>
      </c>
      <c r="D329" s="23">
        <v>0</v>
      </c>
      <c r="E329" s="21">
        <v>0</v>
      </c>
      <c r="F329" s="23">
        <v>0</v>
      </c>
      <c r="G329" s="24"/>
      <c r="H329" s="21">
        <f t="shared" si="34"/>
        <v>0</v>
      </c>
      <c r="I329" s="23">
        <f t="shared" si="34"/>
        <v>0</v>
      </c>
      <c r="J329" s="21">
        <v>0</v>
      </c>
      <c r="K329" s="23">
        <v>0</v>
      </c>
      <c r="L329" s="21">
        <f t="shared" si="35"/>
        <v>0</v>
      </c>
      <c r="M329" s="25">
        <f t="shared" si="33"/>
        <v>0</v>
      </c>
      <c r="N329" s="26"/>
    </row>
    <row r="330" spans="1:14" x14ac:dyDescent="0.25">
      <c r="A330" s="21" t="s">
        <v>668</v>
      </c>
      <c r="B330" s="22" t="str">
        <f>VLOOKUP(A330,[1]v_2023!A:B,2,FALSE)</f>
        <v>40.453</v>
      </c>
      <c r="C330" s="21">
        <v>0</v>
      </c>
      <c r="D330" s="23">
        <v>0</v>
      </c>
      <c r="E330" s="21">
        <v>0</v>
      </c>
      <c r="F330" s="23">
        <v>0</v>
      </c>
      <c r="G330" s="24"/>
      <c r="H330" s="21">
        <f t="shared" si="34"/>
        <v>0</v>
      </c>
      <c r="I330" s="23">
        <f t="shared" si="34"/>
        <v>0</v>
      </c>
      <c r="J330" s="21">
        <f>VLOOKUP(A330,[1]v_2023!F:I,3,FALSE)</f>
        <v>8</v>
      </c>
      <c r="K330" s="23">
        <f>VLOOKUP(A330,[1]v_2023!F:I,4,FALSE)</f>
        <v>156.72</v>
      </c>
      <c r="L330" s="21">
        <f t="shared" si="35"/>
        <v>-1</v>
      </c>
      <c r="M330" s="25">
        <f t="shared" si="33"/>
        <v>-156.72</v>
      </c>
      <c r="N330" s="26">
        <f t="shared" si="37"/>
        <v>-1</v>
      </c>
    </row>
    <row r="331" spans="1:14" x14ac:dyDescent="0.25">
      <c r="A331" s="21" t="s">
        <v>670</v>
      </c>
      <c r="B331" s="22" t="str">
        <f>VLOOKUP(A331,[1]v_2023!A:B,2,FALSE)</f>
        <v>MD.127</v>
      </c>
      <c r="C331" s="21">
        <v>0</v>
      </c>
      <c r="D331" s="23">
        <v>0</v>
      </c>
      <c r="E331" s="21">
        <v>0</v>
      </c>
      <c r="F331" s="23">
        <v>0</v>
      </c>
      <c r="G331" s="24"/>
      <c r="H331" s="21">
        <f t="shared" si="34"/>
        <v>0</v>
      </c>
      <c r="I331" s="23">
        <f t="shared" si="34"/>
        <v>0</v>
      </c>
      <c r="J331" s="21">
        <v>0</v>
      </c>
      <c r="K331" s="23">
        <v>0</v>
      </c>
      <c r="L331" s="21">
        <f t="shared" si="35"/>
        <v>0</v>
      </c>
      <c r="M331" s="25">
        <f t="shared" si="33"/>
        <v>0</v>
      </c>
      <c r="N331" s="26"/>
    </row>
    <row r="332" spans="1:14" x14ac:dyDescent="0.25">
      <c r="A332" s="21" t="s">
        <v>672</v>
      </c>
      <c r="B332" s="22" t="str">
        <f>VLOOKUP(A332,[1]v_2023!A:B,2,FALSE)</f>
        <v>BB.002</v>
      </c>
      <c r="C332" s="21">
        <v>0</v>
      </c>
      <c r="D332" s="23">
        <v>0</v>
      </c>
      <c r="E332" s="21">
        <v>0</v>
      </c>
      <c r="F332" s="23">
        <v>0</v>
      </c>
      <c r="G332" s="24"/>
      <c r="H332" s="21">
        <f t="shared" si="34"/>
        <v>0</v>
      </c>
      <c r="I332" s="23">
        <f t="shared" si="34"/>
        <v>0</v>
      </c>
      <c r="J332" s="21">
        <f>VLOOKUP(A332,[1]v_2023!F:I,3,FALSE)</f>
        <v>1</v>
      </c>
      <c r="K332" s="23">
        <f>VLOOKUP(A332,[1]v_2023!F:I,4,FALSE)</f>
        <v>24.51</v>
      </c>
      <c r="L332" s="21">
        <f t="shared" si="35"/>
        <v>-8</v>
      </c>
      <c r="M332" s="25">
        <f t="shared" si="33"/>
        <v>-24.51</v>
      </c>
      <c r="N332" s="26">
        <f t="shared" si="37"/>
        <v>-1</v>
      </c>
    </row>
    <row r="333" spans="1:14" x14ac:dyDescent="0.25">
      <c r="A333" s="21" t="s">
        <v>773</v>
      </c>
      <c r="B333" s="22" t="str">
        <f>VLOOKUP(A333,[1]v_2023!A:B,2,FALSE)</f>
        <v>BP.630</v>
      </c>
      <c r="C333" s="21">
        <v>0</v>
      </c>
      <c r="D333" s="23">
        <v>0</v>
      </c>
      <c r="E333" s="21">
        <v>0</v>
      </c>
      <c r="F333" s="23">
        <v>0</v>
      </c>
      <c r="G333" s="24"/>
      <c r="H333" s="21">
        <f t="shared" si="34"/>
        <v>0</v>
      </c>
      <c r="I333" s="23">
        <f t="shared" si="34"/>
        <v>0</v>
      </c>
      <c r="J333" s="21">
        <f>VLOOKUP(A333,[1]v_2023!F:I,3,FALSE)</f>
        <v>0</v>
      </c>
      <c r="K333" s="23">
        <f>VLOOKUP(A333,[1]v_2023!F:I,4,FALSE)</f>
        <v>0</v>
      </c>
      <c r="L333" s="21">
        <f t="shared" si="35"/>
        <v>0</v>
      </c>
      <c r="M333" s="25">
        <f t="shared" si="33"/>
        <v>0</v>
      </c>
      <c r="N333" s="26"/>
    </row>
    <row r="334" spans="1:14" x14ac:dyDescent="0.25">
      <c r="A334" s="21" t="s">
        <v>674</v>
      </c>
      <c r="B334" s="22" t="str">
        <f>VLOOKUP(A334,[1]v_2023!A:B,2,FALSE)</f>
        <v>CA.013</v>
      </c>
      <c r="C334" s="21">
        <v>0</v>
      </c>
      <c r="D334" s="23">
        <v>0</v>
      </c>
      <c r="E334" s="21">
        <v>0</v>
      </c>
      <c r="F334" s="23">
        <v>0</v>
      </c>
      <c r="G334" s="24"/>
      <c r="H334" s="21">
        <f t="shared" si="34"/>
        <v>0</v>
      </c>
      <c r="I334" s="23">
        <f t="shared" si="34"/>
        <v>0</v>
      </c>
      <c r="J334" s="21">
        <f>VLOOKUP(A334,[1]v_2023!F:I,3,FALSE)</f>
        <v>0</v>
      </c>
      <c r="K334" s="23">
        <f>VLOOKUP(A334,[1]v_2023!F:I,4,FALSE)</f>
        <v>0</v>
      </c>
      <c r="L334" s="21">
        <f t="shared" si="35"/>
        <v>-1</v>
      </c>
      <c r="M334" s="25">
        <f t="shared" si="33"/>
        <v>0</v>
      </c>
      <c r="N334" s="26"/>
    </row>
    <row r="335" spans="1:14" x14ac:dyDescent="0.25">
      <c r="A335" s="21" t="s">
        <v>775</v>
      </c>
      <c r="B335" s="22" t="str">
        <f>VLOOKUP(A335,[1]v_2023!A:B,2,FALSE)</f>
        <v>BC.300</v>
      </c>
      <c r="C335" s="21">
        <v>0</v>
      </c>
      <c r="D335" s="23">
        <v>0</v>
      </c>
      <c r="E335" s="21">
        <v>0</v>
      </c>
      <c r="F335" s="23">
        <v>0</v>
      </c>
      <c r="G335" s="24"/>
      <c r="H335" s="21">
        <f t="shared" si="34"/>
        <v>0</v>
      </c>
      <c r="I335" s="23">
        <f t="shared" si="34"/>
        <v>0</v>
      </c>
      <c r="J335" s="21">
        <f>VLOOKUP(A335,[1]v_2023!F:I,3,FALSE)</f>
        <v>2</v>
      </c>
      <c r="K335" s="23">
        <f>VLOOKUP(A335,[1]v_2023!F:I,4,FALSE)</f>
        <v>98.2</v>
      </c>
      <c r="L335" s="21">
        <f t="shared" si="35"/>
        <v>0</v>
      </c>
      <c r="M335" s="25">
        <f t="shared" si="33"/>
        <v>-98.2</v>
      </c>
      <c r="N335" s="26">
        <f t="shared" si="37"/>
        <v>-1</v>
      </c>
    </row>
    <row r="336" spans="1:14" x14ac:dyDescent="0.25">
      <c r="A336" s="21" t="s">
        <v>676</v>
      </c>
      <c r="B336" s="22" t="str">
        <f>VLOOKUP(A336,[1]v_2023!A:B,2,FALSE)</f>
        <v>40.918</v>
      </c>
      <c r="C336" s="21">
        <v>0</v>
      </c>
      <c r="D336" s="23">
        <v>0</v>
      </c>
      <c r="E336" s="21">
        <v>0</v>
      </c>
      <c r="F336" s="23">
        <v>0</v>
      </c>
      <c r="G336" s="24"/>
      <c r="H336" s="21">
        <f t="shared" si="34"/>
        <v>0</v>
      </c>
      <c r="I336" s="23">
        <f t="shared" si="34"/>
        <v>0</v>
      </c>
      <c r="J336" s="21">
        <f>VLOOKUP(A336,[1]v_2023!F:I,3,FALSE)</f>
        <v>3</v>
      </c>
      <c r="K336" s="23">
        <f>VLOOKUP(A336,[1]v_2023!F:I,4,FALSE)</f>
        <v>34.130000000000003</v>
      </c>
      <c r="L336" s="21">
        <f t="shared" si="35"/>
        <v>0</v>
      </c>
      <c r="M336" s="25">
        <f t="shared" si="33"/>
        <v>-34.130000000000003</v>
      </c>
      <c r="N336" s="26">
        <f t="shared" si="37"/>
        <v>-1</v>
      </c>
    </row>
    <row r="337" spans="1:14" x14ac:dyDescent="0.25">
      <c r="A337" s="21" t="s">
        <v>678</v>
      </c>
      <c r="B337" s="22" t="str">
        <f>VLOOKUP(A337,[1]v_2023!A:B,2,FALSE)</f>
        <v>40.919</v>
      </c>
      <c r="C337" s="21">
        <v>0</v>
      </c>
      <c r="D337" s="23">
        <v>0</v>
      </c>
      <c r="E337" s="21">
        <v>0</v>
      </c>
      <c r="F337" s="23">
        <v>0</v>
      </c>
      <c r="G337" s="24"/>
      <c r="H337" s="21">
        <f t="shared" si="34"/>
        <v>0</v>
      </c>
      <c r="I337" s="23">
        <f t="shared" si="34"/>
        <v>0</v>
      </c>
      <c r="J337" s="21">
        <v>0</v>
      </c>
      <c r="K337" s="23">
        <v>0</v>
      </c>
      <c r="L337" s="21">
        <f t="shared" si="35"/>
        <v>-2</v>
      </c>
      <c r="M337" s="25">
        <f t="shared" si="33"/>
        <v>0</v>
      </c>
      <c r="N337" s="26"/>
    </row>
    <row r="338" spans="1:14" x14ac:dyDescent="0.25">
      <c r="A338" s="21" t="s">
        <v>680</v>
      </c>
      <c r="B338" s="22" t="str">
        <f>VLOOKUP(A338,[1]v_2023!A:B,2,FALSE)</f>
        <v>BC.200</v>
      </c>
      <c r="C338" s="21">
        <v>0</v>
      </c>
      <c r="D338" s="23">
        <v>0</v>
      </c>
      <c r="E338" s="21">
        <v>0</v>
      </c>
      <c r="F338" s="23">
        <v>0</v>
      </c>
      <c r="G338" s="24"/>
      <c r="H338" s="21">
        <f t="shared" si="34"/>
        <v>0</v>
      </c>
      <c r="I338" s="23">
        <f t="shared" si="34"/>
        <v>0</v>
      </c>
      <c r="J338" s="21">
        <v>0</v>
      </c>
      <c r="K338" s="23">
        <v>0</v>
      </c>
      <c r="L338" s="21">
        <f t="shared" si="35"/>
        <v>-3</v>
      </c>
      <c r="M338" s="25">
        <f t="shared" si="33"/>
        <v>0</v>
      </c>
      <c r="N338" s="26"/>
    </row>
    <row r="339" spans="1:14" x14ac:dyDescent="0.25">
      <c r="A339" s="21" t="s">
        <v>682</v>
      </c>
      <c r="B339" s="22" t="str">
        <f>VLOOKUP(A339,[1]v_2023!A:B,2,FALSE)</f>
        <v>1</v>
      </c>
      <c r="C339" s="21">
        <v>0</v>
      </c>
      <c r="D339" s="23">
        <v>0</v>
      </c>
      <c r="E339" s="21">
        <v>0</v>
      </c>
      <c r="F339" s="23">
        <v>0</v>
      </c>
      <c r="G339" s="24"/>
      <c r="H339" s="21">
        <f t="shared" si="34"/>
        <v>0</v>
      </c>
      <c r="I339" s="23">
        <f t="shared" si="34"/>
        <v>0</v>
      </c>
      <c r="J339" s="21">
        <v>0</v>
      </c>
      <c r="K339" s="23">
        <v>0</v>
      </c>
      <c r="L339" s="21">
        <f t="shared" si="35"/>
        <v>0</v>
      </c>
      <c r="M339" s="25">
        <f t="shared" si="33"/>
        <v>0</v>
      </c>
      <c r="N339" s="26"/>
    </row>
    <row r="340" spans="1:14" x14ac:dyDescent="0.25">
      <c r="A340" s="21" t="s">
        <v>684</v>
      </c>
      <c r="B340" s="22" t="str">
        <f>VLOOKUP(A340,[1]v_2023!A:B,2,FALSE)</f>
        <v>RI.064</v>
      </c>
      <c r="C340" s="21">
        <v>0</v>
      </c>
      <c r="D340" s="23">
        <v>0</v>
      </c>
      <c r="E340" s="21">
        <v>0</v>
      </c>
      <c r="F340" s="23">
        <v>0</v>
      </c>
      <c r="G340" s="24"/>
      <c r="H340" s="21">
        <f t="shared" si="34"/>
        <v>0</v>
      </c>
      <c r="I340" s="23">
        <f t="shared" si="34"/>
        <v>0</v>
      </c>
      <c r="J340" s="21">
        <f>VLOOKUP(A340,[1]v_2023!F:I,3,FALSE)</f>
        <v>1</v>
      </c>
      <c r="K340" s="23">
        <f>VLOOKUP(A340,[1]v_2023!F:I,4,FALSE)</f>
        <v>47.98</v>
      </c>
      <c r="L340" s="21">
        <f t="shared" si="35"/>
        <v>0</v>
      </c>
      <c r="M340" s="25">
        <f t="shared" si="33"/>
        <v>-47.98</v>
      </c>
      <c r="N340" s="26">
        <f t="shared" si="37"/>
        <v>-1</v>
      </c>
    </row>
    <row r="341" spans="1:14" x14ac:dyDescent="0.25">
      <c r="A341" s="21" t="s">
        <v>690</v>
      </c>
      <c r="B341" s="22" t="str">
        <f>VLOOKUP(A341,[1]v_2023!A:B,2,FALSE)</f>
        <v>BI.507</v>
      </c>
      <c r="C341" s="21">
        <v>0</v>
      </c>
      <c r="D341" s="23">
        <v>0</v>
      </c>
      <c r="E341" s="21">
        <v>0</v>
      </c>
      <c r="F341" s="23">
        <v>0</v>
      </c>
      <c r="G341" s="24"/>
      <c r="H341" s="21">
        <f t="shared" si="34"/>
        <v>0</v>
      </c>
      <c r="I341" s="23">
        <f t="shared" si="34"/>
        <v>0</v>
      </c>
      <c r="J341" s="21">
        <v>0</v>
      </c>
      <c r="K341" s="23">
        <v>0</v>
      </c>
      <c r="L341" s="21">
        <f t="shared" si="35"/>
        <v>0</v>
      </c>
      <c r="M341" s="25">
        <f t="shared" si="33"/>
        <v>0</v>
      </c>
      <c r="N341" s="26"/>
    </row>
    <row r="342" spans="1:14" x14ac:dyDescent="0.25">
      <c r="A342" s="21" t="s">
        <v>692</v>
      </c>
      <c r="B342" s="22" t="str">
        <f>VLOOKUP(A342,[1]v_2023!A:B,2,FALSE)</f>
        <v>BT.800</v>
      </c>
      <c r="C342" s="21">
        <v>0</v>
      </c>
      <c r="D342" s="23">
        <v>0</v>
      </c>
      <c r="E342" s="21">
        <v>0</v>
      </c>
      <c r="F342" s="23">
        <v>0</v>
      </c>
      <c r="G342" s="24"/>
      <c r="H342" s="21">
        <f t="shared" si="34"/>
        <v>0</v>
      </c>
      <c r="I342" s="23">
        <f t="shared" si="34"/>
        <v>0</v>
      </c>
      <c r="J342" s="21">
        <f>VLOOKUP(A342,[1]v_2023!F:I,3,FALSE)</f>
        <v>3</v>
      </c>
      <c r="K342" s="23">
        <f>VLOOKUP(A342,[1]v_2023!F:I,4,FALSE)</f>
        <v>61.23</v>
      </c>
      <c r="L342" s="21">
        <f t="shared" si="35"/>
        <v>-1</v>
      </c>
      <c r="M342" s="25">
        <f t="shared" si="33"/>
        <v>-61.23</v>
      </c>
      <c r="N342" s="26">
        <f t="shared" si="37"/>
        <v>-1</v>
      </c>
    </row>
    <row r="343" spans="1:14" x14ac:dyDescent="0.25">
      <c r="A343" s="21" t="s">
        <v>694</v>
      </c>
      <c r="B343" s="22" t="str">
        <f>VLOOKUP(A343,[1]v_2023!A:B,2,FALSE)</f>
        <v>RI.424</v>
      </c>
      <c r="C343" s="21">
        <v>0</v>
      </c>
      <c r="D343" s="23">
        <v>0</v>
      </c>
      <c r="E343" s="21">
        <v>0</v>
      </c>
      <c r="F343" s="23">
        <v>0</v>
      </c>
      <c r="G343" s="24"/>
      <c r="H343" s="21">
        <f t="shared" si="34"/>
        <v>0</v>
      </c>
      <c r="I343" s="23">
        <f t="shared" si="34"/>
        <v>0</v>
      </c>
      <c r="J343" s="21">
        <f>VLOOKUP(A343,[1]v_2023!F:I,3,FALSE)</f>
        <v>-1</v>
      </c>
      <c r="K343" s="23">
        <f>VLOOKUP(A343,[1]v_2023!F:I,4,FALSE)</f>
        <v>-16.309999999999999</v>
      </c>
      <c r="L343" s="21">
        <f t="shared" si="35"/>
        <v>0</v>
      </c>
      <c r="M343" s="25">
        <f t="shared" si="33"/>
        <v>16.309999999999999</v>
      </c>
      <c r="N343" s="26">
        <f t="shared" si="37"/>
        <v>-1</v>
      </c>
    </row>
    <row r="344" spans="1:14" x14ac:dyDescent="0.25">
      <c r="A344" s="21" t="s">
        <v>696</v>
      </c>
      <c r="B344" s="22" t="str">
        <f>VLOOKUP(A344,[1]v_2023!A:B,2,FALSE)</f>
        <v>BC.125</v>
      </c>
      <c r="C344" s="21">
        <v>0</v>
      </c>
      <c r="D344" s="23">
        <v>0</v>
      </c>
      <c r="E344" s="21">
        <v>0</v>
      </c>
      <c r="F344" s="23">
        <v>0</v>
      </c>
      <c r="G344" s="24"/>
      <c r="H344" s="21">
        <f t="shared" si="34"/>
        <v>0</v>
      </c>
      <c r="I344" s="23">
        <f t="shared" si="34"/>
        <v>0</v>
      </c>
      <c r="J344" s="21">
        <f>VLOOKUP(A344,[1]v_2023!F:I,3,FALSE)</f>
        <v>53</v>
      </c>
      <c r="K344" s="23">
        <f>VLOOKUP(A344,[1]v_2023!F:I,4,FALSE)</f>
        <v>862.16</v>
      </c>
      <c r="L344" s="21">
        <f t="shared" si="35"/>
        <v>-3</v>
      </c>
      <c r="M344" s="25">
        <f t="shared" si="33"/>
        <v>-862.16</v>
      </c>
      <c r="N344" s="26">
        <f t="shared" si="37"/>
        <v>-1</v>
      </c>
    </row>
    <row r="345" spans="1:14" x14ac:dyDescent="0.25">
      <c r="A345" s="21" t="s">
        <v>698</v>
      </c>
      <c r="B345" s="22" t="str">
        <f>VLOOKUP(A345,[1]v_2023!A:B,2,FALSE)</f>
        <v>BC.210</v>
      </c>
      <c r="C345" s="21">
        <v>0</v>
      </c>
      <c r="D345" s="23">
        <v>0</v>
      </c>
      <c r="E345" s="21">
        <v>0</v>
      </c>
      <c r="F345" s="23">
        <v>0</v>
      </c>
      <c r="G345" s="24"/>
      <c r="H345" s="21">
        <f t="shared" si="34"/>
        <v>0</v>
      </c>
      <c r="I345" s="23">
        <f t="shared" si="34"/>
        <v>0</v>
      </c>
      <c r="J345" s="21">
        <v>0</v>
      </c>
      <c r="K345" s="23">
        <v>0</v>
      </c>
      <c r="L345" s="21">
        <f t="shared" si="35"/>
        <v>1</v>
      </c>
      <c r="M345" s="25">
        <f t="shared" si="33"/>
        <v>0</v>
      </c>
      <c r="N345" s="26"/>
    </row>
    <row r="346" spans="1:14" x14ac:dyDescent="0.25">
      <c r="A346" s="21" t="s">
        <v>702</v>
      </c>
      <c r="B346" s="22" t="str">
        <f>VLOOKUP(A346,[1]v_2023!A:B,2,FALSE)</f>
        <v>P206ZAN020</v>
      </c>
      <c r="C346" s="21">
        <v>0</v>
      </c>
      <c r="D346" s="23">
        <v>0</v>
      </c>
      <c r="E346" s="21">
        <v>0</v>
      </c>
      <c r="F346" s="23">
        <v>0</v>
      </c>
      <c r="G346" s="24"/>
      <c r="H346" s="21">
        <f t="shared" si="34"/>
        <v>0</v>
      </c>
      <c r="I346" s="23">
        <f t="shared" si="34"/>
        <v>0</v>
      </c>
      <c r="J346" s="21">
        <v>0</v>
      </c>
      <c r="K346" s="23">
        <v>0</v>
      </c>
      <c r="L346" s="21">
        <f t="shared" si="35"/>
        <v>-53</v>
      </c>
      <c r="M346" s="25">
        <f t="shared" si="33"/>
        <v>0</v>
      </c>
      <c r="N346" s="26"/>
    </row>
    <row r="347" spans="1:14" x14ac:dyDescent="0.25">
      <c r="A347" s="21" t="s">
        <v>777</v>
      </c>
      <c r="B347" s="22" t="str">
        <f>VLOOKUP(A347,[1]v_2023!A:B,2,FALSE)</f>
        <v>P206VEN230</v>
      </c>
      <c r="C347" s="21">
        <v>0</v>
      </c>
      <c r="D347" s="23">
        <v>0</v>
      </c>
      <c r="E347" s="21">
        <v>0</v>
      </c>
      <c r="F347" s="23">
        <v>0</v>
      </c>
      <c r="G347" s="24"/>
      <c r="H347" s="21">
        <f t="shared" si="34"/>
        <v>0</v>
      </c>
      <c r="I347" s="23">
        <f t="shared" si="34"/>
        <v>0</v>
      </c>
      <c r="J347" s="21">
        <v>0</v>
      </c>
      <c r="K347" s="23">
        <v>0</v>
      </c>
      <c r="L347" s="21">
        <f t="shared" si="35"/>
        <v>0</v>
      </c>
      <c r="M347" s="25">
        <f t="shared" si="33"/>
        <v>0</v>
      </c>
      <c r="N347" s="26"/>
    </row>
    <row r="348" spans="1:14" x14ac:dyDescent="0.25">
      <c r="A348" s="21" t="s">
        <v>704</v>
      </c>
      <c r="B348" s="22" t="str">
        <f>VLOOKUP(A348,[1]v_2023!A:B,2,FALSE)</f>
        <v>P101TOS001</v>
      </c>
      <c r="C348" s="21">
        <v>0</v>
      </c>
      <c r="D348" s="23">
        <v>0</v>
      </c>
      <c r="E348" s="21">
        <v>0</v>
      </c>
      <c r="F348" s="23">
        <v>0</v>
      </c>
      <c r="G348" s="24"/>
      <c r="H348" s="21">
        <f t="shared" si="34"/>
        <v>0</v>
      </c>
      <c r="I348" s="23">
        <f t="shared" si="34"/>
        <v>0</v>
      </c>
      <c r="J348" s="21">
        <f>VLOOKUP(A348,[1]v_2023!F:I,3,FALSE)</f>
        <v>23</v>
      </c>
      <c r="K348" s="23">
        <f>VLOOKUP(A348,[1]v_2023!F:I,4,FALSE)</f>
        <v>477.88</v>
      </c>
      <c r="L348" s="21">
        <f t="shared" si="35"/>
        <v>0</v>
      </c>
      <c r="M348" s="25">
        <f t="shared" ref="M348:M361" si="38">I348-K348</f>
        <v>-477.88</v>
      </c>
      <c r="N348" s="26">
        <f t="shared" si="37"/>
        <v>-1</v>
      </c>
    </row>
    <row r="349" spans="1:14" x14ac:dyDescent="0.25">
      <c r="A349" s="21" t="s">
        <v>706</v>
      </c>
      <c r="B349" s="22" t="str">
        <f>VLOOKUP(A349,[1]v_2023!A:B,2,FALSE)</f>
        <v>XUADA010</v>
      </c>
      <c r="C349" s="21">
        <v>0</v>
      </c>
      <c r="D349" s="23">
        <v>0</v>
      </c>
      <c r="E349" s="21">
        <v>0</v>
      </c>
      <c r="F349" s="23">
        <v>0</v>
      </c>
      <c r="G349" s="24"/>
      <c r="H349" s="21">
        <f t="shared" si="34"/>
        <v>0</v>
      </c>
      <c r="I349" s="23">
        <f t="shared" si="34"/>
        <v>0</v>
      </c>
      <c r="J349" s="21">
        <v>0</v>
      </c>
      <c r="K349" s="23">
        <v>0</v>
      </c>
      <c r="L349" s="21">
        <f t="shared" si="35"/>
        <v>0</v>
      </c>
      <c r="M349" s="25">
        <f t="shared" si="38"/>
        <v>0</v>
      </c>
      <c r="N349" s="26"/>
    </row>
    <row r="350" spans="1:14" x14ac:dyDescent="0.25">
      <c r="A350" s="21" t="s">
        <v>708</v>
      </c>
      <c r="B350" s="22" t="str">
        <f>VLOOKUP(A350,[1]v_2023!A:B,2,FALSE)</f>
        <v>P204FER001</v>
      </c>
      <c r="C350" s="21">
        <v>0</v>
      </c>
      <c r="D350" s="23">
        <v>0</v>
      </c>
      <c r="E350" s="21">
        <v>0</v>
      </c>
      <c r="F350" s="23">
        <v>0</v>
      </c>
      <c r="G350" s="24"/>
      <c r="H350" s="21">
        <f t="shared" ref="H350:I361" si="39">E350+C350</f>
        <v>0</v>
      </c>
      <c r="I350" s="23">
        <f t="shared" si="39"/>
        <v>0</v>
      </c>
      <c r="J350" s="21">
        <v>0</v>
      </c>
      <c r="K350" s="23">
        <v>0</v>
      </c>
      <c r="L350" s="21">
        <f t="shared" si="35"/>
        <v>-23</v>
      </c>
      <c r="M350" s="25">
        <f t="shared" si="38"/>
        <v>0</v>
      </c>
      <c r="N350" s="26"/>
    </row>
    <row r="351" spans="1:14" x14ac:dyDescent="0.25">
      <c r="A351" s="21" t="s">
        <v>710</v>
      </c>
      <c r="B351" s="22" t="str">
        <f>VLOOKUP(A351,[1]v_2023!A:B,2,FALSE)</f>
        <v>RCORI552</v>
      </c>
      <c r="C351" s="21">
        <v>0</v>
      </c>
      <c r="D351" s="23">
        <v>0</v>
      </c>
      <c r="E351" s="21">
        <v>0</v>
      </c>
      <c r="F351" s="23">
        <v>0</v>
      </c>
      <c r="G351" s="24"/>
      <c r="H351" s="21">
        <f t="shared" si="39"/>
        <v>0</v>
      </c>
      <c r="I351" s="23">
        <f t="shared" si="39"/>
        <v>0</v>
      </c>
      <c r="J351" s="21">
        <v>0</v>
      </c>
      <c r="K351" s="23">
        <v>0</v>
      </c>
      <c r="L351" s="21">
        <f t="shared" ref="L351:L361" si="40">H349-J349</f>
        <v>0</v>
      </c>
      <c r="M351" s="25">
        <f t="shared" si="38"/>
        <v>0</v>
      </c>
      <c r="N351" s="26"/>
    </row>
    <row r="352" spans="1:14" x14ac:dyDescent="0.25">
      <c r="A352" s="21" t="s">
        <v>712</v>
      </c>
      <c r="B352" s="22" t="str">
        <f>VLOOKUP(A352,[1]v_2023!A:B,2,FALSE)</f>
        <v>C206UTI001</v>
      </c>
      <c r="C352" s="21">
        <v>0</v>
      </c>
      <c r="D352" s="23">
        <v>0</v>
      </c>
      <c r="E352" s="21">
        <f>VLOOKUP(A352,[1]s_2024!E:G,2,FALSE)</f>
        <v>21</v>
      </c>
      <c r="F352" s="23">
        <f>VLOOKUP(A352,[1]s_2024!E:G,3,FALSE)</f>
        <v>842.89999999999975</v>
      </c>
      <c r="G352" s="24">
        <f t="shared" ref="G352" si="41">F352/I352</f>
        <v>1</v>
      </c>
      <c r="H352" s="21">
        <f t="shared" si="39"/>
        <v>21</v>
      </c>
      <c r="I352" s="23">
        <f t="shared" si="39"/>
        <v>842.89999999999975</v>
      </c>
      <c r="J352" s="21">
        <v>0</v>
      </c>
      <c r="K352" s="23">
        <v>0</v>
      </c>
      <c r="L352" s="21">
        <f t="shared" si="40"/>
        <v>0</v>
      </c>
      <c r="M352" s="25">
        <f t="shared" si="38"/>
        <v>842.89999999999975</v>
      </c>
      <c r="N352" s="26"/>
    </row>
    <row r="353" spans="1:14" x14ac:dyDescent="0.25">
      <c r="A353" s="21" t="s">
        <v>714</v>
      </c>
      <c r="B353" s="22" t="str">
        <f>VLOOKUP(A353,[1]v_2023!A:B,2,FALSE)</f>
        <v>P204CAL201</v>
      </c>
      <c r="C353" s="21">
        <v>0</v>
      </c>
      <c r="D353" s="23">
        <v>0</v>
      </c>
      <c r="E353" s="21">
        <v>0</v>
      </c>
      <c r="F353" s="23">
        <v>0</v>
      </c>
      <c r="G353" s="24"/>
      <c r="H353" s="21">
        <f t="shared" si="39"/>
        <v>0</v>
      </c>
      <c r="I353" s="23">
        <f t="shared" si="39"/>
        <v>0</v>
      </c>
      <c r="J353" s="21">
        <f>VLOOKUP(A353,[1]v_2023!F:I,3,FALSE)</f>
        <v>0</v>
      </c>
      <c r="K353" s="23">
        <f>VLOOKUP(A353,[1]v_2023!F:I,4,FALSE)</f>
        <v>0</v>
      </c>
      <c r="L353" s="21">
        <f t="shared" si="40"/>
        <v>0</v>
      </c>
      <c r="M353" s="25">
        <f t="shared" si="38"/>
        <v>0</v>
      </c>
      <c r="N353" s="26"/>
    </row>
    <row r="354" spans="1:14" x14ac:dyDescent="0.25">
      <c r="A354" s="21" t="s">
        <v>779</v>
      </c>
      <c r="B354" s="22" t="str">
        <f>VLOOKUP(A354,[1]v_2023!A:B,2,FALSE)</f>
        <v>P101TOS500</v>
      </c>
      <c r="C354" s="21">
        <v>0</v>
      </c>
      <c r="D354" s="23">
        <v>0</v>
      </c>
      <c r="E354" s="21">
        <v>0</v>
      </c>
      <c r="F354" s="23">
        <v>0</v>
      </c>
      <c r="G354" s="24"/>
      <c r="H354" s="21">
        <f t="shared" si="39"/>
        <v>0</v>
      </c>
      <c r="I354" s="23">
        <f t="shared" si="39"/>
        <v>0</v>
      </c>
      <c r="J354" s="21">
        <f>VLOOKUP(A354,[1]v_2023!F:I,3,FALSE)</f>
        <v>0</v>
      </c>
      <c r="K354" s="23">
        <f>VLOOKUP(A354,[1]v_2023!F:I,4,FALSE)</f>
        <v>0</v>
      </c>
      <c r="L354" s="21">
        <f t="shared" si="40"/>
        <v>21</v>
      </c>
      <c r="M354" s="25">
        <f t="shared" si="38"/>
        <v>0</v>
      </c>
      <c r="N354" s="26"/>
    </row>
    <row r="355" spans="1:14" x14ac:dyDescent="0.25">
      <c r="A355" s="21" t="s">
        <v>718</v>
      </c>
      <c r="B355" s="22" t="str">
        <f>VLOOKUP(A355,[1]v_2023!A:B,2,FALSE)</f>
        <v>P201UTP010</v>
      </c>
      <c r="C355" s="21">
        <v>0</v>
      </c>
      <c r="D355" s="23">
        <v>0</v>
      </c>
      <c r="E355" s="21">
        <v>0</v>
      </c>
      <c r="F355" s="23">
        <v>0</v>
      </c>
      <c r="G355" s="24"/>
      <c r="H355" s="21">
        <f t="shared" si="39"/>
        <v>0</v>
      </c>
      <c r="I355" s="23">
        <f t="shared" si="39"/>
        <v>0</v>
      </c>
      <c r="J355" s="21">
        <v>0</v>
      </c>
      <c r="K355" s="23">
        <v>0</v>
      </c>
      <c r="L355" s="21">
        <f t="shared" si="40"/>
        <v>0</v>
      </c>
      <c r="M355" s="25">
        <f t="shared" si="38"/>
        <v>0</v>
      </c>
      <c r="N355" s="26"/>
    </row>
    <row r="356" spans="1:14" x14ac:dyDescent="0.25">
      <c r="A356" s="21" t="s">
        <v>720</v>
      </c>
      <c r="B356" s="22" t="str">
        <f>VLOOKUP(A356,[1]v_2023!A:B,2,FALSE)</f>
        <v>P302MAS050</v>
      </c>
      <c r="C356" s="21">
        <v>0</v>
      </c>
      <c r="D356" s="23">
        <v>0</v>
      </c>
      <c r="E356" s="21">
        <v>0</v>
      </c>
      <c r="F356" s="23">
        <v>0</v>
      </c>
      <c r="G356" s="24"/>
      <c r="H356" s="21">
        <f t="shared" si="39"/>
        <v>0</v>
      </c>
      <c r="I356" s="23">
        <f t="shared" si="39"/>
        <v>0</v>
      </c>
      <c r="J356" s="21">
        <f>VLOOKUP(A356,[1]v_2023!F:I,3,FALSE)</f>
        <v>11</v>
      </c>
      <c r="K356" s="23">
        <f>VLOOKUP(A356,[1]v_2023!F:I,4,FALSE)</f>
        <v>1190.25</v>
      </c>
      <c r="L356" s="21">
        <f t="shared" si="40"/>
        <v>0</v>
      </c>
      <c r="M356" s="25">
        <f t="shared" si="38"/>
        <v>-1190.25</v>
      </c>
      <c r="N356" s="26">
        <f t="shared" ref="N356:N361" si="42">M356/K356</f>
        <v>-1</v>
      </c>
    </row>
    <row r="357" spans="1:14" x14ac:dyDescent="0.25">
      <c r="A357" s="21" t="s">
        <v>722</v>
      </c>
      <c r="B357" s="22" t="str">
        <f>VLOOKUP(A357,[1]v_2023!A:B,2,FALSE)</f>
        <v>P203TER200</v>
      </c>
      <c r="C357" s="21">
        <v>0</v>
      </c>
      <c r="D357" s="23">
        <v>0</v>
      </c>
      <c r="E357" s="21">
        <v>0</v>
      </c>
      <c r="F357" s="23">
        <v>0</v>
      </c>
      <c r="G357" s="24"/>
      <c r="H357" s="21">
        <f t="shared" si="39"/>
        <v>0</v>
      </c>
      <c r="I357" s="23">
        <f t="shared" si="39"/>
        <v>0</v>
      </c>
      <c r="J357" s="21">
        <v>0</v>
      </c>
      <c r="K357" s="23">
        <v>0</v>
      </c>
      <c r="L357" s="21">
        <f t="shared" si="40"/>
        <v>0</v>
      </c>
      <c r="M357" s="25">
        <f t="shared" si="38"/>
        <v>0</v>
      </c>
      <c r="N357" s="26"/>
    </row>
    <row r="358" spans="1:14" x14ac:dyDescent="0.25">
      <c r="A358" s="21" t="s">
        <v>726</v>
      </c>
      <c r="B358" s="22" t="str">
        <f>VLOOKUP(A358,[1]v_2023!A:B,2,FALSE)</f>
        <v>P101FRI012</v>
      </c>
      <c r="C358" s="21">
        <v>0</v>
      </c>
      <c r="D358" s="23">
        <v>0</v>
      </c>
      <c r="E358" s="21">
        <v>0</v>
      </c>
      <c r="F358" s="23">
        <v>0</v>
      </c>
      <c r="G358" s="24"/>
      <c r="H358" s="21">
        <f t="shared" si="39"/>
        <v>0</v>
      </c>
      <c r="I358" s="23">
        <f t="shared" si="39"/>
        <v>0</v>
      </c>
      <c r="J358" s="21">
        <f>VLOOKUP(A358,[1]v_2023!F:I,3,FALSE)</f>
        <v>9</v>
      </c>
      <c r="K358" s="23">
        <f>VLOOKUP(A358,[1]v_2023!F:I,4,FALSE)</f>
        <v>1073.6300000000001</v>
      </c>
      <c r="L358" s="21">
        <f t="shared" si="40"/>
        <v>-11</v>
      </c>
      <c r="M358" s="25">
        <f t="shared" si="38"/>
        <v>-1073.6300000000001</v>
      </c>
      <c r="N358" s="26">
        <f t="shared" si="42"/>
        <v>-1</v>
      </c>
    </row>
    <row r="359" spans="1:14" x14ac:dyDescent="0.25">
      <c r="A359" s="21" t="s">
        <v>728</v>
      </c>
      <c r="B359" s="22" t="str">
        <f>VLOOKUP(A359,[1]v_2023!A:B,2,FALSE)</f>
        <v>CP.007</v>
      </c>
      <c r="C359" s="21">
        <v>0</v>
      </c>
      <c r="D359" s="23">
        <v>0</v>
      </c>
      <c r="E359" s="21">
        <v>0</v>
      </c>
      <c r="F359" s="23">
        <v>0</v>
      </c>
      <c r="G359" s="24"/>
      <c r="H359" s="21">
        <f t="shared" si="39"/>
        <v>0</v>
      </c>
      <c r="I359" s="23">
        <f t="shared" si="39"/>
        <v>0</v>
      </c>
      <c r="J359" s="21">
        <f>VLOOKUP(A359,[1]v_2023!F:I,3,FALSE)</f>
        <v>0</v>
      </c>
      <c r="K359" s="23">
        <f>VLOOKUP(A359,[1]v_2023!F:I,4,FALSE)</f>
        <v>0</v>
      </c>
      <c r="L359" s="21">
        <f t="shared" si="40"/>
        <v>0</v>
      </c>
      <c r="M359" s="25">
        <f t="shared" si="38"/>
        <v>0</v>
      </c>
      <c r="N359" s="26"/>
    </row>
    <row r="360" spans="1:14" x14ac:dyDescent="0.25">
      <c r="A360" s="21" t="s">
        <v>730</v>
      </c>
      <c r="B360" s="22" t="str">
        <f>VLOOKUP(A360,[1]v_2023!A:B,2,FALSE)</f>
        <v>P302VIS003</v>
      </c>
      <c r="C360" s="21">
        <v>0</v>
      </c>
      <c r="D360" s="23">
        <v>0</v>
      </c>
      <c r="E360" s="21">
        <v>0</v>
      </c>
      <c r="F360" s="23">
        <v>0</v>
      </c>
      <c r="G360" s="24"/>
      <c r="H360" s="21">
        <f t="shared" si="39"/>
        <v>0</v>
      </c>
      <c r="I360" s="23">
        <f t="shared" si="39"/>
        <v>0</v>
      </c>
      <c r="J360" s="21">
        <v>0</v>
      </c>
      <c r="K360" s="23">
        <v>0</v>
      </c>
      <c r="L360" s="21">
        <f t="shared" si="40"/>
        <v>-9</v>
      </c>
      <c r="M360" s="25">
        <f t="shared" si="38"/>
        <v>0</v>
      </c>
      <c r="N360" s="26"/>
    </row>
    <row r="361" spans="1:14" x14ac:dyDescent="0.25">
      <c r="A361" s="21" t="s">
        <v>734</v>
      </c>
      <c r="B361" s="22" t="str">
        <f>VLOOKUP(A361,[1]v_2023!A:B,2,FALSE)</f>
        <v>PET005</v>
      </c>
      <c r="C361" s="21">
        <v>0</v>
      </c>
      <c r="D361" s="23">
        <v>0</v>
      </c>
      <c r="E361" s="21">
        <v>0</v>
      </c>
      <c r="F361" s="23">
        <v>0</v>
      </c>
      <c r="G361" s="24"/>
      <c r="H361" s="21">
        <f t="shared" si="39"/>
        <v>0</v>
      </c>
      <c r="I361" s="23">
        <f t="shared" si="39"/>
        <v>0</v>
      </c>
      <c r="J361" s="21">
        <f>VLOOKUP(A361,[1]v_2023!F:I,3,FALSE)</f>
        <v>9</v>
      </c>
      <c r="K361" s="23">
        <f>VLOOKUP(A361,[1]v_2023!F:I,4,FALSE)</f>
        <v>36.18</v>
      </c>
      <c r="L361" s="21">
        <f t="shared" si="40"/>
        <v>0</v>
      </c>
      <c r="M361" s="25">
        <f t="shared" si="38"/>
        <v>-36.18</v>
      </c>
      <c r="N361" s="26">
        <f t="shared" si="42"/>
        <v>-1</v>
      </c>
    </row>
    <row r="363" spans="1:14" x14ac:dyDescent="0.25">
      <c r="A363" s="21" t="s">
        <v>11</v>
      </c>
      <c r="B363" s="22" t="s">
        <v>10</v>
      </c>
      <c r="C363">
        <f>VLOOKUP(A363,[2]v_02_2024!F:I,3,FALSE)</f>
        <v>311</v>
      </c>
      <c r="D363" s="27">
        <f>VLOOKUP(A363,[2]v_02_2024!F:I,4,FALSE)</f>
        <v>4876.26</v>
      </c>
      <c r="E363" s="21">
        <f>VLOOKUP(A363,[2]s_02_2024!E:G,2,FALSE)</f>
        <v>1</v>
      </c>
      <c r="F363" s="28">
        <f>VLOOKUP(A363,[2]s_02_2024!E:G,3,FALSE)</f>
        <v>19.899999999999999</v>
      </c>
      <c r="G363" s="24">
        <f>F363/I363</f>
        <v>4.0644096598150383E-3</v>
      </c>
      <c r="H363" s="21">
        <f>E363+C363</f>
        <v>312</v>
      </c>
      <c r="I363" s="28">
        <f>F363+D363</f>
        <v>4896.16</v>
      </c>
      <c r="J363" s="21">
        <f>VLOOKUP(A363,[2]v_02_2023!F:I,3,FALSE)</f>
        <v>24</v>
      </c>
      <c r="K363" s="28">
        <f>VLOOKUP(A363,[2]v_02_2023!F:I,4,FALSE)</f>
        <v>312.72000000000003</v>
      </c>
      <c r="L363" s="21">
        <f>H363-J363</f>
        <v>288</v>
      </c>
      <c r="M363" s="29">
        <f>I363-K363</f>
        <v>4583.4399999999996</v>
      </c>
      <c r="N363" s="26">
        <f>M363/K363</f>
        <v>14.656689690457915</v>
      </c>
    </row>
    <row r="364" spans="1:14" x14ac:dyDescent="0.25">
      <c r="A364" s="21" t="s">
        <v>15</v>
      </c>
      <c r="B364" s="22" t="s">
        <v>14</v>
      </c>
      <c r="C364">
        <f>VLOOKUP(A364,[2]v_02_2024!F:I,3,FALSE)</f>
        <v>1</v>
      </c>
      <c r="D364" s="28">
        <f>VLOOKUP(A364,[2]v_02_2024!F:I,4,FALSE)</f>
        <v>13.85</v>
      </c>
      <c r="E364" s="21">
        <v>0</v>
      </c>
      <c r="F364" s="28">
        <v>0</v>
      </c>
      <c r="G364" s="24">
        <f t="shared" ref="G364:G426" si="43">F364/I364</f>
        <v>0</v>
      </c>
      <c r="H364" s="21">
        <f t="shared" ref="H364:I427" si="44">E364+C364</f>
        <v>1</v>
      </c>
      <c r="I364" s="28">
        <f t="shared" si="44"/>
        <v>13.85</v>
      </c>
      <c r="J364" s="21">
        <f>VLOOKUP(A364,[2]v_02_2023!F:I,3,FALSE)</f>
        <v>2</v>
      </c>
      <c r="K364" s="28">
        <f>VLOOKUP(A364,[2]v_02_2023!F:I,4,FALSE)</f>
        <v>35.729999999999997</v>
      </c>
      <c r="L364" s="21">
        <f t="shared" ref="L364:M427" si="45">H364-J364</f>
        <v>-1</v>
      </c>
      <c r="M364" s="29">
        <f t="shared" si="45"/>
        <v>-21.879999999999995</v>
      </c>
      <c r="N364" s="26">
        <f t="shared" ref="N364:N426" si="46">M364/K364</f>
        <v>-0.6123705569549398</v>
      </c>
    </row>
    <row r="365" spans="1:14" x14ac:dyDescent="0.25">
      <c r="A365" s="21" t="s">
        <v>532</v>
      </c>
      <c r="B365" s="22" t="s">
        <v>531</v>
      </c>
      <c r="C365">
        <f>VLOOKUP(A365,[2]v_02_2024!F:I,3,FALSE)</f>
        <v>17</v>
      </c>
      <c r="D365" s="28">
        <f>VLOOKUP(A365,[2]v_02_2024!F:I,4,FALSE)</f>
        <v>102.19</v>
      </c>
      <c r="E365" s="21">
        <v>0</v>
      </c>
      <c r="F365" s="28">
        <v>0</v>
      </c>
      <c r="G365" s="24">
        <f t="shared" si="43"/>
        <v>0</v>
      </c>
      <c r="H365" s="21">
        <f t="shared" si="44"/>
        <v>17</v>
      </c>
      <c r="I365" s="28">
        <f t="shared" si="44"/>
        <v>102.19</v>
      </c>
      <c r="J365" s="21">
        <f>VLOOKUP(A365,[2]v_02_2023!F:I,3,FALSE)</f>
        <v>159</v>
      </c>
      <c r="K365" s="28">
        <f>VLOOKUP(A365,[2]v_02_2023!F:I,4,FALSE)</f>
        <v>878.28</v>
      </c>
      <c r="L365" s="21">
        <f t="shared" si="45"/>
        <v>-142</v>
      </c>
      <c r="M365" s="29">
        <f t="shared" si="45"/>
        <v>-776.08999999999992</v>
      </c>
      <c r="N365" s="26">
        <f t="shared" si="46"/>
        <v>-0.88364758391401366</v>
      </c>
    </row>
    <row r="366" spans="1:14" x14ac:dyDescent="0.25">
      <c r="A366" s="21" t="s">
        <v>574</v>
      </c>
      <c r="B366" s="22" t="s">
        <v>575</v>
      </c>
      <c r="C366">
        <v>0</v>
      </c>
      <c r="D366" s="28">
        <v>0</v>
      </c>
      <c r="E366" s="21">
        <f>VLOOKUP(A366,[2]s_02_2024!E:G,2,FALSE)</f>
        <v>36</v>
      </c>
      <c r="F366" s="28">
        <f>VLOOKUP(A366,[2]s_02_2024!E:G,3,FALSE)</f>
        <v>1151.9099999999999</v>
      </c>
      <c r="G366" s="24">
        <f t="shared" si="43"/>
        <v>1</v>
      </c>
      <c r="H366" s="21">
        <f t="shared" si="44"/>
        <v>36</v>
      </c>
      <c r="I366" s="28">
        <f t="shared" si="44"/>
        <v>1151.9099999999999</v>
      </c>
      <c r="J366" s="21">
        <f>VLOOKUP(A366,[2]v_02_2023!F:I,3,FALSE)</f>
        <v>92</v>
      </c>
      <c r="K366" s="28">
        <f>VLOOKUP(A366,[2]v_02_2023!F:I,4,FALSE)</f>
        <v>1877.72</v>
      </c>
      <c r="L366" s="21">
        <f t="shared" si="45"/>
        <v>-56</v>
      </c>
      <c r="M366" s="29">
        <f t="shared" si="45"/>
        <v>-725.81000000000017</v>
      </c>
      <c r="N366" s="26">
        <f t="shared" si="46"/>
        <v>-0.38653792897769645</v>
      </c>
    </row>
    <row r="367" spans="1:14" x14ac:dyDescent="0.25">
      <c r="A367" s="21" t="s">
        <v>576</v>
      </c>
      <c r="B367" s="22" t="s">
        <v>577</v>
      </c>
      <c r="C367">
        <v>0</v>
      </c>
      <c r="D367" s="28">
        <v>0</v>
      </c>
      <c r="E367" s="21">
        <v>0</v>
      </c>
      <c r="F367" s="28">
        <v>0</v>
      </c>
      <c r="G367" s="24"/>
      <c r="H367" s="21">
        <f t="shared" si="44"/>
        <v>0</v>
      </c>
      <c r="I367" s="28">
        <f t="shared" si="44"/>
        <v>0</v>
      </c>
      <c r="J367" s="21">
        <v>0</v>
      </c>
      <c r="K367" s="28">
        <v>0</v>
      </c>
      <c r="L367" s="21">
        <f t="shared" si="45"/>
        <v>0</v>
      </c>
      <c r="M367" s="29">
        <f t="shared" si="45"/>
        <v>0</v>
      </c>
      <c r="N367" s="26"/>
    </row>
    <row r="368" spans="1:14" x14ac:dyDescent="0.25">
      <c r="A368" s="21" t="s">
        <v>19</v>
      </c>
      <c r="B368" s="22" t="s">
        <v>18</v>
      </c>
      <c r="C368">
        <f>VLOOKUP(A368,[2]v_02_2024!F:I,3,FALSE)</f>
        <v>0</v>
      </c>
      <c r="D368" s="28">
        <f>VLOOKUP(A368,[2]v_02_2024!F:I,4,FALSE)</f>
        <v>0</v>
      </c>
      <c r="E368" s="21">
        <v>0</v>
      </c>
      <c r="F368" s="28">
        <v>0</v>
      </c>
      <c r="G368" s="24"/>
      <c r="H368" s="21">
        <f t="shared" si="44"/>
        <v>0</v>
      </c>
      <c r="I368" s="28">
        <f t="shared" si="44"/>
        <v>0</v>
      </c>
      <c r="J368" s="21">
        <f>VLOOKUP(A368,[2]v_02_2023!F:I,3,FALSE)</f>
        <v>3</v>
      </c>
      <c r="K368" s="28">
        <f>VLOOKUP(A368,[2]v_02_2023!F:I,4,FALSE)</f>
        <v>18.989999999999998</v>
      </c>
      <c r="L368" s="21">
        <f t="shared" si="45"/>
        <v>-3</v>
      </c>
      <c r="M368" s="29">
        <f t="shared" si="45"/>
        <v>-18.989999999999998</v>
      </c>
      <c r="N368" s="26">
        <f t="shared" si="46"/>
        <v>-1</v>
      </c>
    </row>
    <row r="369" spans="1:14" x14ac:dyDescent="0.25">
      <c r="A369" s="21" t="s">
        <v>554</v>
      </c>
      <c r="B369" s="22" t="s">
        <v>553</v>
      </c>
      <c r="C369">
        <v>0</v>
      </c>
      <c r="D369" s="28">
        <v>0</v>
      </c>
      <c r="E369" s="21">
        <v>0</v>
      </c>
      <c r="F369" s="28">
        <v>0</v>
      </c>
      <c r="G369" s="24"/>
      <c r="H369" s="21">
        <f t="shared" si="44"/>
        <v>0</v>
      </c>
      <c r="I369" s="28">
        <f t="shared" si="44"/>
        <v>0</v>
      </c>
      <c r="J369" s="21">
        <v>0</v>
      </c>
      <c r="K369" s="28">
        <v>0</v>
      </c>
      <c r="L369" s="21">
        <f t="shared" si="45"/>
        <v>0</v>
      </c>
      <c r="M369" s="29">
        <f t="shared" si="45"/>
        <v>0</v>
      </c>
      <c r="N369" s="26"/>
    </row>
    <row r="370" spans="1:14" x14ac:dyDescent="0.25">
      <c r="A370" s="21" t="s">
        <v>578</v>
      </c>
      <c r="B370" s="22" t="s">
        <v>579</v>
      </c>
      <c r="C370">
        <f>VLOOKUP(A370,[2]v_02_2024!F:I,3,FALSE)</f>
        <v>3</v>
      </c>
      <c r="D370" s="28">
        <f>VLOOKUP(A370,[2]v_02_2024!F:I,4,FALSE)</f>
        <v>61.3</v>
      </c>
      <c r="E370" s="21">
        <v>0</v>
      </c>
      <c r="F370" s="28">
        <v>0</v>
      </c>
      <c r="G370" s="24">
        <f t="shared" si="43"/>
        <v>0</v>
      </c>
      <c r="H370" s="21">
        <f t="shared" si="44"/>
        <v>3</v>
      </c>
      <c r="I370" s="28">
        <f t="shared" si="44"/>
        <v>61.3</v>
      </c>
      <c r="J370" s="21">
        <f>VLOOKUP(A370,[2]v_02_2023!F:I,3,FALSE)</f>
        <v>3</v>
      </c>
      <c r="K370" s="28">
        <f>VLOOKUP(A370,[2]v_02_2023!F:I,4,FALSE)</f>
        <v>49.83</v>
      </c>
      <c r="L370" s="21">
        <f t="shared" si="45"/>
        <v>0</v>
      </c>
      <c r="M370" s="29">
        <f t="shared" si="45"/>
        <v>11.469999999999999</v>
      </c>
      <c r="N370" s="26">
        <f t="shared" si="46"/>
        <v>0.23018262091109773</v>
      </c>
    </row>
    <row r="371" spans="1:14" x14ac:dyDescent="0.25">
      <c r="A371" s="21" t="s">
        <v>21</v>
      </c>
      <c r="B371" s="22" t="s">
        <v>20</v>
      </c>
      <c r="C371">
        <f>VLOOKUP(A371,[2]v_02_2024!F:I,3,FALSE)</f>
        <v>3</v>
      </c>
      <c r="D371" s="28">
        <f>VLOOKUP(A371,[2]v_02_2024!F:I,4,FALSE)</f>
        <v>73.53</v>
      </c>
      <c r="E371" s="21">
        <v>0</v>
      </c>
      <c r="F371" s="28">
        <v>0</v>
      </c>
      <c r="G371" s="24">
        <f t="shared" si="43"/>
        <v>0</v>
      </c>
      <c r="H371" s="21">
        <f t="shared" si="44"/>
        <v>3</v>
      </c>
      <c r="I371" s="28">
        <f t="shared" si="44"/>
        <v>73.53</v>
      </c>
      <c r="J371" s="21">
        <f>VLOOKUP(A371,[2]v_02_2023!F:I,3,FALSE)</f>
        <v>2</v>
      </c>
      <c r="K371" s="28">
        <f>VLOOKUP(A371,[2]v_02_2023!F:I,4,FALSE)</f>
        <v>49.02</v>
      </c>
      <c r="L371" s="21">
        <f t="shared" si="45"/>
        <v>1</v>
      </c>
      <c r="M371" s="29">
        <f t="shared" si="45"/>
        <v>24.509999999999998</v>
      </c>
      <c r="N371" s="26">
        <f t="shared" si="46"/>
        <v>0.49999999999999994</v>
      </c>
    </row>
    <row r="372" spans="1:14" x14ac:dyDescent="0.25">
      <c r="A372" s="21" t="s">
        <v>23</v>
      </c>
      <c r="B372" s="22" t="s">
        <v>22</v>
      </c>
      <c r="C372">
        <f>VLOOKUP(A372,[2]v_02_2024!F:I,3,FALSE)</f>
        <v>424</v>
      </c>
      <c r="D372" s="28">
        <f>VLOOKUP(A372,[2]v_02_2024!F:I,4,FALSE)</f>
        <v>7577.95</v>
      </c>
      <c r="E372" s="21">
        <v>0</v>
      </c>
      <c r="F372" s="28">
        <v>0</v>
      </c>
      <c r="G372" s="24">
        <f t="shared" si="43"/>
        <v>0</v>
      </c>
      <c r="H372" s="21">
        <f t="shared" si="44"/>
        <v>424</v>
      </c>
      <c r="I372" s="28">
        <f t="shared" si="44"/>
        <v>7577.95</v>
      </c>
      <c r="J372" s="21">
        <f>VLOOKUP(A372,[2]v_02_2023!F:I,3,FALSE)</f>
        <v>202</v>
      </c>
      <c r="K372" s="28">
        <f>VLOOKUP(A372,[2]v_02_2023!F:I,4,FALSE)</f>
        <v>3294.62</v>
      </c>
      <c r="L372" s="21">
        <f t="shared" si="45"/>
        <v>222</v>
      </c>
      <c r="M372" s="29">
        <f t="shared" si="45"/>
        <v>4283.33</v>
      </c>
      <c r="N372" s="26">
        <f t="shared" si="46"/>
        <v>1.30009834214568</v>
      </c>
    </row>
    <row r="373" spans="1:14" x14ac:dyDescent="0.25">
      <c r="A373" s="21" t="s">
        <v>25</v>
      </c>
      <c r="B373" s="22" t="s">
        <v>24</v>
      </c>
      <c r="C373">
        <f>VLOOKUP(A373,[2]v_02_2024!F:I,3,FALSE)</f>
        <v>0</v>
      </c>
      <c r="D373" s="28">
        <f>VLOOKUP(A373,[2]v_02_2024!F:I,4,FALSE)</f>
        <v>0</v>
      </c>
      <c r="E373" s="21">
        <f>VLOOKUP(A373,[2]s_02_2024!E:G,2,FALSE)</f>
        <v>96</v>
      </c>
      <c r="F373" s="28">
        <f>VLOOKUP(A373,[2]s_02_2024!E:G,3,FALSE)</f>
        <v>2882.4000000000051</v>
      </c>
      <c r="G373" s="24">
        <f t="shared" si="43"/>
        <v>1</v>
      </c>
      <c r="H373" s="21">
        <f t="shared" si="44"/>
        <v>96</v>
      </c>
      <c r="I373" s="28">
        <f t="shared" si="44"/>
        <v>2882.4000000000051</v>
      </c>
      <c r="J373" s="21">
        <f>VLOOKUP(A373,[2]v_02_2023!F:I,3,FALSE)</f>
        <v>515</v>
      </c>
      <c r="K373" s="28">
        <f>VLOOKUP(A373,[2]v_02_2023!F:I,4,FALSE)</f>
        <v>10511.15</v>
      </c>
      <c r="L373" s="21">
        <f t="shared" si="45"/>
        <v>-419</v>
      </c>
      <c r="M373" s="29">
        <f t="shared" si="45"/>
        <v>-7628.7499999999945</v>
      </c>
      <c r="N373" s="26">
        <f t="shared" si="46"/>
        <v>-0.72577691308753034</v>
      </c>
    </row>
    <row r="374" spans="1:14" x14ac:dyDescent="0.25">
      <c r="A374" s="21" t="s">
        <v>534</v>
      </c>
      <c r="B374" s="22" t="s">
        <v>533</v>
      </c>
      <c r="C374">
        <f>VLOOKUP(A374,[2]v_02_2024!F:I,3,FALSE)</f>
        <v>3</v>
      </c>
      <c r="D374" s="28">
        <f>VLOOKUP(A374,[2]v_02_2024!F:I,4,FALSE)</f>
        <v>147.35</v>
      </c>
      <c r="E374" s="21">
        <v>0</v>
      </c>
      <c r="F374" s="28">
        <v>0</v>
      </c>
      <c r="G374" s="24">
        <f t="shared" si="43"/>
        <v>0</v>
      </c>
      <c r="H374" s="21">
        <f t="shared" si="44"/>
        <v>3</v>
      </c>
      <c r="I374" s="28">
        <f t="shared" si="44"/>
        <v>147.35</v>
      </c>
      <c r="J374" s="21">
        <f>VLOOKUP(A374,[2]v_02_2023!F:I,3,FALSE)</f>
        <v>1</v>
      </c>
      <c r="K374" s="28">
        <f>VLOOKUP(A374,[2]v_02_2023!F:I,4,FALSE)</f>
        <v>53.22</v>
      </c>
      <c r="L374" s="21">
        <f t="shared" si="45"/>
        <v>2</v>
      </c>
      <c r="M374" s="29">
        <f t="shared" si="45"/>
        <v>94.13</v>
      </c>
      <c r="N374" s="26">
        <f t="shared" si="46"/>
        <v>1.7686959789552799</v>
      </c>
    </row>
    <row r="375" spans="1:14" x14ac:dyDescent="0.25">
      <c r="A375" s="21" t="s">
        <v>580</v>
      </c>
      <c r="B375" s="22" t="s">
        <v>581</v>
      </c>
      <c r="C375">
        <f>VLOOKUP(A375,[2]v_02_2024!F:I,3,FALSE)</f>
        <v>1</v>
      </c>
      <c r="D375" s="28">
        <f>VLOOKUP(A375,[2]v_02_2024!F:I,4,FALSE)</f>
        <v>10.57</v>
      </c>
      <c r="E375" s="21">
        <v>0</v>
      </c>
      <c r="F375" s="28">
        <v>0</v>
      </c>
      <c r="G375" s="24">
        <f t="shared" si="43"/>
        <v>0</v>
      </c>
      <c r="H375" s="21">
        <f t="shared" si="44"/>
        <v>1</v>
      </c>
      <c r="I375" s="28">
        <f t="shared" si="44"/>
        <v>10.57</v>
      </c>
      <c r="J375" s="21">
        <f>VLOOKUP(A375,[2]v_02_2023!F:I,3,FALSE)</f>
        <v>3</v>
      </c>
      <c r="K375" s="28">
        <f>VLOOKUP(A375,[2]v_02_2023!F:I,4,FALSE)</f>
        <v>31.71</v>
      </c>
      <c r="L375" s="21">
        <f t="shared" si="45"/>
        <v>-2</v>
      </c>
      <c r="M375" s="29">
        <f t="shared" si="45"/>
        <v>-21.14</v>
      </c>
      <c r="N375" s="26">
        <f t="shared" si="46"/>
        <v>-0.66666666666666663</v>
      </c>
    </row>
    <row r="376" spans="1:14" x14ac:dyDescent="0.25">
      <c r="A376" s="21" t="s">
        <v>31</v>
      </c>
      <c r="B376" s="22" t="s">
        <v>30</v>
      </c>
      <c r="C376">
        <f>VLOOKUP(A376,[2]v_02_2024!F:I,3,FALSE)</f>
        <v>24</v>
      </c>
      <c r="D376" s="28">
        <f>VLOOKUP(A376,[2]v_02_2024!F:I,4,FALSE)</f>
        <v>784.8</v>
      </c>
      <c r="E376" s="21">
        <v>0</v>
      </c>
      <c r="F376" s="28">
        <v>0</v>
      </c>
      <c r="G376" s="24">
        <f t="shared" si="43"/>
        <v>0</v>
      </c>
      <c r="H376" s="21">
        <f t="shared" si="44"/>
        <v>24</v>
      </c>
      <c r="I376" s="28">
        <f t="shared" si="44"/>
        <v>784.8</v>
      </c>
      <c r="J376" s="21">
        <f>VLOOKUP(A376,[2]v_02_2023!F:I,3,FALSE)</f>
        <v>103</v>
      </c>
      <c r="K376" s="28">
        <f>VLOOKUP(A376,[2]v_02_2023!F:I,4,FALSE)</f>
        <v>2946.83</v>
      </c>
      <c r="L376" s="21">
        <f t="shared" si="45"/>
        <v>-79</v>
      </c>
      <c r="M376" s="29">
        <f t="shared" si="45"/>
        <v>-2162.0299999999997</v>
      </c>
      <c r="N376" s="26">
        <f t="shared" si="46"/>
        <v>-0.73367992045689767</v>
      </c>
    </row>
    <row r="377" spans="1:14" x14ac:dyDescent="0.25">
      <c r="A377" s="21" t="s">
        <v>590</v>
      </c>
      <c r="B377" s="22" t="s">
        <v>591</v>
      </c>
      <c r="C377">
        <f>VLOOKUP(A377,[2]v_02_2024!F:I,3,FALSE)</f>
        <v>1</v>
      </c>
      <c r="D377" s="28">
        <f>VLOOKUP(A377,[2]v_02_2024!F:I,4,FALSE)</f>
        <v>6.73</v>
      </c>
      <c r="E377" s="21">
        <v>0</v>
      </c>
      <c r="F377" s="28">
        <v>0</v>
      </c>
      <c r="G377" s="24">
        <f t="shared" si="43"/>
        <v>0</v>
      </c>
      <c r="H377" s="21">
        <f t="shared" si="44"/>
        <v>1</v>
      </c>
      <c r="I377" s="28">
        <f t="shared" si="44"/>
        <v>6.73</v>
      </c>
      <c r="J377" s="21">
        <v>0</v>
      </c>
      <c r="K377" s="28">
        <v>0</v>
      </c>
      <c r="L377" s="21">
        <f t="shared" si="45"/>
        <v>1</v>
      </c>
      <c r="M377" s="29">
        <f t="shared" si="45"/>
        <v>6.73</v>
      </c>
      <c r="N377" s="26"/>
    </row>
    <row r="378" spans="1:14" x14ac:dyDescent="0.25">
      <c r="A378" s="21" t="s">
        <v>592</v>
      </c>
      <c r="B378" s="22" t="s">
        <v>593</v>
      </c>
      <c r="C378">
        <v>0</v>
      </c>
      <c r="D378" s="28">
        <v>0</v>
      </c>
      <c r="E378" s="21">
        <v>0</v>
      </c>
      <c r="F378" s="28">
        <v>0</v>
      </c>
      <c r="G378" s="24"/>
      <c r="H378" s="21">
        <f t="shared" si="44"/>
        <v>0</v>
      </c>
      <c r="I378" s="28">
        <f t="shared" si="44"/>
        <v>0</v>
      </c>
      <c r="J378" s="21">
        <v>0</v>
      </c>
      <c r="K378" s="28">
        <v>0</v>
      </c>
      <c r="L378" s="21">
        <f t="shared" si="45"/>
        <v>0</v>
      </c>
      <c r="M378" s="29">
        <f t="shared" si="45"/>
        <v>0</v>
      </c>
      <c r="N378" s="26"/>
    </row>
    <row r="379" spans="1:14" x14ac:dyDescent="0.25">
      <c r="A379" s="21" t="s">
        <v>596</v>
      </c>
      <c r="B379" s="22" t="s">
        <v>597</v>
      </c>
      <c r="C379">
        <f>VLOOKUP(A379,[2]v_02_2024!F:I,3,FALSE)</f>
        <v>1</v>
      </c>
      <c r="D379" s="28">
        <f>VLOOKUP(A379,[2]v_02_2024!F:I,4,FALSE)</f>
        <v>16.309999999999999</v>
      </c>
      <c r="E379" s="21">
        <v>0</v>
      </c>
      <c r="F379" s="28">
        <v>0</v>
      </c>
      <c r="G379" s="24">
        <f t="shared" si="43"/>
        <v>0</v>
      </c>
      <c r="H379" s="21">
        <f t="shared" si="44"/>
        <v>1</v>
      </c>
      <c r="I379" s="28">
        <f t="shared" si="44"/>
        <v>16.309999999999999</v>
      </c>
      <c r="J379" s="21">
        <v>0</v>
      </c>
      <c r="K379" s="28">
        <v>0</v>
      </c>
      <c r="L379" s="21">
        <f t="shared" si="45"/>
        <v>1</v>
      </c>
      <c r="M379" s="29">
        <f t="shared" si="45"/>
        <v>16.309999999999999</v>
      </c>
      <c r="N379" s="26"/>
    </row>
    <row r="380" spans="1:14" x14ac:dyDescent="0.25">
      <c r="A380" s="21" t="s">
        <v>33</v>
      </c>
      <c r="B380" s="22" t="s">
        <v>32</v>
      </c>
      <c r="C380">
        <f>VLOOKUP(A380,[2]v_02_2024!F:I,3,FALSE)</f>
        <v>274</v>
      </c>
      <c r="D380" s="28">
        <f>VLOOKUP(A380,[2]v_02_2024!F:I,4,FALSE)</f>
        <v>4464.6099999999997</v>
      </c>
      <c r="E380" s="21">
        <f>VLOOKUP(A380,[2]s_02_2024!E:G,2,FALSE)</f>
        <v>7</v>
      </c>
      <c r="F380" s="28">
        <f>VLOOKUP(A380,[2]s_02_2024!E:G,3,FALSE)</f>
        <v>155.61000000000001</v>
      </c>
      <c r="G380" s="24">
        <f t="shared" si="43"/>
        <v>3.3680214362086659E-2</v>
      </c>
      <c r="H380" s="21">
        <f t="shared" si="44"/>
        <v>281</v>
      </c>
      <c r="I380" s="28">
        <f t="shared" si="44"/>
        <v>4620.2199999999993</v>
      </c>
      <c r="J380" s="21">
        <f>VLOOKUP(A380,[2]v_02_2023!F:I,3,FALSE)</f>
        <v>323</v>
      </c>
      <c r="K380" s="28">
        <f>VLOOKUP(A380,[2]v_02_2023!F:I,4,FALSE)</f>
        <v>5211.46</v>
      </c>
      <c r="L380" s="21">
        <f t="shared" si="45"/>
        <v>-42</v>
      </c>
      <c r="M380" s="29">
        <f t="shared" si="45"/>
        <v>-591.24000000000069</v>
      </c>
      <c r="N380" s="26">
        <f t="shared" si="46"/>
        <v>-0.11344997371178148</v>
      </c>
    </row>
    <row r="381" spans="1:14" x14ac:dyDescent="0.25">
      <c r="A381" s="21" t="s">
        <v>35</v>
      </c>
      <c r="B381" s="22" t="s">
        <v>34</v>
      </c>
      <c r="C381">
        <f>VLOOKUP(A381,[2]v_02_2024!F:I,3,FALSE)</f>
        <v>1</v>
      </c>
      <c r="D381" s="28">
        <f>VLOOKUP(A381,[2]v_02_2024!F:I,4,FALSE)</f>
        <v>9.5399999999999991</v>
      </c>
      <c r="E381" s="21">
        <v>0</v>
      </c>
      <c r="F381" s="28">
        <v>0</v>
      </c>
      <c r="G381" s="24">
        <f t="shared" si="43"/>
        <v>0</v>
      </c>
      <c r="H381" s="21">
        <f t="shared" si="44"/>
        <v>1</v>
      </c>
      <c r="I381" s="28">
        <f t="shared" si="44"/>
        <v>9.5399999999999991</v>
      </c>
      <c r="J381" s="21">
        <v>0</v>
      </c>
      <c r="K381" s="28">
        <v>0</v>
      </c>
      <c r="L381" s="21">
        <f t="shared" si="45"/>
        <v>1</v>
      </c>
      <c r="M381" s="29">
        <f t="shared" si="45"/>
        <v>9.5399999999999991</v>
      </c>
      <c r="N381" s="26"/>
    </row>
    <row r="382" spans="1:14" x14ac:dyDescent="0.25">
      <c r="A382" s="21" t="s">
        <v>602</v>
      </c>
      <c r="B382" s="22" t="s">
        <v>603</v>
      </c>
      <c r="C382">
        <v>0</v>
      </c>
      <c r="D382" s="28">
        <v>0</v>
      </c>
      <c r="E382" s="21">
        <v>0</v>
      </c>
      <c r="F382" s="28">
        <v>0</v>
      </c>
      <c r="G382" s="24"/>
      <c r="H382" s="21">
        <f t="shared" si="44"/>
        <v>0</v>
      </c>
      <c r="I382" s="28">
        <f t="shared" si="44"/>
        <v>0</v>
      </c>
      <c r="J382" s="21">
        <v>0</v>
      </c>
      <c r="K382" s="28">
        <v>0</v>
      </c>
      <c r="L382" s="21">
        <f t="shared" si="45"/>
        <v>0</v>
      </c>
      <c r="M382" s="29">
        <f t="shared" si="45"/>
        <v>0</v>
      </c>
      <c r="N382" s="26"/>
    </row>
    <row r="383" spans="1:14" x14ac:dyDescent="0.25">
      <c r="A383" s="21" t="s">
        <v>604</v>
      </c>
      <c r="B383" s="22" t="s">
        <v>605</v>
      </c>
      <c r="C383">
        <v>0</v>
      </c>
      <c r="D383" s="28">
        <v>0</v>
      </c>
      <c r="E383" s="21">
        <v>0</v>
      </c>
      <c r="F383" s="28">
        <v>0</v>
      </c>
      <c r="G383" s="24"/>
      <c r="H383" s="21">
        <f t="shared" si="44"/>
        <v>0</v>
      </c>
      <c r="I383" s="28">
        <f t="shared" si="44"/>
        <v>0</v>
      </c>
      <c r="J383" s="21">
        <v>0</v>
      </c>
      <c r="K383" s="28">
        <v>0</v>
      </c>
      <c r="L383" s="21">
        <f t="shared" si="45"/>
        <v>0</v>
      </c>
      <c r="M383" s="29">
        <f t="shared" si="45"/>
        <v>0</v>
      </c>
      <c r="N383" s="26"/>
    </row>
    <row r="384" spans="1:14" x14ac:dyDescent="0.25">
      <c r="A384" s="21" t="s">
        <v>37</v>
      </c>
      <c r="B384" s="22" t="s">
        <v>36</v>
      </c>
      <c r="C384">
        <v>0</v>
      </c>
      <c r="D384" s="28">
        <v>0</v>
      </c>
      <c r="E384" s="21">
        <v>0</v>
      </c>
      <c r="F384" s="28">
        <v>0</v>
      </c>
      <c r="G384" s="24"/>
      <c r="H384" s="21">
        <f t="shared" si="44"/>
        <v>0</v>
      </c>
      <c r="I384" s="28">
        <f t="shared" si="44"/>
        <v>0</v>
      </c>
      <c r="J384" s="21">
        <v>0</v>
      </c>
      <c r="K384" s="28">
        <v>0</v>
      </c>
      <c r="L384" s="21">
        <f t="shared" si="45"/>
        <v>0</v>
      </c>
      <c r="M384" s="29">
        <f t="shared" si="45"/>
        <v>0</v>
      </c>
      <c r="N384" s="26"/>
    </row>
    <row r="385" spans="1:14" x14ac:dyDescent="0.25">
      <c r="A385" s="21" t="s">
        <v>526</v>
      </c>
      <c r="B385" s="22" t="s">
        <v>525</v>
      </c>
      <c r="C385">
        <v>0</v>
      </c>
      <c r="D385" s="28">
        <v>0</v>
      </c>
      <c r="E385" s="21">
        <v>0</v>
      </c>
      <c r="F385" s="28">
        <v>0</v>
      </c>
      <c r="G385" s="24"/>
      <c r="H385" s="21">
        <f t="shared" si="44"/>
        <v>0</v>
      </c>
      <c r="I385" s="28">
        <f t="shared" si="44"/>
        <v>0</v>
      </c>
      <c r="J385" s="21">
        <v>0</v>
      </c>
      <c r="K385" s="28">
        <v>0</v>
      </c>
      <c r="L385" s="21">
        <f t="shared" si="45"/>
        <v>0</v>
      </c>
      <c r="M385" s="29">
        <f t="shared" si="45"/>
        <v>0</v>
      </c>
      <c r="N385" s="26"/>
    </row>
    <row r="386" spans="1:14" x14ac:dyDescent="0.25">
      <c r="A386" s="21" t="s">
        <v>39</v>
      </c>
      <c r="B386" s="22" t="s">
        <v>38</v>
      </c>
      <c r="C386">
        <v>0</v>
      </c>
      <c r="D386" s="28">
        <v>0</v>
      </c>
      <c r="E386" s="21">
        <f>VLOOKUP(A386,[2]s_02_2024!E:G,2,FALSE)</f>
        <v>5</v>
      </c>
      <c r="F386" s="28">
        <f>VLOOKUP(A386,[2]s_02_2024!E:G,3,FALSE)</f>
        <v>234.5</v>
      </c>
      <c r="G386" s="24">
        <f t="shared" si="43"/>
        <v>1</v>
      </c>
      <c r="H386" s="21">
        <f t="shared" si="44"/>
        <v>5</v>
      </c>
      <c r="I386" s="28">
        <f t="shared" si="44"/>
        <v>234.5</v>
      </c>
      <c r="J386" s="21">
        <v>0</v>
      </c>
      <c r="K386" s="28">
        <v>0</v>
      </c>
      <c r="L386" s="21">
        <f t="shared" si="45"/>
        <v>5</v>
      </c>
      <c r="M386" s="29">
        <f t="shared" si="45"/>
        <v>234.5</v>
      </c>
      <c r="N386" s="26"/>
    </row>
    <row r="387" spans="1:14" x14ac:dyDescent="0.25">
      <c r="A387" s="21" t="s">
        <v>41</v>
      </c>
      <c r="B387" s="22" t="s">
        <v>40</v>
      </c>
      <c r="C387">
        <f>VLOOKUP(A387,[2]v_02_2024!F:I,3,FALSE)</f>
        <v>5</v>
      </c>
      <c r="D387" s="28">
        <f>VLOOKUP(A387,[2]v_02_2024!F:I,4,FALSE)</f>
        <v>572.22</v>
      </c>
      <c r="E387" s="21">
        <v>0</v>
      </c>
      <c r="F387" s="28">
        <v>0</v>
      </c>
      <c r="G387" s="24">
        <f t="shared" si="43"/>
        <v>0</v>
      </c>
      <c r="H387" s="21">
        <f t="shared" si="44"/>
        <v>5</v>
      </c>
      <c r="I387" s="28">
        <f t="shared" si="44"/>
        <v>572.22</v>
      </c>
      <c r="J387" s="21">
        <f>VLOOKUP(A387,[2]v_02_2023!F:I,3,FALSE)</f>
        <v>4</v>
      </c>
      <c r="K387" s="28">
        <f>VLOOKUP(A387,[2]v_02_2023!F:I,4,FALSE)</f>
        <v>320.64999999999998</v>
      </c>
      <c r="L387" s="21">
        <f t="shared" si="45"/>
        <v>1</v>
      </c>
      <c r="M387" s="29">
        <f t="shared" si="45"/>
        <v>251.57000000000005</v>
      </c>
      <c r="N387" s="26">
        <f t="shared" si="46"/>
        <v>0.78456260720411686</v>
      </c>
    </row>
    <row r="388" spans="1:14" x14ac:dyDescent="0.25">
      <c r="A388" s="21" t="s">
        <v>606</v>
      </c>
      <c r="B388" s="22" t="s">
        <v>607</v>
      </c>
      <c r="C388">
        <v>0</v>
      </c>
      <c r="D388" s="28">
        <v>0</v>
      </c>
      <c r="E388" s="21">
        <v>0</v>
      </c>
      <c r="F388" s="28">
        <v>0</v>
      </c>
      <c r="G388" s="24"/>
      <c r="H388" s="21">
        <f t="shared" si="44"/>
        <v>0</v>
      </c>
      <c r="I388" s="28">
        <f t="shared" si="44"/>
        <v>0</v>
      </c>
      <c r="J388" s="21">
        <v>0</v>
      </c>
      <c r="K388" s="28">
        <v>0</v>
      </c>
      <c r="L388" s="21">
        <f t="shared" si="45"/>
        <v>0</v>
      </c>
      <c r="M388" s="29">
        <f t="shared" si="45"/>
        <v>0</v>
      </c>
      <c r="N388" s="26"/>
    </row>
    <row r="389" spans="1:14" x14ac:dyDescent="0.25">
      <c r="A389" s="21" t="s">
        <v>508</v>
      </c>
      <c r="B389" s="22" t="s">
        <v>507</v>
      </c>
      <c r="C389">
        <f>VLOOKUP(A389,[2]v_02_2024!F:I,3,FALSE)</f>
        <v>2</v>
      </c>
      <c r="D389" s="28">
        <f>VLOOKUP(A389,[2]v_02_2024!F:I,4,FALSE)</f>
        <v>6.98</v>
      </c>
      <c r="E389" s="21">
        <v>0</v>
      </c>
      <c r="F389" s="28">
        <v>0</v>
      </c>
      <c r="G389" s="24">
        <f t="shared" si="43"/>
        <v>0</v>
      </c>
      <c r="H389" s="21">
        <f t="shared" si="44"/>
        <v>2</v>
      </c>
      <c r="I389" s="28">
        <f t="shared" si="44"/>
        <v>6.98</v>
      </c>
      <c r="J389" s="21">
        <f>VLOOKUP(A389,[2]v_02_2023!F:I,3,FALSE)</f>
        <v>9</v>
      </c>
      <c r="K389" s="28">
        <f>VLOOKUP(A389,[2]v_02_2023!F:I,4,FALSE)</f>
        <v>30.95</v>
      </c>
      <c r="L389" s="21">
        <f t="shared" si="45"/>
        <v>-7</v>
      </c>
      <c r="M389" s="29">
        <f t="shared" si="45"/>
        <v>-23.97</v>
      </c>
      <c r="N389" s="26">
        <f t="shared" si="46"/>
        <v>-0.77447495961227786</v>
      </c>
    </row>
    <row r="390" spans="1:14" x14ac:dyDescent="0.25">
      <c r="A390" s="21" t="s">
        <v>43</v>
      </c>
      <c r="B390" s="22" t="s">
        <v>42</v>
      </c>
      <c r="C390">
        <f>VLOOKUP(A390,[2]v_02_2024!F:I,3,FALSE)</f>
        <v>2</v>
      </c>
      <c r="D390" s="28">
        <f>VLOOKUP(A390,[2]v_02_2024!F:I,4,FALSE)</f>
        <v>32.619999999999997</v>
      </c>
      <c r="E390" s="21">
        <f>VLOOKUP(A390,[2]s_02_2024!E:G,2,FALSE)</f>
        <v>1084</v>
      </c>
      <c r="F390" s="28">
        <f>VLOOKUP(A390,[2]s_02_2024!E:G,3,FALSE)</f>
        <v>21587.91000000016</v>
      </c>
      <c r="G390" s="24">
        <f t="shared" si="43"/>
        <v>0.99849124882692519</v>
      </c>
      <c r="H390" s="21">
        <f t="shared" si="44"/>
        <v>1086</v>
      </c>
      <c r="I390" s="28">
        <f t="shared" si="44"/>
        <v>21620.530000000159</v>
      </c>
      <c r="J390" s="21">
        <f>VLOOKUP(A390,[2]v_02_2023!F:I,3,FALSE)</f>
        <v>2222</v>
      </c>
      <c r="K390" s="28">
        <f>VLOOKUP(A390,[2]v_02_2023!F:I,4,FALSE)</f>
        <v>30066.66</v>
      </c>
      <c r="L390" s="21">
        <f t="shared" si="45"/>
        <v>-1136</v>
      </c>
      <c r="M390" s="29">
        <f t="shared" si="45"/>
        <v>-8446.1299999998409</v>
      </c>
      <c r="N390" s="26">
        <f t="shared" si="46"/>
        <v>-0.28091347692094304</v>
      </c>
    </row>
    <row r="391" spans="1:14" x14ac:dyDescent="0.25">
      <c r="A391" s="21" t="s">
        <v>504</v>
      </c>
      <c r="B391" s="22" t="s">
        <v>503</v>
      </c>
      <c r="C391">
        <f>VLOOKUP(A391,[2]v_02_2024!F:I,3,FALSE)</f>
        <v>13</v>
      </c>
      <c r="D391" s="28">
        <f>VLOOKUP(A391,[2]v_02_2024!F:I,4,FALSE)</f>
        <v>50.63</v>
      </c>
      <c r="E391" s="21">
        <v>0</v>
      </c>
      <c r="F391" s="28">
        <v>0</v>
      </c>
      <c r="G391" s="24">
        <f t="shared" si="43"/>
        <v>0</v>
      </c>
      <c r="H391" s="21">
        <f t="shared" si="44"/>
        <v>13</v>
      </c>
      <c r="I391" s="28">
        <f t="shared" si="44"/>
        <v>50.63</v>
      </c>
      <c r="J391" s="21">
        <f>VLOOKUP(A391,[2]v_02_2023!F:I,3,FALSE)</f>
        <v>2</v>
      </c>
      <c r="K391" s="28">
        <f>VLOOKUP(A391,[2]v_02_2023!F:I,4,FALSE)</f>
        <v>11.51</v>
      </c>
      <c r="L391" s="21">
        <f t="shared" si="45"/>
        <v>11</v>
      </c>
      <c r="M391" s="29">
        <f t="shared" si="45"/>
        <v>39.120000000000005</v>
      </c>
      <c r="N391" s="26">
        <f t="shared" si="46"/>
        <v>3.3987836663770641</v>
      </c>
    </row>
    <row r="392" spans="1:14" x14ac:dyDescent="0.25">
      <c r="A392" s="21" t="s">
        <v>45</v>
      </c>
      <c r="B392" s="22" t="s">
        <v>44</v>
      </c>
      <c r="C392">
        <f>VLOOKUP(A392,[2]v_02_2024!F:I,3,FALSE)</f>
        <v>3</v>
      </c>
      <c r="D392" s="28">
        <f>VLOOKUP(A392,[2]v_02_2024!F:I,4,FALSE)</f>
        <v>18.149999999999999</v>
      </c>
      <c r="E392" s="21">
        <v>0</v>
      </c>
      <c r="F392" s="28">
        <v>0</v>
      </c>
      <c r="G392" s="24">
        <f t="shared" si="43"/>
        <v>0</v>
      </c>
      <c r="H392" s="21">
        <f t="shared" si="44"/>
        <v>3</v>
      </c>
      <c r="I392" s="28">
        <f t="shared" si="44"/>
        <v>18.149999999999999</v>
      </c>
      <c r="J392" s="21">
        <v>0</v>
      </c>
      <c r="K392" s="28">
        <v>0</v>
      </c>
      <c r="L392" s="21">
        <f t="shared" si="45"/>
        <v>3</v>
      </c>
      <c r="M392" s="29">
        <f t="shared" si="45"/>
        <v>18.149999999999999</v>
      </c>
      <c r="N392" s="26"/>
    </row>
    <row r="393" spans="1:14" x14ac:dyDescent="0.25">
      <c r="A393" s="21" t="s">
        <v>614</v>
      </c>
      <c r="B393" s="22" t="s">
        <v>615</v>
      </c>
      <c r="C393">
        <v>0</v>
      </c>
      <c r="D393" s="28">
        <v>0</v>
      </c>
      <c r="E393" s="21">
        <v>0</v>
      </c>
      <c r="F393" s="28">
        <v>0</v>
      </c>
      <c r="G393" s="24"/>
      <c r="H393" s="21">
        <f t="shared" si="44"/>
        <v>0</v>
      </c>
      <c r="I393" s="28">
        <f t="shared" si="44"/>
        <v>0</v>
      </c>
      <c r="J393" s="21">
        <v>0</v>
      </c>
      <c r="K393" s="28">
        <v>0</v>
      </c>
      <c r="L393" s="21">
        <f t="shared" si="45"/>
        <v>0</v>
      </c>
      <c r="M393" s="29">
        <f t="shared" si="45"/>
        <v>0</v>
      </c>
      <c r="N393" s="26"/>
    </row>
    <row r="394" spans="1:14" x14ac:dyDescent="0.25">
      <c r="A394" s="21" t="s">
        <v>47</v>
      </c>
      <c r="B394" s="22" t="s">
        <v>46</v>
      </c>
      <c r="C394">
        <f>VLOOKUP(A394,[2]v_02_2024!F:I,3,FALSE)</f>
        <v>0</v>
      </c>
      <c r="D394" s="28">
        <f>VLOOKUP(A394,[2]v_02_2024!F:I,4,FALSE)</f>
        <v>0</v>
      </c>
      <c r="E394" s="21">
        <f>VLOOKUP(A394,[2]s_02_2024!E:G,2,FALSE)</f>
        <v>285</v>
      </c>
      <c r="F394" s="28">
        <f>VLOOKUP(A394,[2]s_02_2024!E:G,3,FALSE)</f>
        <v>9936.0199999999477</v>
      </c>
      <c r="G394" s="24">
        <f t="shared" si="43"/>
        <v>1</v>
      </c>
      <c r="H394" s="21">
        <f t="shared" si="44"/>
        <v>285</v>
      </c>
      <c r="I394" s="28">
        <f t="shared" si="44"/>
        <v>9936.0199999999477</v>
      </c>
      <c r="J394" s="21">
        <f>VLOOKUP(A394,[2]v_02_2023!F:I,3,FALSE)</f>
        <v>327</v>
      </c>
      <c r="K394" s="28">
        <f>VLOOKUP(A394,[2]v_02_2023!F:I,4,FALSE)</f>
        <v>9421.49</v>
      </c>
      <c r="L394" s="21">
        <f t="shared" si="45"/>
        <v>-42</v>
      </c>
      <c r="M394" s="29">
        <f t="shared" si="45"/>
        <v>514.5299999999479</v>
      </c>
      <c r="N394" s="26">
        <f t="shared" si="46"/>
        <v>5.4612380844213382E-2</v>
      </c>
    </row>
    <row r="395" spans="1:14" x14ac:dyDescent="0.25">
      <c r="A395" s="21" t="s">
        <v>512</v>
      </c>
      <c r="B395" s="22" t="s">
        <v>511</v>
      </c>
      <c r="C395">
        <f>VLOOKUP(A395,[2]v_02_2024!F:I,3,FALSE)</f>
        <v>43</v>
      </c>
      <c r="D395" s="28">
        <f>VLOOKUP(A395,[2]v_02_2024!F:I,4,FALSE)</f>
        <v>877.63</v>
      </c>
      <c r="E395" s="21">
        <v>0</v>
      </c>
      <c r="F395" s="28">
        <v>0</v>
      </c>
      <c r="G395" s="24">
        <f t="shared" si="43"/>
        <v>0</v>
      </c>
      <c r="H395" s="21">
        <f t="shared" si="44"/>
        <v>43</v>
      </c>
      <c r="I395" s="28">
        <f t="shared" si="44"/>
        <v>877.63</v>
      </c>
      <c r="J395" s="21">
        <f>VLOOKUP(A395,[2]v_02_2023!F:I,3,FALSE)</f>
        <v>65</v>
      </c>
      <c r="K395" s="28">
        <f>VLOOKUP(A395,[2]v_02_2023!F:I,4,FALSE)</f>
        <v>1379.23</v>
      </c>
      <c r="L395" s="21">
        <f t="shared" si="45"/>
        <v>-22</v>
      </c>
      <c r="M395" s="29">
        <f t="shared" si="45"/>
        <v>-501.6</v>
      </c>
      <c r="N395" s="26">
        <f t="shared" si="46"/>
        <v>-0.363681184428993</v>
      </c>
    </row>
    <row r="396" spans="1:14" x14ac:dyDescent="0.25">
      <c r="A396" s="21" t="s">
        <v>616</v>
      </c>
      <c r="B396" s="22" t="s">
        <v>617</v>
      </c>
      <c r="C396">
        <v>0</v>
      </c>
      <c r="D396" s="28">
        <v>0</v>
      </c>
      <c r="E396" s="21">
        <v>0</v>
      </c>
      <c r="F396" s="28">
        <v>0</v>
      </c>
      <c r="G396" s="24"/>
      <c r="H396" s="21">
        <f t="shared" si="44"/>
        <v>0</v>
      </c>
      <c r="I396" s="28">
        <f t="shared" si="44"/>
        <v>0</v>
      </c>
      <c r="J396" s="21">
        <v>0</v>
      </c>
      <c r="K396" s="28">
        <v>0</v>
      </c>
      <c r="L396" s="21">
        <f t="shared" si="45"/>
        <v>0</v>
      </c>
      <c r="M396" s="29">
        <f t="shared" si="45"/>
        <v>0</v>
      </c>
      <c r="N396" s="26"/>
    </row>
    <row r="397" spans="1:14" x14ac:dyDescent="0.25">
      <c r="A397" s="21" t="s">
        <v>492</v>
      </c>
      <c r="B397" s="22" t="s">
        <v>491</v>
      </c>
      <c r="C397">
        <f>VLOOKUP(A397,[2]v_02_2024!F:I,3,FALSE)</f>
        <v>0</v>
      </c>
      <c r="D397" s="28">
        <f>VLOOKUP(A397,[2]v_02_2024!F:I,4,FALSE)</f>
        <v>0</v>
      </c>
      <c r="E397" s="21">
        <f>VLOOKUP(A397,[2]s_02_2024!E:G,2,FALSE)</f>
        <v>20</v>
      </c>
      <c r="F397" s="28">
        <f>VLOOKUP(A397,[2]s_02_2024!E:G,3,FALSE)</f>
        <v>897.99999999999966</v>
      </c>
      <c r="G397" s="24">
        <f t="shared" si="43"/>
        <v>1</v>
      </c>
      <c r="H397" s="21">
        <f t="shared" si="44"/>
        <v>20</v>
      </c>
      <c r="I397" s="28">
        <f t="shared" si="44"/>
        <v>897.99999999999966</v>
      </c>
      <c r="J397" s="21">
        <f>VLOOKUP(A397,[2]v_02_2023!F:I,3,FALSE)</f>
        <v>227</v>
      </c>
      <c r="K397" s="28">
        <f>VLOOKUP(A397,[2]v_02_2023!F:I,4,FALSE)</f>
        <v>6496.29</v>
      </c>
      <c r="L397" s="21">
        <f t="shared" si="45"/>
        <v>-207</v>
      </c>
      <c r="M397" s="29">
        <f t="shared" si="45"/>
        <v>-5598.29</v>
      </c>
      <c r="N397" s="26">
        <f t="shared" si="46"/>
        <v>-0.86176725484853667</v>
      </c>
    </row>
    <row r="398" spans="1:14" x14ac:dyDescent="0.25">
      <c r="A398" s="21" t="s">
        <v>556</v>
      </c>
      <c r="B398" s="22" t="s">
        <v>555</v>
      </c>
      <c r="C398">
        <v>0</v>
      </c>
      <c r="D398" s="28">
        <v>0</v>
      </c>
      <c r="E398" s="21">
        <v>0</v>
      </c>
      <c r="F398" s="28">
        <v>0</v>
      </c>
      <c r="G398" s="24"/>
      <c r="H398" s="21">
        <f t="shared" si="44"/>
        <v>0</v>
      </c>
      <c r="I398" s="28">
        <f t="shared" si="44"/>
        <v>0</v>
      </c>
      <c r="J398" s="21">
        <v>0</v>
      </c>
      <c r="K398" s="28">
        <v>0</v>
      </c>
      <c r="L398" s="21">
        <f t="shared" si="45"/>
        <v>0</v>
      </c>
      <c r="M398" s="29">
        <f t="shared" si="45"/>
        <v>0</v>
      </c>
      <c r="N398" s="26"/>
    </row>
    <row r="399" spans="1:14" x14ac:dyDescent="0.25">
      <c r="A399" s="21" t="s">
        <v>622</v>
      </c>
      <c r="B399" s="22" t="s">
        <v>623</v>
      </c>
      <c r="C399">
        <v>0</v>
      </c>
      <c r="D399" s="28">
        <v>0</v>
      </c>
      <c r="E399" s="21">
        <v>0</v>
      </c>
      <c r="F399" s="28">
        <v>0</v>
      </c>
      <c r="G399" s="24"/>
      <c r="H399" s="21">
        <f t="shared" si="44"/>
        <v>0</v>
      </c>
      <c r="I399" s="28">
        <f t="shared" si="44"/>
        <v>0</v>
      </c>
      <c r="J399" s="21">
        <v>0</v>
      </c>
      <c r="K399" s="28">
        <v>0</v>
      </c>
      <c r="L399" s="21">
        <f t="shared" si="45"/>
        <v>0</v>
      </c>
      <c r="M399" s="29">
        <f t="shared" si="45"/>
        <v>0</v>
      </c>
      <c r="N399" s="26"/>
    </row>
    <row r="400" spans="1:14" x14ac:dyDescent="0.25">
      <c r="A400" s="21" t="s">
        <v>630</v>
      </c>
      <c r="B400" s="22" t="s">
        <v>631</v>
      </c>
      <c r="C400">
        <v>0</v>
      </c>
      <c r="D400" s="28">
        <v>0</v>
      </c>
      <c r="E400" s="21">
        <v>0</v>
      </c>
      <c r="F400" s="28">
        <v>0</v>
      </c>
      <c r="G400" s="24"/>
      <c r="H400" s="21">
        <f t="shared" si="44"/>
        <v>0</v>
      </c>
      <c r="I400" s="28">
        <f t="shared" si="44"/>
        <v>0</v>
      </c>
      <c r="J400" s="21">
        <v>0</v>
      </c>
      <c r="K400" s="28">
        <v>0</v>
      </c>
      <c r="L400" s="21">
        <f t="shared" si="45"/>
        <v>0</v>
      </c>
      <c r="M400" s="29">
        <f t="shared" si="45"/>
        <v>0</v>
      </c>
      <c r="N400" s="26"/>
    </row>
    <row r="401" spans="1:14" x14ac:dyDescent="0.25">
      <c r="A401" s="21" t="s">
        <v>49</v>
      </c>
      <c r="B401" s="22" t="s">
        <v>48</v>
      </c>
      <c r="C401">
        <v>0</v>
      </c>
      <c r="D401" s="28">
        <v>0</v>
      </c>
      <c r="E401" s="21">
        <v>0</v>
      </c>
      <c r="F401" s="28">
        <v>0</v>
      </c>
      <c r="G401" s="24"/>
      <c r="H401" s="21">
        <f t="shared" si="44"/>
        <v>0</v>
      </c>
      <c r="I401" s="28">
        <f t="shared" si="44"/>
        <v>0</v>
      </c>
      <c r="J401" s="21">
        <f>VLOOKUP(A401,[2]v_02_2023!F:I,3,FALSE)</f>
        <v>4</v>
      </c>
      <c r="K401" s="28">
        <f>VLOOKUP(A401,[2]v_02_2023!F:I,4,FALSE)</f>
        <v>43.35</v>
      </c>
      <c r="L401" s="21">
        <f t="shared" si="45"/>
        <v>-4</v>
      </c>
      <c r="M401" s="29">
        <f t="shared" si="45"/>
        <v>-43.35</v>
      </c>
      <c r="N401" s="26">
        <f t="shared" si="46"/>
        <v>-1</v>
      </c>
    </row>
    <row r="402" spans="1:14" x14ac:dyDescent="0.25">
      <c r="A402" s="21" t="s">
        <v>51</v>
      </c>
      <c r="B402" s="22" t="s">
        <v>50</v>
      </c>
      <c r="C402">
        <f>VLOOKUP(A402,[2]v_02_2024!F:I,3,FALSE)</f>
        <v>2</v>
      </c>
      <c r="D402" s="28">
        <f>VLOOKUP(A402,[2]v_02_2024!F:I,4,FALSE)</f>
        <v>29.04</v>
      </c>
      <c r="E402" s="21">
        <v>0</v>
      </c>
      <c r="F402" s="28">
        <v>0</v>
      </c>
      <c r="G402" s="24">
        <f t="shared" si="43"/>
        <v>0</v>
      </c>
      <c r="H402" s="21">
        <f t="shared" si="44"/>
        <v>2</v>
      </c>
      <c r="I402" s="28">
        <f t="shared" si="44"/>
        <v>29.04</v>
      </c>
      <c r="J402" s="21">
        <f>VLOOKUP(A402,[2]v_02_2023!F:I,3,FALSE)</f>
        <v>8</v>
      </c>
      <c r="K402" s="28">
        <f>VLOOKUP(A402,[2]v_02_2023!F:I,4,FALSE)</f>
        <v>122.46</v>
      </c>
      <c r="L402" s="21">
        <f t="shared" si="45"/>
        <v>-6</v>
      </c>
      <c r="M402" s="29">
        <f t="shared" si="45"/>
        <v>-93.419999999999987</v>
      </c>
      <c r="N402" s="26">
        <f t="shared" si="46"/>
        <v>-0.76286134247917681</v>
      </c>
    </row>
    <row r="403" spans="1:14" x14ac:dyDescent="0.25">
      <c r="A403" s="21" t="s">
        <v>524</v>
      </c>
      <c r="B403" s="22" t="s">
        <v>523</v>
      </c>
      <c r="C403">
        <f>VLOOKUP(A403,[2]v_02_2024!F:I,3,FALSE)</f>
        <v>3</v>
      </c>
      <c r="D403" s="28">
        <f>VLOOKUP(A403,[2]v_02_2024!F:I,4,FALSE)</f>
        <v>11.67</v>
      </c>
      <c r="E403" s="21">
        <v>0</v>
      </c>
      <c r="F403" s="28">
        <v>0</v>
      </c>
      <c r="G403" s="24">
        <f t="shared" si="43"/>
        <v>0</v>
      </c>
      <c r="H403" s="21">
        <f t="shared" si="44"/>
        <v>3</v>
      </c>
      <c r="I403" s="28">
        <f t="shared" si="44"/>
        <v>11.67</v>
      </c>
      <c r="J403" s="21">
        <f>VLOOKUP(A403,[2]v_02_2023!F:I,3,FALSE)</f>
        <v>1</v>
      </c>
      <c r="K403" s="28">
        <f>VLOOKUP(A403,[2]v_02_2023!F:I,4,FALSE)</f>
        <v>6.75</v>
      </c>
      <c r="L403" s="21">
        <f t="shared" si="45"/>
        <v>2</v>
      </c>
      <c r="M403" s="29">
        <f t="shared" si="45"/>
        <v>4.92</v>
      </c>
      <c r="N403" s="26">
        <f t="shared" si="46"/>
        <v>0.72888888888888892</v>
      </c>
    </row>
    <row r="404" spans="1:14" x14ac:dyDescent="0.25">
      <c r="A404" s="21" t="s">
        <v>498</v>
      </c>
      <c r="B404" s="22" t="s">
        <v>497</v>
      </c>
      <c r="C404">
        <v>0</v>
      </c>
      <c r="D404" s="28">
        <v>0</v>
      </c>
      <c r="E404" s="21">
        <v>0</v>
      </c>
      <c r="F404" s="28">
        <v>0</v>
      </c>
      <c r="G404" s="24"/>
      <c r="H404" s="21">
        <f t="shared" si="44"/>
        <v>0</v>
      </c>
      <c r="I404" s="28">
        <f t="shared" si="44"/>
        <v>0</v>
      </c>
      <c r="J404" s="21">
        <v>0</v>
      </c>
      <c r="K404" s="28">
        <v>0</v>
      </c>
      <c r="L404" s="21">
        <f t="shared" si="45"/>
        <v>0</v>
      </c>
      <c r="M404" s="29">
        <f t="shared" si="45"/>
        <v>0</v>
      </c>
      <c r="N404" s="26"/>
    </row>
    <row r="405" spans="1:14" x14ac:dyDescent="0.25">
      <c r="A405" s="21" t="s">
        <v>55</v>
      </c>
      <c r="B405" s="22" t="s">
        <v>54</v>
      </c>
      <c r="C405">
        <f>VLOOKUP(A405,[2]v_02_2024!F:I,3,FALSE)</f>
        <v>197</v>
      </c>
      <c r="D405" s="28">
        <f>VLOOKUP(A405,[2]v_02_2024!F:I,4,FALSE)</f>
        <v>5475.75</v>
      </c>
      <c r="E405" s="21">
        <v>0</v>
      </c>
      <c r="F405" s="28">
        <v>0</v>
      </c>
      <c r="G405" s="24">
        <f t="shared" si="43"/>
        <v>0</v>
      </c>
      <c r="H405" s="21">
        <f t="shared" si="44"/>
        <v>197</v>
      </c>
      <c r="I405" s="28">
        <f t="shared" si="44"/>
        <v>5475.75</v>
      </c>
      <c r="J405" s="21">
        <f>VLOOKUP(A405,[2]v_02_2023!F:I,3,FALSE)</f>
        <v>165</v>
      </c>
      <c r="K405" s="28">
        <f>VLOOKUP(A405,[2]v_02_2023!F:I,4,FALSE)</f>
        <v>4246.18</v>
      </c>
      <c r="L405" s="21">
        <f t="shared" si="45"/>
        <v>32</v>
      </c>
      <c r="M405" s="29">
        <f t="shared" si="45"/>
        <v>1229.5699999999997</v>
      </c>
      <c r="N405" s="26">
        <f t="shared" si="46"/>
        <v>0.28957086133889748</v>
      </c>
    </row>
    <row r="406" spans="1:14" x14ac:dyDescent="0.25">
      <c r="A406" s="21" t="s">
        <v>57</v>
      </c>
      <c r="B406" s="22" t="s">
        <v>56</v>
      </c>
      <c r="C406">
        <v>0</v>
      </c>
      <c r="D406" s="28">
        <v>0</v>
      </c>
      <c r="E406" s="21">
        <f>VLOOKUP(A406,[2]s_02_2024!E:G,2,FALSE)</f>
        <v>31</v>
      </c>
      <c r="F406" s="28">
        <f>VLOOKUP(A406,[2]s_02_2024!E:G,3,FALSE)</f>
        <v>1546.9000000000005</v>
      </c>
      <c r="G406" s="24">
        <f t="shared" si="43"/>
        <v>1</v>
      </c>
      <c r="H406" s="21">
        <f t="shared" si="44"/>
        <v>31</v>
      </c>
      <c r="I406" s="28">
        <f t="shared" si="44"/>
        <v>1546.9000000000005</v>
      </c>
      <c r="J406" s="21">
        <v>0</v>
      </c>
      <c r="K406" s="28">
        <v>0</v>
      </c>
      <c r="L406" s="21">
        <f t="shared" si="45"/>
        <v>31</v>
      </c>
      <c r="M406" s="29">
        <f t="shared" si="45"/>
        <v>1546.9000000000005</v>
      </c>
      <c r="N406" s="26"/>
    </row>
    <row r="407" spans="1:14" x14ac:dyDescent="0.25">
      <c r="A407" s="21" t="s">
        <v>538</v>
      </c>
      <c r="B407" s="22" t="s">
        <v>537</v>
      </c>
      <c r="C407">
        <f>VLOOKUP(A407,[2]v_02_2024!F:I,3,FALSE)</f>
        <v>30</v>
      </c>
      <c r="D407" s="28">
        <f>VLOOKUP(A407,[2]v_02_2024!F:I,4,FALSE)</f>
        <v>1743.72</v>
      </c>
      <c r="E407" s="21">
        <v>0</v>
      </c>
      <c r="F407" s="28">
        <v>0</v>
      </c>
      <c r="G407" s="24">
        <f t="shared" si="43"/>
        <v>0</v>
      </c>
      <c r="H407" s="21">
        <f t="shared" si="44"/>
        <v>30</v>
      </c>
      <c r="I407" s="28">
        <f t="shared" si="44"/>
        <v>1743.72</v>
      </c>
      <c r="J407" s="21">
        <f>VLOOKUP(A407,[2]v_02_2023!F:I,3,FALSE)</f>
        <v>61</v>
      </c>
      <c r="K407" s="28">
        <f>VLOOKUP(A407,[2]v_02_2023!F:I,4,FALSE)</f>
        <v>3495.3</v>
      </c>
      <c r="L407" s="21">
        <f t="shared" si="45"/>
        <v>-31</v>
      </c>
      <c r="M407" s="29">
        <f t="shared" si="45"/>
        <v>-1751.5800000000002</v>
      </c>
      <c r="N407" s="26">
        <f t="shared" si="46"/>
        <v>-0.50112436700712382</v>
      </c>
    </row>
    <row r="408" spans="1:14" x14ac:dyDescent="0.25">
      <c r="A408" s="21" t="s">
        <v>506</v>
      </c>
      <c r="B408" s="22" t="s">
        <v>505</v>
      </c>
      <c r="C408">
        <v>0</v>
      </c>
      <c r="D408" s="28">
        <v>0</v>
      </c>
      <c r="E408" s="21">
        <v>0</v>
      </c>
      <c r="F408" s="28">
        <v>0</v>
      </c>
      <c r="G408" s="24"/>
      <c r="H408" s="21">
        <f t="shared" si="44"/>
        <v>0</v>
      </c>
      <c r="I408" s="28">
        <f t="shared" si="44"/>
        <v>0</v>
      </c>
      <c r="J408" s="21">
        <v>0</v>
      </c>
      <c r="K408" s="28">
        <v>0</v>
      </c>
      <c r="L408" s="21">
        <f t="shared" si="45"/>
        <v>0</v>
      </c>
      <c r="M408" s="29">
        <f t="shared" si="45"/>
        <v>0</v>
      </c>
      <c r="N408" s="26"/>
    </row>
    <row r="409" spans="1:14" x14ac:dyDescent="0.25">
      <c r="A409" s="21" t="s">
        <v>636</v>
      </c>
      <c r="B409" s="22" t="s">
        <v>637</v>
      </c>
      <c r="C409">
        <f>VLOOKUP(A409,[2]v_02_2024!F:I,3,FALSE)</f>
        <v>0</v>
      </c>
      <c r="D409" s="28">
        <f>VLOOKUP(A409,[2]v_02_2024!F:I,4,FALSE)</f>
        <v>0</v>
      </c>
      <c r="E409" s="21">
        <v>0</v>
      </c>
      <c r="F409" s="28">
        <v>0</v>
      </c>
      <c r="G409" s="24"/>
      <c r="H409" s="21">
        <f t="shared" si="44"/>
        <v>0</v>
      </c>
      <c r="I409" s="28">
        <f t="shared" si="44"/>
        <v>0</v>
      </c>
      <c r="J409" s="21">
        <f>VLOOKUP(A409,[2]v_02_2023!F:I,3,FALSE)</f>
        <v>8</v>
      </c>
      <c r="K409" s="28">
        <f>VLOOKUP(A409,[2]v_02_2023!F:I,4,FALSE)</f>
        <v>809.04</v>
      </c>
      <c r="L409" s="21">
        <f t="shared" si="45"/>
        <v>-8</v>
      </c>
      <c r="M409" s="29">
        <f t="shared" si="45"/>
        <v>-809.04</v>
      </c>
      <c r="N409" s="26">
        <f t="shared" si="46"/>
        <v>-1</v>
      </c>
    </row>
    <row r="410" spans="1:14" x14ac:dyDescent="0.25">
      <c r="A410" s="21" t="s">
        <v>59</v>
      </c>
      <c r="B410" s="22" t="s">
        <v>58</v>
      </c>
      <c r="C410">
        <f>VLOOKUP(A410,[2]v_02_2024!F:I,3,FALSE)</f>
        <v>21</v>
      </c>
      <c r="D410" s="28">
        <f>VLOOKUP(A410,[2]v_02_2024!F:I,4,FALSE)</f>
        <v>1715.37</v>
      </c>
      <c r="E410" s="21">
        <v>0</v>
      </c>
      <c r="F410" s="28">
        <v>0</v>
      </c>
      <c r="G410" s="24">
        <f t="shared" si="43"/>
        <v>0</v>
      </c>
      <c r="H410" s="21">
        <f t="shared" si="44"/>
        <v>21</v>
      </c>
      <c r="I410" s="28">
        <f t="shared" si="44"/>
        <v>1715.37</v>
      </c>
      <c r="J410" s="21">
        <f>VLOOKUP(A410,[2]v_02_2023!F:I,3,FALSE)</f>
        <v>43</v>
      </c>
      <c r="K410" s="28">
        <f>VLOOKUP(A410,[2]v_02_2023!F:I,4,FALSE)</f>
        <v>3168.67</v>
      </c>
      <c r="L410" s="21">
        <f t="shared" si="45"/>
        <v>-22</v>
      </c>
      <c r="M410" s="29">
        <f t="shared" si="45"/>
        <v>-1453.3000000000002</v>
      </c>
      <c r="N410" s="26">
        <f t="shared" si="46"/>
        <v>-0.45864668772702749</v>
      </c>
    </row>
    <row r="411" spans="1:14" x14ac:dyDescent="0.25">
      <c r="A411" s="21" t="s">
        <v>500</v>
      </c>
      <c r="B411" s="22" t="s">
        <v>499</v>
      </c>
      <c r="C411">
        <f>VLOOKUP(A411,[2]v_02_2024!F:I,3,FALSE)</f>
        <v>0</v>
      </c>
      <c r="D411" s="28">
        <f>VLOOKUP(A411,[2]v_02_2024!F:I,4,FALSE)</f>
        <v>0</v>
      </c>
      <c r="E411" s="21">
        <f>VLOOKUP(A411,[2]s_02_2024!E:G,2,FALSE)</f>
        <v>602</v>
      </c>
      <c r="F411" s="28">
        <f>VLOOKUP(A411,[2]s_02_2024!E:G,3,FALSE)</f>
        <v>19788.010000000024</v>
      </c>
      <c r="G411" s="24">
        <f t="shared" si="43"/>
        <v>1</v>
      </c>
      <c r="H411" s="21">
        <f t="shared" si="44"/>
        <v>602</v>
      </c>
      <c r="I411" s="28">
        <f t="shared" si="44"/>
        <v>19788.010000000024</v>
      </c>
      <c r="J411" s="21">
        <f>VLOOKUP(A411,[2]v_02_2023!F:I,3,FALSE)</f>
        <v>382</v>
      </c>
      <c r="K411" s="28">
        <f>VLOOKUP(A411,[2]v_02_2023!F:I,4,FALSE)</f>
        <v>10284.5</v>
      </c>
      <c r="L411" s="21">
        <f t="shared" si="45"/>
        <v>220</v>
      </c>
      <c r="M411" s="29">
        <f t="shared" si="45"/>
        <v>9503.5100000000239</v>
      </c>
      <c r="N411" s="26">
        <f t="shared" si="46"/>
        <v>0.92406145169916121</v>
      </c>
    </row>
    <row r="412" spans="1:14" x14ac:dyDescent="0.25">
      <c r="A412" s="21" t="s">
        <v>540</v>
      </c>
      <c r="B412" s="22" t="s">
        <v>539</v>
      </c>
      <c r="C412">
        <v>0</v>
      </c>
      <c r="D412" s="28">
        <v>0</v>
      </c>
      <c r="E412" s="21">
        <f>VLOOKUP(A412,[2]s_02_2024!E:G,2,FALSE)</f>
        <v>25</v>
      </c>
      <c r="F412" s="28">
        <f>VLOOKUP(A412,[2]s_02_2024!E:G,3,FALSE)</f>
        <v>950.49999999999966</v>
      </c>
      <c r="G412" s="24">
        <f t="shared" si="43"/>
        <v>1</v>
      </c>
      <c r="H412" s="21">
        <f t="shared" si="44"/>
        <v>25</v>
      </c>
      <c r="I412" s="28">
        <f t="shared" si="44"/>
        <v>950.49999999999966</v>
      </c>
      <c r="J412" s="21">
        <v>0</v>
      </c>
      <c r="K412" s="28">
        <v>0</v>
      </c>
      <c r="L412" s="21">
        <f t="shared" si="45"/>
        <v>25</v>
      </c>
      <c r="M412" s="29">
        <f t="shared" si="45"/>
        <v>950.49999999999966</v>
      </c>
      <c r="N412" s="26"/>
    </row>
    <row r="413" spans="1:14" x14ac:dyDescent="0.25">
      <c r="A413" s="21" t="s">
        <v>61</v>
      </c>
      <c r="B413" s="22" t="s">
        <v>60</v>
      </c>
      <c r="C413">
        <f>VLOOKUP(A413,[2]v_02_2024!F:I,3,FALSE)</f>
        <v>2</v>
      </c>
      <c r="D413" s="28">
        <f>VLOOKUP(A413,[2]v_02_2024!F:I,4,FALSE)</f>
        <v>39.33</v>
      </c>
      <c r="E413" s="21">
        <v>0</v>
      </c>
      <c r="F413" s="28">
        <v>0</v>
      </c>
      <c r="G413" s="24">
        <f t="shared" si="43"/>
        <v>0</v>
      </c>
      <c r="H413" s="21">
        <f t="shared" si="44"/>
        <v>2</v>
      </c>
      <c r="I413" s="28">
        <f t="shared" si="44"/>
        <v>39.33</v>
      </c>
      <c r="J413" s="21">
        <f>VLOOKUP(A413,[2]v_02_2023!F:I,3,FALSE)</f>
        <v>-1</v>
      </c>
      <c r="K413" s="28">
        <f>VLOOKUP(A413,[2]v_02_2023!F:I,4,FALSE)</f>
        <v>-14.75</v>
      </c>
      <c r="L413" s="21">
        <f t="shared" si="45"/>
        <v>3</v>
      </c>
      <c r="M413" s="29">
        <f t="shared" si="45"/>
        <v>54.08</v>
      </c>
      <c r="N413" s="26">
        <f t="shared" si="46"/>
        <v>-3.6664406779661016</v>
      </c>
    </row>
    <row r="414" spans="1:14" x14ac:dyDescent="0.25">
      <c r="A414" s="21" t="s">
        <v>63</v>
      </c>
      <c r="B414" s="22" t="s">
        <v>62</v>
      </c>
      <c r="C414">
        <f>VLOOKUP(A414,[2]v_02_2024!F:I,3,FALSE)</f>
        <v>8</v>
      </c>
      <c r="D414" s="28">
        <f>VLOOKUP(A414,[2]v_02_2024!F:I,4,FALSE)</f>
        <v>187.22</v>
      </c>
      <c r="E414" s="21">
        <v>0</v>
      </c>
      <c r="F414" s="28">
        <v>0</v>
      </c>
      <c r="G414" s="24">
        <f t="shared" si="43"/>
        <v>0</v>
      </c>
      <c r="H414" s="21">
        <f t="shared" si="44"/>
        <v>8</v>
      </c>
      <c r="I414" s="28">
        <f t="shared" si="44"/>
        <v>187.22</v>
      </c>
      <c r="J414" s="21">
        <f>VLOOKUP(A414,[2]v_02_2023!F:I,3,FALSE)</f>
        <v>14</v>
      </c>
      <c r="K414" s="28">
        <f>VLOOKUP(A414,[2]v_02_2023!F:I,4,FALSE)</f>
        <v>332.32</v>
      </c>
      <c r="L414" s="21">
        <f t="shared" si="45"/>
        <v>-6</v>
      </c>
      <c r="M414" s="29">
        <f t="shared" si="45"/>
        <v>-145.1</v>
      </c>
      <c r="N414" s="26">
        <f t="shared" si="46"/>
        <v>-0.43662734713529128</v>
      </c>
    </row>
    <row r="415" spans="1:14" x14ac:dyDescent="0.25">
      <c r="A415" s="21" t="s">
        <v>67</v>
      </c>
      <c r="B415" s="22" t="s">
        <v>66</v>
      </c>
      <c r="C415">
        <v>0</v>
      </c>
      <c r="D415" s="28">
        <v>0</v>
      </c>
      <c r="E415" s="21">
        <v>0</v>
      </c>
      <c r="F415" s="28">
        <v>0</v>
      </c>
      <c r="G415" s="24"/>
      <c r="H415" s="21">
        <f t="shared" si="44"/>
        <v>0</v>
      </c>
      <c r="I415" s="28">
        <f t="shared" si="44"/>
        <v>0</v>
      </c>
      <c r="J415" s="21">
        <v>0</v>
      </c>
      <c r="K415" s="28">
        <v>0</v>
      </c>
      <c r="L415" s="21">
        <f t="shared" si="45"/>
        <v>0</v>
      </c>
      <c r="M415" s="29">
        <f t="shared" si="45"/>
        <v>0</v>
      </c>
      <c r="N415" s="26"/>
    </row>
    <row r="416" spans="1:14" x14ac:dyDescent="0.25">
      <c r="A416" s="21" t="s">
        <v>69</v>
      </c>
      <c r="B416" s="22" t="s">
        <v>68</v>
      </c>
      <c r="C416">
        <v>0</v>
      </c>
      <c r="D416" s="28">
        <v>0</v>
      </c>
      <c r="E416" s="21">
        <f>VLOOKUP(A416,[2]s_02_2024!E:G,2,FALSE)</f>
        <v>4</v>
      </c>
      <c r="F416" s="28">
        <f>VLOOKUP(A416,[2]s_02_2024!E:G,3,FALSE)</f>
        <v>147.96</v>
      </c>
      <c r="G416" s="24">
        <f t="shared" si="43"/>
        <v>1</v>
      </c>
      <c r="H416" s="21">
        <f t="shared" si="44"/>
        <v>4</v>
      </c>
      <c r="I416" s="28">
        <f t="shared" si="44"/>
        <v>147.96</v>
      </c>
      <c r="J416" s="21">
        <v>0</v>
      </c>
      <c r="K416" s="28">
        <v>0</v>
      </c>
      <c r="L416" s="21">
        <f t="shared" si="45"/>
        <v>4</v>
      </c>
      <c r="M416" s="29">
        <f t="shared" si="45"/>
        <v>147.96</v>
      </c>
      <c r="N416" s="26"/>
    </row>
    <row r="417" spans="1:14" x14ac:dyDescent="0.25">
      <c r="A417" s="21" t="s">
        <v>71</v>
      </c>
      <c r="B417" s="22" t="s">
        <v>70</v>
      </c>
      <c r="C417">
        <f>VLOOKUP(A417,[2]v_02_2024!F:I,3,FALSE)</f>
        <v>2</v>
      </c>
      <c r="D417" s="28">
        <f>VLOOKUP(A417,[2]v_02_2024!F:I,4,FALSE)</f>
        <v>49.02</v>
      </c>
      <c r="E417" s="21">
        <v>0</v>
      </c>
      <c r="F417" s="28">
        <v>0</v>
      </c>
      <c r="G417" s="24">
        <f t="shared" si="43"/>
        <v>0</v>
      </c>
      <c r="H417" s="21">
        <f t="shared" si="44"/>
        <v>2</v>
      </c>
      <c r="I417" s="28">
        <f t="shared" si="44"/>
        <v>49.02</v>
      </c>
      <c r="J417" s="21">
        <f>VLOOKUP(A417,[2]v_02_2023!F:I,3,FALSE)</f>
        <v>3</v>
      </c>
      <c r="K417" s="28">
        <f>VLOOKUP(A417,[2]v_02_2023!F:I,4,FALSE)</f>
        <v>54.5</v>
      </c>
      <c r="L417" s="21">
        <f t="shared" si="45"/>
        <v>-1</v>
      </c>
      <c r="M417" s="29">
        <f t="shared" si="45"/>
        <v>-5.4799999999999969</v>
      </c>
      <c r="N417" s="26">
        <f t="shared" si="46"/>
        <v>-0.10055045871559627</v>
      </c>
    </row>
    <row r="418" spans="1:14" x14ac:dyDescent="0.25">
      <c r="A418" s="21" t="s">
        <v>640</v>
      </c>
      <c r="B418" s="22" t="s">
        <v>641</v>
      </c>
      <c r="C418">
        <f>VLOOKUP(A418,[2]v_02_2024!F:I,3,FALSE)</f>
        <v>1</v>
      </c>
      <c r="D418" s="28">
        <f>VLOOKUP(A418,[2]v_02_2024!F:I,4,FALSE)</f>
        <v>20.41</v>
      </c>
      <c r="E418" s="21">
        <v>0</v>
      </c>
      <c r="F418" s="28">
        <v>0</v>
      </c>
      <c r="G418" s="24">
        <f t="shared" si="43"/>
        <v>0</v>
      </c>
      <c r="H418" s="21">
        <f t="shared" si="44"/>
        <v>1</v>
      </c>
      <c r="I418" s="28">
        <f t="shared" si="44"/>
        <v>20.41</v>
      </c>
      <c r="J418" s="21">
        <v>0</v>
      </c>
      <c r="K418" s="28">
        <v>0</v>
      </c>
      <c r="L418" s="21">
        <f t="shared" si="45"/>
        <v>1</v>
      </c>
      <c r="M418" s="29">
        <f t="shared" si="45"/>
        <v>20.41</v>
      </c>
      <c r="N418" s="26"/>
    </row>
    <row r="419" spans="1:14" x14ac:dyDescent="0.25">
      <c r="A419" s="21" t="s">
        <v>518</v>
      </c>
      <c r="B419" s="22" t="s">
        <v>517</v>
      </c>
      <c r="C419">
        <f>VLOOKUP(A419,[2]v_02_2024!F:I,3,FALSE)</f>
        <v>4</v>
      </c>
      <c r="D419" s="28">
        <f>VLOOKUP(A419,[2]v_02_2024!F:I,4,FALSE)</f>
        <v>81.64</v>
      </c>
      <c r="E419" s="21">
        <f>VLOOKUP(A419,[2]s_02_2024!E:G,2,FALSE)</f>
        <v>144</v>
      </c>
      <c r="F419" s="28">
        <f>VLOOKUP(A419,[2]s_02_2024!E:G,3,FALSE)</f>
        <v>3615.6000000000085</v>
      </c>
      <c r="G419" s="24">
        <f t="shared" si="43"/>
        <v>0.97791866365180524</v>
      </c>
      <c r="H419" s="21">
        <f t="shared" si="44"/>
        <v>148</v>
      </c>
      <c r="I419" s="28">
        <f t="shared" si="44"/>
        <v>3697.2400000000084</v>
      </c>
      <c r="J419" s="21">
        <f>VLOOKUP(A419,[2]v_02_2023!F:I,3,FALSE)</f>
        <v>277</v>
      </c>
      <c r="K419" s="28">
        <f>VLOOKUP(A419,[2]v_02_2023!F:I,4,FALSE)</f>
        <v>5653.57</v>
      </c>
      <c r="L419" s="21">
        <f t="shared" si="45"/>
        <v>-129</v>
      </c>
      <c r="M419" s="29">
        <f t="shared" si="45"/>
        <v>-1956.3299999999913</v>
      </c>
      <c r="N419" s="26">
        <f t="shared" si="46"/>
        <v>-0.3460344525671375</v>
      </c>
    </row>
    <row r="420" spans="1:14" x14ac:dyDescent="0.25">
      <c r="A420" s="21" t="s">
        <v>73</v>
      </c>
      <c r="B420" s="22" t="s">
        <v>72</v>
      </c>
      <c r="C420">
        <f>VLOOKUP(A420,[2]v_02_2024!F:I,3,FALSE)</f>
        <v>19</v>
      </c>
      <c r="D420" s="28">
        <f>VLOOKUP(A420,[2]v_02_2024!F:I,4,FALSE)</f>
        <v>910.1</v>
      </c>
      <c r="E420" s="21">
        <v>0</v>
      </c>
      <c r="F420" s="28">
        <v>0</v>
      </c>
      <c r="G420" s="24">
        <f t="shared" si="43"/>
        <v>0</v>
      </c>
      <c r="H420" s="21">
        <f t="shared" si="44"/>
        <v>19</v>
      </c>
      <c r="I420" s="28">
        <f t="shared" si="44"/>
        <v>910.1</v>
      </c>
      <c r="J420" s="21">
        <f>VLOOKUP(A420,[2]v_02_2023!F:I,3,FALSE)</f>
        <v>13</v>
      </c>
      <c r="K420" s="28">
        <f>VLOOKUP(A420,[2]v_02_2023!F:I,4,FALSE)</f>
        <v>744.9</v>
      </c>
      <c r="L420" s="21">
        <f t="shared" si="45"/>
        <v>6</v>
      </c>
      <c r="M420" s="29">
        <f t="shared" si="45"/>
        <v>165.20000000000005</v>
      </c>
      <c r="N420" s="26">
        <f t="shared" si="46"/>
        <v>0.22177473486374016</v>
      </c>
    </row>
    <row r="421" spans="1:14" x14ac:dyDescent="0.25">
      <c r="A421" s="21" t="s">
        <v>75</v>
      </c>
      <c r="B421" s="22" t="s">
        <v>74</v>
      </c>
      <c r="C421">
        <v>0</v>
      </c>
      <c r="D421" s="28">
        <v>0</v>
      </c>
      <c r="E421" s="21">
        <v>0</v>
      </c>
      <c r="F421" s="28">
        <v>0</v>
      </c>
      <c r="G421" s="24"/>
      <c r="H421" s="21">
        <f t="shared" si="44"/>
        <v>0</v>
      </c>
      <c r="I421" s="28">
        <f t="shared" si="44"/>
        <v>0</v>
      </c>
      <c r="J421" s="21">
        <v>0</v>
      </c>
      <c r="K421" s="28">
        <v>0</v>
      </c>
      <c r="L421" s="21">
        <f t="shared" si="45"/>
        <v>0</v>
      </c>
      <c r="M421" s="29">
        <f t="shared" si="45"/>
        <v>0</v>
      </c>
      <c r="N421" s="26"/>
    </row>
    <row r="422" spans="1:14" x14ac:dyDescent="0.25">
      <c r="A422" s="21" t="s">
        <v>570</v>
      </c>
      <c r="B422" s="22" t="s">
        <v>569</v>
      </c>
      <c r="C422">
        <v>0</v>
      </c>
      <c r="D422" s="28">
        <v>0</v>
      </c>
      <c r="E422" s="21">
        <v>0</v>
      </c>
      <c r="F422" s="28">
        <v>0</v>
      </c>
      <c r="G422" s="24"/>
      <c r="H422" s="21">
        <f t="shared" si="44"/>
        <v>0</v>
      </c>
      <c r="I422" s="28">
        <f t="shared" si="44"/>
        <v>0</v>
      </c>
      <c r="J422" s="21">
        <v>0</v>
      </c>
      <c r="K422" s="28">
        <v>0</v>
      </c>
      <c r="L422" s="21">
        <f t="shared" si="45"/>
        <v>0</v>
      </c>
      <c r="M422" s="29">
        <f t="shared" si="45"/>
        <v>0</v>
      </c>
      <c r="N422" s="26"/>
    </row>
    <row r="423" spans="1:14" x14ac:dyDescent="0.25">
      <c r="A423" s="21" t="s">
        <v>528</v>
      </c>
      <c r="B423" s="22" t="s">
        <v>527</v>
      </c>
      <c r="C423">
        <f>VLOOKUP(A423,[2]v_02_2024!F:I,3,FALSE)</f>
        <v>14</v>
      </c>
      <c r="D423" s="28">
        <f>VLOOKUP(A423,[2]v_02_2024!F:I,4,FALSE)</f>
        <v>584.30999999999995</v>
      </c>
      <c r="E423" s="21">
        <f>VLOOKUP(A423,[2]s_02_2024!E:G,2,FALSE)</f>
        <v>21</v>
      </c>
      <c r="F423" s="28">
        <f>VLOOKUP(A423,[2]s_02_2024!E:G,3,FALSE)</f>
        <v>1029.8999999999996</v>
      </c>
      <c r="G423" s="24">
        <f t="shared" si="43"/>
        <v>0.63802107532477181</v>
      </c>
      <c r="H423" s="21">
        <f t="shared" si="44"/>
        <v>35</v>
      </c>
      <c r="I423" s="28">
        <f t="shared" si="44"/>
        <v>1614.2099999999996</v>
      </c>
      <c r="J423" s="21">
        <f>VLOOKUP(A423,[2]v_02_2023!F:I,3,FALSE)</f>
        <v>132</v>
      </c>
      <c r="K423" s="28">
        <f>VLOOKUP(A423,[2]v_02_2023!F:I,4,FALSE)</f>
        <v>5435.2</v>
      </c>
      <c r="L423" s="21">
        <f t="shared" si="45"/>
        <v>-97</v>
      </c>
      <c r="M423" s="29">
        <f t="shared" si="45"/>
        <v>-3820.9900000000002</v>
      </c>
      <c r="N423" s="26">
        <f t="shared" si="46"/>
        <v>-0.70300816897262297</v>
      </c>
    </row>
    <row r="424" spans="1:14" x14ac:dyDescent="0.25">
      <c r="A424" s="21" t="s">
        <v>77</v>
      </c>
      <c r="B424" s="22" t="s">
        <v>76</v>
      </c>
      <c r="C424">
        <f>VLOOKUP(A424,[2]v_02_2024!F:I,3,FALSE)</f>
        <v>103</v>
      </c>
      <c r="D424" s="28">
        <f>VLOOKUP(A424,[2]v_02_2024!F:I,4,FALSE)</f>
        <v>1257.6300000000001</v>
      </c>
      <c r="E424" s="21">
        <v>0</v>
      </c>
      <c r="F424" s="28">
        <v>0</v>
      </c>
      <c r="G424" s="24">
        <f t="shared" si="43"/>
        <v>0</v>
      </c>
      <c r="H424" s="21">
        <f t="shared" si="44"/>
        <v>103</v>
      </c>
      <c r="I424" s="28">
        <f t="shared" si="44"/>
        <v>1257.6300000000001</v>
      </c>
      <c r="J424" s="21">
        <v>0</v>
      </c>
      <c r="K424" s="28">
        <v>0</v>
      </c>
      <c r="L424" s="21">
        <f t="shared" si="45"/>
        <v>103</v>
      </c>
      <c r="M424" s="29">
        <f t="shared" si="45"/>
        <v>1257.6300000000001</v>
      </c>
      <c r="N424" s="26"/>
    </row>
    <row r="425" spans="1:14" x14ac:dyDescent="0.25">
      <c r="A425" s="21" t="s">
        <v>79</v>
      </c>
      <c r="B425" s="22" t="s">
        <v>78</v>
      </c>
      <c r="C425">
        <f>VLOOKUP(A425,[2]v_02_2024!F:I,3,FALSE)</f>
        <v>57</v>
      </c>
      <c r="D425" s="28">
        <f>VLOOKUP(A425,[2]v_02_2024!F:I,4,FALSE)</f>
        <v>818.58</v>
      </c>
      <c r="E425" s="21">
        <v>0</v>
      </c>
      <c r="F425" s="28">
        <v>0</v>
      </c>
      <c r="G425" s="24">
        <f t="shared" si="43"/>
        <v>0</v>
      </c>
      <c r="H425" s="21">
        <f t="shared" si="44"/>
        <v>57</v>
      </c>
      <c r="I425" s="28">
        <f t="shared" si="44"/>
        <v>818.58</v>
      </c>
      <c r="J425" s="21">
        <f>VLOOKUP(A425,[2]v_02_2023!F:I,3,FALSE)</f>
        <v>149</v>
      </c>
      <c r="K425" s="28">
        <f>VLOOKUP(A425,[2]v_02_2023!F:I,4,FALSE)</f>
        <v>2062.9</v>
      </c>
      <c r="L425" s="21">
        <f t="shared" si="45"/>
        <v>-92</v>
      </c>
      <c r="M425" s="29">
        <f t="shared" si="45"/>
        <v>-1244.3200000000002</v>
      </c>
      <c r="N425" s="26">
        <f t="shared" si="46"/>
        <v>-0.60318968442483889</v>
      </c>
    </row>
    <row r="426" spans="1:14" x14ac:dyDescent="0.25">
      <c r="A426" s="21" t="s">
        <v>81</v>
      </c>
      <c r="B426" s="22" t="s">
        <v>80</v>
      </c>
      <c r="C426">
        <f>VLOOKUP(A426,[2]v_02_2024!F:I,3,FALSE)</f>
        <v>13</v>
      </c>
      <c r="D426" s="28">
        <f>VLOOKUP(A426,[2]v_02_2024!F:I,4,FALSE)</f>
        <v>572.62</v>
      </c>
      <c r="E426" s="21">
        <v>0</v>
      </c>
      <c r="F426" s="28">
        <v>0</v>
      </c>
      <c r="G426" s="24">
        <f t="shared" si="43"/>
        <v>0</v>
      </c>
      <c r="H426" s="21">
        <f t="shared" si="44"/>
        <v>13</v>
      </c>
      <c r="I426" s="28">
        <f t="shared" si="44"/>
        <v>572.62</v>
      </c>
      <c r="J426" s="21">
        <f>VLOOKUP(A426,[2]v_02_2023!F:I,3,FALSE)</f>
        <v>337</v>
      </c>
      <c r="K426" s="28">
        <f>VLOOKUP(A426,[2]v_02_2023!F:I,4,FALSE)</f>
        <v>11019.9</v>
      </c>
      <c r="L426" s="21">
        <f t="shared" si="45"/>
        <v>-324</v>
      </c>
      <c r="M426" s="29">
        <f t="shared" si="45"/>
        <v>-10447.279999999999</v>
      </c>
      <c r="N426" s="26">
        <f t="shared" si="46"/>
        <v>-0.94803764099492727</v>
      </c>
    </row>
    <row r="427" spans="1:14" x14ac:dyDescent="0.25">
      <c r="A427" s="21" t="s">
        <v>83</v>
      </c>
      <c r="B427" s="22" t="s">
        <v>82</v>
      </c>
      <c r="C427">
        <v>0</v>
      </c>
      <c r="D427" s="28">
        <v>0</v>
      </c>
      <c r="E427" s="21">
        <v>0</v>
      </c>
      <c r="F427" s="28">
        <v>0</v>
      </c>
      <c r="G427" s="24"/>
      <c r="H427" s="21">
        <f t="shared" si="44"/>
        <v>0</v>
      </c>
      <c r="I427" s="28">
        <f t="shared" si="44"/>
        <v>0</v>
      </c>
      <c r="J427" s="21">
        <v>0</v>
      </c>
      <c r="K427" s="28">
        <v>0</v>
      </c>
      <c r="L427" s="21">
        <f t="shared" si="45"/>
        <v>0</v>
      </c>
      <c r="M427" s="29">
        <f t="shared" si="45"/>
        <v>0</v>
      </c>
      <c r="N427" s="26"/>
    </row>
    <row r="428" spans="1:14" x14ac:dyDescent="0.25">
      <c r="A428" s="21" t="s">
        <v>85</v>
      </c>
      <c r="B428" s="22" t="s">
        <v>84</v>
      </c>
      <c r="C428">
        <f>VLOOKUP(A428,[2]v_02_2024!F:I,3,FALSE)</f>
        <v>2</v>
      </c>
      <c r="D428" s="28">
        <f>VLOOKUP(A428,[2]v_02_2024!F:I,4,FALSE)</f>
        <v>98.2</v>
      </c>
      <c r="E428" s="21">
        <v>0</v>
      </c>
      <c r="F428" s="28">
        <v>0</v>
      </c>
      <c r="G428" s="24">
        <f t="shared" ref="G428:G490" si="47">F428/I428</f>
        <v>0</v>
      </c>
      <c r="H428" s="21">
        <f t="shared" ref="H428:I491" si="48">E428+C428</f>
        <v>2</v>
      </c>
      <c r="I428" s="28">
        <f t="shared" si="48"/>
        <v>98.2</v>
      </c>
      <c r="J428" s="21">
        <f>VLOOKUP(A428,[2]v_02_2023!F:I,3,FALSE)</f>
        <v>24</v>
      </c>
      <c r="K428" s="28">
        <f>VLOOKUP(A428,[2]v_02_2023!F:I,4,FALSE)</f>
        <v>1178.4000000000001</v>
      </c>
      <c r="L428" s="21">
        <f t="shared" ref="L428:M491" si="49">H428-J428</f>
        <v>-22</v>
      </c>
      <c r="M428" s="29">
        <f t="shared" si="49"/>
        <v>-1080.2</v>
      </c>
      <c r="N428" s="26">
        <f t="shared" ref="N428:N489" si="50">M428/K428</f>
        <v>-0.91666666666666663</v>
      </c>
    </row>
    <row r="429" spans="1:14" x14ac:dyDescent="0.25">
      <c r="A429" s="21" t="s">
        <v>494</v>
      </c>
      <c r="B429" s="22" t="s">
        <v>493</v>
      </c>
      <c r="C429">
        <v>0</v>
      </c>
      <c r="D429" s="28">
        <v>0</v>
      </c>
      <c r="E429" s="21">
        <f>VLOOKUP(A429,[2]s_02_2024!E:G,2,FALSE)</f>
        <v>12</v>
      </c>
      <c r="F429" s="28">
        <f>VLOOKUP(A429,[2]s_02_2024!E:G,3,FALSE)</f>
        <v>478.7999999999999</v>
      </c>
      <c r="G429" s="24">
        <f t="shared" si="47"/>
        <v>1</v>
      </c>
      <c r="H429" s="21">
        <f t="shared" si="48"/>
        <v>12</v>
      </c>
      <c r="I429" s="28">
        <f t="shared" si="48"/>
        <v>478.7999999999999</v>
      </c>
      <c r="J429" s="21">
        <f>VLOOKUP(A429,[2]v_02_2023!F:I,3,FALSE)</f>
        <v>13</v>
      </c>
      <c r="K429" s="28">
        <f>VLOOKUP(A429,[2]v_02_2023!F:I,4,FALSE)</f>
        <v>318.63</v>
      </c>
      <c r="L429" s="21">
        <f t="shared" si="49"/>
        <v>-1</v>
      </c>
      <c r="M429" s="29">
        <f t="shared" si="49"/>
        <v>160.1699999999999</v>
      </c>
      <c r="N429" s="26">
        <f t="shared" si="50"/>
        <v>0.50268336314847917</v>
      </c>
    </row>
    <row r="430" spans="1:14" x14ac:dyDescent="0.25">
      <c r="A430" s="21" t="s">
        <v>87</v>
      </c>
      <c r="B430" s="22" t="s">
        <v>86</v>
      </c>
      <c r="C430">
        <f>VLOOKUP(A430,[2]v_02_2024!F:I,3,FALSE)</f>
        <v>47</v>
      </c>
      <c r="D430" s="28">
        <f>VLOOKUP(A430,[2]v_02_2024!F:I,4,FALSE)</f>
        <v>573.23</v>
      </c>
      <c r="E430" s="21">
        <v>0</v>
      </c>
      <c r="F430" s="28">
        <v>0</v>
      </c>
      <c r="G430" s="24">
        <f t="shared" si="47"/>
        <v>0</v>
      </c>
      <c r="H430" s="21">
        <f t="shared" si="48"/>
        <v>47</v>
      </c>
      <c r="I430" s="28">
        <f t="shared" si="48"/>
        <v>573.23</v>
      </c>
      <c r="J430" s="21">
        <f>VLOOKUP(A430,[2]v_02_2023!F:I,3,FALSE)</f>
        <v>2</v>
      </c>
      <c r="K430" s="28">
        <f>VLOOKUP(A430,[2]v_02_2023!F:I,4,FALSE)</f>
        <v>32.619999999999997</v>
      </c>
      <c r="L430" s="21">
        <f t="shared" si="49"/>
        <v>45</v>
      </c>
      <c r="M430" s="29">
        <f t="shared" si="49"/>
        <v>540.61</v>
      </c>
      <c r="N430" s="26">
        <f t="shared" si="50"/>
        <v>16.572961373390559</v>
      </c>
    </row>
    <row r="431" spans="1:14" x14ac:dyDescent="0.25">
      <c r="A431" s="21" t="s">
        <v>89</v>
      </c>
      <c r="B431" s="22" t="s">
        <v>88</v>
      </c>
      <c r="C431">
        <v>0</v>
      </c>
      <c r="D431" s="28">
        <v>0</v>
      </c>
      <c r="E431" s="21">
        <v>0</v>
      </c>
      <c r="F431" s="28">
        <v>0</v>
      </c>
      <c r="G431" s="24"/>
      <c r="H431" s="21">
        <f t="shared" si="48"/>
        <v>0</v>
      </c>
      <c r="I431" s="28">
        <f t="shared" si="48"/>
        <v>0</v>
      </c>
      <c r="J431" s="21">
        <v>0</v>
      </c>
      <c r="K431" s="28">
        <v>0</v>
      </c>
      <c r="L431" s="21">
        <f t="shared" si="49"/>
        <v>0</v>
      </c>
      <c r="M431" s="29">
        <f t="shared" si="49"/>
        <v>0</v>
      </c>
      <c r="N431" s="26"/>
    </row>
    <row r="432" spans="1:14" x14ac:dyDescent="0.25">
      <c r="A432" s="21" t="s">
        <v>91</v>
      </c>
      <c r="B432" s="22" t="s">
        <v>90</v>
      </c>
      <c r="C432">
        <v>0</v>
      </c>
      <c r="D432" s="28">
        <v>0</v>
      </c>
      <c r="E432" s="21">
        <v>0</v>
      </c>
      <c r="F432" s="28">
        <v>0</v>
      </c>
      <c r="G432" s="24"/>
      <c r="H432" s="21">
        <f t="shared" si="48"/>
        <v>0</v>
      </c>
      <c r="I432" s="28">
        <f t="shared" si="48"/>
        <v>0</v>
      </c>
      <c r="J432" s="21">
        <v>0</v>
      </c>
      <c r="K432" s="28">
        <v>0</v>
      </c>
      <c r="L432" s="21">
        <f t="shared" si="49"/>
        <v>0</v>
      </c>
      <c r="M432" s="29">
        <f t="shared" si="49"/>
        <v>0</v>
      </c>
      <c r="N432" s="26"/>
    </row>
    <row r="433" spans="1:14" x14ac:dyDescent="0.25">
      <c r="A433" s="21" t="s">
        <v>93</v>
      </c>
      <c r="B433" s="22" t="s">
        <v>92</v>
      </c>
      <c r="C433">
        <f>VLOOKUP(A433,[2]v_02_2024!F:I,3,FALSE)</f>
        <v>8</v>
      </c>
      <c r="D433" s="28">
        <f>VLOOKUP(A433,[2]v_02_2024!F:I,4,FALSE)</f>
        <v>29.05</v>
      </c>
      <c r="E433" s="21">
        <v>0</v>
      </c>
      <c r="F433" s="28">
        <v>0</v>
      </c>
      <c r="G433" s="24">
        <f t="shared" si="47"/>
        <v>0</v>
      </c>
      <c r="H433" s="21">
        <f t="shared" si="48"/>
        <v>8</v>
      </c>
      <c r="I433" s="28">
        <f t="shared" si="48"/>
        <v>29.05</v>
      </c>
      <c r="J433" s="21">
        <v>0</v>
      </c>
      <c r="K433" s="28">
        <v>0</v>
      </c>
      <c r="L433" s="21">
        <f t="shared" si="49"/>
        <v>8</v>
      </c>
      <c r="M433" s="29">
        <f t="shared" si="49"/>
        <v>29.05</v>
      </c>
      <c r="N433" s="26"/>
    </row>
    <row r="434" spans="1:14" x14ac:dyDescent="0.25">
      <c r="A434" s="21" t="s">
        <v>95</v>
      </c>
      <c r="B434" s="22" t="s">
        <v>94</v>
      </c>
      <c r="C434">
        <v>0</v>
      </c>
      <c r="D434" s="28">
        <v>0</v>
      </c>
      <c r="E434" s="21">
        <v>0</v>
      </c>
      <c r="F434" s="28">
        <v>0</v>
      </c>
      <c r="G434" s="24"/>
      <c r="H434" s="21">
        <f t="shared" si="48"/>
        <v>0</v>
      </c>
      <c r="I434" s="28">
        <f t="shared" si="48"/>
        <v>0</v>
      </c>
      <c r="J434" s="21">
        <v>0</v>
      </c>
      <c r="K434" s="28">
        <v>0</v>
      </c>
      <c r="L434" s="21">
        <f t="shared" si="49"/>
        <v>0</v>
      </c>
      <c r="M434" s="29">
        <f t="shared" si="49"/>
        <v>0</v>
      </c>
      <c r="N434" s="26"/>
    </row>
    <row r="435" spans="1:14" x14ac:dyDescent="0.25">
      <c r="A435" s="21" t="s">
        <v>99</v>
      </c>
      <c r="B435" s="22" t="s">
        <v>98</v>
      </c>
      <c r="C435">
        <v>0</v>
      </c>
      <c r="D435" s="28">
        <v>0</v>
      </c>
      <c r="E435" s="21">
        <v>0</v>
      </c>
      <c r="F435" s="28">
        <v>0</v>
      </c>
      <c r="G435" s="24"/>
      <c r="H435" s="21">
        <f t="shared" si="48"/>
        <v>0</v>
      </c>
      <c r="I435" s="28">
        <f t="shared" si="48"/>
        <v>0</v>
      </c>
      <c r="J435" s="21">
        <v>0</v>
      </c>
      <c r="K435" s="28">
        <v>0</v>
      </c>
      <c r="L435" s="21">
        <f t="shared" si="49"/>
        <v>0</v>
      </c>
      <c r="M435" s="29">
        <f t="shared" si="49"/>
        <v>0</v>
      </c>
      <c r="N435" s="26"/>
    </row>
    <row r="436" spans="1:14" x14ac:dyDescent="0.25">
      <c r="A436" s="21" t="s">
        <v>101</v>
      </c>
      <c r="B436" s="22" t="s">
        <v>100</v>
      </c>
      <c r="C436">
        <f>VLOOKUP(A436,[2]v_02_2024!F:I,3,FALSE)</f>
        <v>0</v>
      </c>
      <c r="D436" s="28">
        <f>VLOOKUP(A436,[2]v_02_2024!F:I,4,FALSE)</f>
        <v>0</v>
      </c>
      <c r="E436" s="21">
        <v>0</v>
      </c>
      <c r="F436" s="28">
        <v>0</v>
      </c>
      <c r="G436" s="24"/>
      <c r="H436" s="21">
        <f t="shared" si="48"/>
        <v>0</v>
      </c>
      <c r="I436" s="28">
        <f t="shared" si="48"/>
        <v>0</v>
      </c>
      <c r="J436" s="21">
        <f>VLOOKUP(A436,[2]v_02_2023!F:I,3,FALSE)</f>
        <v>1</v>
      </c>
      <c r="K436" s="28">
        <f>VLOOKUP(A436,[2]v_02_2023!F:I,4,FALSE)</f>
        <v>4.0199999999999996</v>
      </c>
      <c r="L436" s="21">
        <f t="shared" si="49"/>
        <v>-1</v>
      </c>
      <c r="M436" s="29">
        <f t="shared" si="49"/>
        <v>-4.0199999999999996</v>
      </c>
      <c r="N436" s="26">
        <f t="shared" si="50"/>
        <v>-1</v>
      </c>
    </row>
    <row r="437" spans="1:14" x14ac:dyDescent="0.25">
      <c r="A437" s="21" t="s">
        <v>103</v>
      </c>
      <c r="B437" s="22" t="s">
        <v>102</v>
      </c>
      <c r="C437">
        <f>VLOOKUP(A437,[2]v_02_2024!F:I,3,FALSE)</f>
        <v>0</v>
      </c>
      <c r="D437" s="28">
        <f>VLOOKUP(A437,[2]v_02_2024!F:I,4,FALSE)</f>
        <v>0</v>
      </c>
      <c r="E437" s="21">
        <f>VLOOKUP(A437,[2]s_02_2024!E:G,2,FALSE)</f>
        <v>21</v>
      </c>
      <c r="F437" s="28">
        <f>VLOOKUP(A437,[2]s_02_2024!E:G,3,FALSE)</f>
        <v>607.89999999999986</v>
      </c>
      <c r="G437" s="24">
        <f t="shared" si="47"/>
        <v>1</v>
      </c>
      <c r="H437" s="21">
        <f t="shared" si="48"/>
        <v>21</v>
      </c>
      <c r="I437" s="28">
        <f t="shared" si="48"/>
        <v>607.89999999999986</v>
      </c>
      <c r="J437" s="21">
        <f>VLOOKUP(A437,[2]v_02_2023!F:I,3,FALSE)</f>
        <v>28</v>
      </c>
      <c r="K437" s="28">
        <f>VLOOKUP(A437,[2]v_02_2023!F:I,4,FALSE)</f>
        <v>674.22</v>
      </c>
      <c r="L437" s="21">
        <f t="shared" si="49"/>
        <v>-7</v>
      </c>
      <c r="M437" s="29">
        <f t="shared" si="49"/>
        <v>-66.320000000000164</v>
      </c>
      <c r="N437" s="26">
        <f t="shared" si="50"/>
        <v>-9.8365518673430283E-2</v>
      </c>
    </row>
    <row r="438" spans="1:14" x14ac:dyDescent="0.25">
      <c r="A438" s="21" t="s">
        <v>510</v>
      </c>
      <c r="B438" s="22" t="s">
        <v>509</v>
      </c>
      <c r="C438">
        <f>VLOOKUP(A438,[2]v_02_2024!F:I,3,FALSE)</f>
        <v>3</v>
      </c>
      <c r="D438" s="28">
        <f>VLOOKUP(A438,[2]v_02_2024!F:I,4,FALSE)</f>
        <v>44.01</v>
      </c>
      <c r="E438" s="21">
        <v>0</v>
      </c>
      <c r="F438" s="28">
        <v>0</v>
      </c>
      <c r="G438" s="24">
        <f t="shared" si="47"/>
        <v>0</v>
      </c>
      <c r="H438" s="21">
        <f t="shared" si="48"/>
        <v>3</v>
      </c>
      <c r="I438" s="28">
        <f t="shared" si="48"/>
        <v>44.01</v>
      </c>
      <c r="J438" s="21">
        <f>VLOOKUP(A438,[2]v_02_2023!F:I,3,FALSE)</f>
        <v>7</v>
      </c>
      <c r="K438" s="28">
        <f>VLOOKUP(A438,[2]v_02_2023!F:I,4,FALSE)</f>
        <v>107.31</v>
      </c>
      <c r="L438" s="21">
        <f t="shared" si="49"/>
        <v>-4</v>
      </c>
      <c r="M438" s="29">
        <f t="shared" si="49"/>
        <v>-63.300000000000004</v>
      </c>
      <c r="N438" s="26">
        <f t="shared" si="50"/>
        <v>-0.58987978753145098</v>
      </c>
    </row>
    <row r="439" spans="1:14" x14ac:dyDescent="0.25">
      <c r="A439" s="21" t="s">
        <v>479</v>
      </c>
      <c r="B439" s="22" t="s">
        <v>478</v>
      </c>
      <c r="C439">
        <f>VLOOKUP(A439,[2]v_02_2024!F:I,3,FALSE)</f>
        <v>21</v>
      </c>
      <c r="D439" s="28">
        <f>VLOOKUP(A439,[2]v_02_2024!F:I,4,FALSE)</f>
        <v>464.25</v>
      </c>
      <c r="E439" s="21">
        <v>0</v>
      </c>
      <c r="F439" s="28">
        <v>0</v>
      </c>
      <c r="G439" s="24">
        <f t="shared" si="47"/>
        <v>0</v>
      </c>
      <c r="H439" s="21">
        <f t="shared" si="48"/>
        <v>21</v>
      </c>
      <c r="I439" s="28">
        <f t="shared" si="48"/>
        <v>464.25</v>
      </c>
      <c r="J439" s="21">
        <f>VLOOKUP(A439,[2]v_02_2023!F:I,3,FALSE)</f>
        <v>108</v>
      </c>
      <c r="K439" s="28">
        <f>VLOOKUP(A439,[2]v_02_2023!F:I,4,FALSE)</f>
        <v>2118.9699999999998</v>
      </c>
      <c r="L439" s="21">
        <f t="shared" si="49"/>
        <v>-87</v>
      </c>
      <c r="M439" s="29">
        <f t="shared" si="49"/>
        <v>-1654.7199999999998</v>
      </c>
      <c r="N439" s="26">
        <f t="shared" si="50"/>
        <v>-0.78090770515863839</v>
      </c>
    </row>
    <row r="440" spans="1:14" x14ac:dyDescent="0.25">
      <c r="A440" s="21" t="s">
        <v>105</v>
      </c>
      <c r="B440" s="22" t="s">
        <v>104</v>
      </c>
      <c r="C440">
        <v>0</v>
      </c>
      <c r="D440" s="28">
        <v>0</v>
      </c>
      <c r="E440" s="21">
        <v>0</v>
      </c>
      <c r="F440" s="28">
        <v>0</v>
      </c>
      <c r="G440" s="24"/>
      <c r="H440" s="21">
        <f t="shared" si="48"/>
        <v>0</v>
      </c>
      <c r="I440" s="28">
        <f t="shared" si="48"/>
        <v>0</v>
      </c>
      <c r="J440" s="21">
        <v>0</v>
      </c>
      <c r="K440" s="28">
        <v>0</v>
      </c>
      <c r="L440" s="21">
        <f t="shared" si="49"/>
        <v>0</v>
      </c>
      <c r="M440" s="29">
        <f t="shared" si="49"/>
        <v>0</v>
      </c>
      <c r="N440" s="26"/>
    </row>
    <row r="441" spans="1:14" x14ac:dyDescent="0.25">
      <c r="A441" s="21" t="s">
        <v>480</v>
      </c>
      <c r="B441" s="22" t="s">
        <v>478</v>
      </c>
      <c r="C441">
        <f>VLOOKUP(A441,[2]v_02_2024!F:I,3,FALSE)</f>
        <v>-15</v>
      </c>
      <c r="D441" s="28">
        <f>VLOOKUP(A441,[2]v_02_2024!F:I,4,FALSE)</f>
        <v>-173.9</v>
      </c>
      <c r="E441" s="21">
        <f>VLOOKUP(A441,[2]s_02_2024!E:G,2,FALSE)</f>
        <v>191</v>
      </c>
      <c r="F441" s="28">
        <f>VLOOKUP(A441,[2]s_02_2024!E:G,3,FALSE)</f>
        <v>2840.5200000000095</v>
      </c>
      <c r="G441" s="24">
        <f t="shared" si="47"/>
        <v>1.0652136412387214</v>
      </c>
      <c r="H441" s="21">
        <f t="shared" si="48"/>
        <v>176</v>
      </c>
      <c r="I441" s="28">
        <f t="shared" si="48"/>
        <v>2666.6200000000094</v>
      </c>
      <c r="J441" s="21">
        <f>VLOOKUP(A441,[2]v_02_2023!F:I,3,FALSE)</f>
        <v>50</v>
      </c>
      <c r="K441" s="28">
        <f>VLOOKUP(A441,[2]v_02_2023!F:I,4,FALSE)</f>
        <v>597.21</v>
      </c>
      <c r="L441" s="21">
        <f t="shared" si="49"/>
        <v>126</v>
      </c>
      <c r="M441" s="29">
        <f t="shared" si="49"/>
        <v>2069.4100000000094</v>
      </c>
      <c r="N441" s="26">
        <f t="shared" si="50"/>
        <v>3.4651295189297051</v>
      </c>
    </row>
    <row r="442" spans="1:14" x14ac:dyDescent="0.25">
      <c r="A442" s="21" t="s">
        <v>107</v>
      </c>
      <c r="B442" s="22" t="s">
        <v>106</v>
      </c>
      <c r="C442">
        <f>VLOOKUP(A442,[2]v_02_2024!F:I,3,FALSE)</f>
        <v>4</v>
      </c>
      <c r="D442" s="28">
        <f>VLOOKUP(A442,[2]v_02_2024!F:I,4,FALSE)</f>
        <v>67.67</v>
      </c>
      <c r="E442" s="21">
        <v>0</v>
      </c>
      <c r="F442" s="28">
        <v>0</v>
      </c>
      <c r="G442" s="24">
        <f t="shared" si="47"/>
        <v>0</v>
      </c>
      <c r="H442" s="21">
        <f t="shared" si="48"/>
        <v>4</v>
      </c>
      <c r="I442" s="28">
        <f t="shared" si="48"/>
        <v>67.67</v>
      </c>
      <c r="J442" s="21">
        <f>VLOOKUP(A442,[2]v_02_2023!F:I,3,FALSE)</f>
        <v>3</v>
      </c>
      <c r="K442" s="28">
        <f>VLOOKUP(A442,[2]v_02_2023!F:I,4,FALSE)</f>
        <v>71.39</v>
      </c>
      <c r="L442" s="21">
        <f t="shared" si="49"/>
        <v>1</v>
      </c>
      <c r="M442" s="29">
        <f t="shared" si="49"/>
        <v>-3.7199999999999989</v>
      </c>
      <c r="N442" s="26">
        <f t="shared" si="50"/>
        <v>-5.210813839473314E-2</v>
      </c>
    </row>
    <row r="443" spans="1:14" x14ac:dyDescent="0.25">
      <c r="A443" s="21" t="s">
        <v>109</v>
      </c>
      <c r="B443" s="22" t="s">
        <v>108</v>
      </c>
      <c r="C443">
        <v>0</v>
      </c>
      <c r="D443" s="28">
        <v>0</v>
      </c>
      <c r="E443" s="21">
        <v>0</v>
      </c>
      <c r="F443" s="28">
        <v>0</v>
      </c>
      <c r="G443" s="24"/>
      <c r="H443" s="21">
        <f t="shared" si="48"/>
        <v>0</v>
      </c>
      <c r="I443" s="28">
        <f t="shared" si="48"/>
        <v>0</v>
      </c>
      <c r="J443" s="21">
        <v>0</v>
      </c>
      <c r="K443" s="28">
        <v>0</v>
      </c>
      <c r="L443" s="21">
        <f t="shared" si="49"/>
        <v>0</v>
      </c>
      <c r="M443" s="29">
        <f t="shared" si="49"/>
        <v>0</v>
      </c>
      <c r="N443" s="26"/>
    </row>
    <row r="444" spans="1:14" x14ac:dyDescent="0.25">
      <c r="A444" s="21" t="s">
        <v>111</v>
      </c>
      <c r="B444" s="22" t="s">
        <v>110</v>
      </c>
      <c r="C444">
        <f>VLOOKUP(A444,[2]v_02_2024!F:I,3,FALSE)</f>
        <v>215</v>
      </c>
      <c r="D444" s="28">
        <f>VLOOKUP(A444,[2]v_02_2024!F:I,4,FALSE)</f>
        <v>2737.71</v>
      </c>
      <c r="E444" s="21">
        <v>0</v>
      </c>
      <c r="F444" s="28">
        <v>0</v>
      </c>
      <c r="G444" s="24">
        <f t="shared" si="47"/>
        <v>0</v>
      </c>
      <c r="H444" s="21">
        <f t="shared" si="48"/>
        <v>215</v>
      </c>
      <c r="I444" s="28">
        <f t="shared" si="48"/>
        <v>2737.71</v>
      </c>
      <c r="J444" s="21">
        <f>VLOOKUP(A444,[2]v_02_2023!F:I,3,FALSE)</f>
        <v>261</v>
      </c>
      <c r="K444" s="28">
        <f>VLOOKUP(A444,[2]v_02_2023!F:I,4,FALSE)</f>
        <v>3186.81</v>
      </c>
      <c r="L444" s="21">
        <f t="shared" si="49"/>
        <v>-46</v>
      </c>
      <c r="M444" s="29">
        <f t="shared" si="49"/>
        <v>-449.09999999999991</v>
      </c>
      <c r="N444" s="26">
        <f t="shared" si="50"/>
        <v>-0.14092462368324435</v>
      </c>
    </row>
    <row r="445" spans="1:14" x14ac:dyDescent="0.25">
      <c r="A445" s="21" t="s">
        <v>477</v>
      </c>
      <c r="B445" s="22" t="s">
        <v>476</v>
      </c>
      <c r="C445">
        <v>0</v>
      </c>
      <c r="D445" s="28">
        <v>0</v>
      </c>
      <c r="E445" s="21">
        <f>VLOOKUP(A445,[2]s_02_2024!E:G,2,FALSE)</f>
        <v>580</v>
      </c>
      <c r="F445" s="28">
        <f>VLOOKUP(A445,[2]s_02_2024!E:G,3,FALSE)</f>
        <v>17328.229999999905</v>
      </c>
      <c r="G445" s="24">
        <f t="shared" si="47"/>
        <v>1</v>
      </c>
      <c r="H445" s="21">
        <f t="shared" si="48"/>
        <v>580</v>
      </c>
      <c r="I445" s="28">
        <f t="shared" si="48"/>
        <v>17328.229999999905</v>
      </c>
      <c r="J445" s="21">
        <v>0</v>
      </c>
      <c r="K445" s="28">
        <v>0</v>
      </c>
      <c r="L445" s="21">
        <f t="shared" si="49"/>
        <v>580</v>
      </c>
      <c r="M445" s="29">
        <f t="shared" si="49"/>
        <v>17328.229999999905</v>
      </c>
      <c r="N445" s="26"/>
    </row>
    <row r="446" spans="1:14" x14ac:dyDescent="0.25">
      <c r="A446" s="21" t="s">
        <v>490</v>
      </c>
      <c r="B446" s="22" t="s">
        <v>489</v>
      </c>
      <c r="C446">
        <f>VLOOKUP(A446,[2]v_02_2024!F:I,3,FALSE)</f>
        <v>9</v>
      </c>
      <c r="D446" s="28">
        <f>VLOOKUP(A446,[2]v_02_2024!F:I,4,FALSE)</f>
        <v>331.2</v>
      </c>
      <c r="E446" s="21">
        <f>VLOOKUP(A446,[2]s_02_2024!E:G,2,FALSE)</f>
        <v>9</v>
      </c>
      <c r="F446" s="28">
        <f>VLOOKUP(A446,[2]s_02_2024!E:G,3,FALSE)</f>
        <v>435.09999999999991</v>
      </c>
      <c r="G446" s="24">
        <f t="shared" si="47"/>
        <v>0.56779329244421239</v>
      </c>
      <c r="H446" s="21">
        <f t="shared" si="48"/>
        <v>18</v>
      </c>
      <c r="I446" s="28">
        <f t="shared" si="48"/>
        <v>766.3</v>
      </c>
      <c r="J446" s="21">
        <f>VLOOKUP(A446,[2]v_02_2023!F:I,3,FALSE)</f>
        <v>28</v>
      </c>
      <c r="K446" s="28">
        <f>VLOOKUP(A446,[2]v_02_2023!F:I,4,FALSE)</f>
        <v>1331.46</v>
      </c>
      <c r="L446" s="21">
        <f t="shared" si="49"/>
        <v>-10</v>
      </c>
      <c r="M446" s="29">
        <f t="shared" si="49"/>
        <v>-565.16000000000008</v>
      </c>
      <c r="N446" s="26">
        <f t="shared" si="50"/>
        <v>-0.42446637525723646</v>
      </c>
    </row>
    <row r="447" spans="1:14" x14ac:dyDescent="0.25">
      <c r="A447" s="21" t="s">
        <v>522</v>
      </c>
      <c r="B447" s="22" t="s">
        <v>521</v>
      </c>
      <c r="C447">
        <v>0</v>
      </c>
      <c r="D447" s="28">
        <v>0</v>
      </c>
      <c r="E447" s="21">
        <f>VLOOKUP(A447,[2]s_02_2024!E:G,2,FALSE)</f>
        <v>10</v>
      </c>
      <c r="F447" s="28">
        <f>VLOOKUP(A447,[2]s_02_2024!E:G,3,FALSE)</f>
        <v>598.99999999999989</v>
      </c>
      <c r="G447" s="24">
        <f t="shared" si="47"/>
        <v>1</v>
      </c>
      <c r="H447" s="21">
        <f t="shared" si="48"/>
        <v>10</v>
      </c>
      <c r="I447" s="28">
        <f t="shared" si="48"/>
        <v>598.99999999999989</v>
      </c>
      <c r="J447" s="21">
        <v>0</v>
      </c>
      <c r="K447" s="28">
        <v>0</v>
      </c>
      <c r="L447" s="21">
        <f t="shared" si="49"/>
        <v>10</v>
      </c>
      <c r="M447" s="29">
        <f t="shared" si="49"/>
        <v>598.99999999999989</v>
      </c>
      <c r="N447" s="26"/>
    </row>
    <row r="448" spans="1:14" x14ac:dyDescent="0.25">
      <c r="A448" s="21" t="s">
        <v>113</v>
      </c>
      <c r="B448" s="22" t="s">
        <v>112</v>
      </c>
      <c r="C448">
        <f>VLOOKUP(A448,[2]v_02_2024!F:I,3,FALSE)</f>
        <v>2</v>
      </c>
      <c r="D448" s="28">
        <f>VLOOKUP(A448,[2]v_02_2024!F:I,4,FALSE)</f>
        <v>29.58</v>
      </c>
      <c r="E448" s="21">
        <v>0</v>
      </c>
      <c r="F448" s="28">
        <v>0</v>
      </c>
      <c r="G448" s="24">
        <f t="shared" si="47"/>
        <v>0</v>
      </c>
      <c r="H448" s="21">
        <f t="shared" si="48"/>
        <v>2</v>
      </c>
      <c r="I448" s="28">
        <f t="shared" si="48"/>
        <v>29.58</v>
      </c>
      <c r="J448" s="21">
        <v>0</v>
      </c>
      <c r="K448" s="28">
        <v>0</v>
      </c>
      <c r="L448" s="21">
        <f t="shared" si="49"/>
        <v>2</v>
      </c>
      <c r="M448" s="29">
        <f t="shared" si="49"/>
        <v>29.58</v>
      </c>
      <c r="N448" s="26"/>
    </row>
    <row r="449" spans="1:14" x14ac:dyDescent="0.25">
      <c r="A449" s="21" t="s">
        <v>544</v>
      </c>
      <c r="B449" s="22" t="s">
        <v>543</v>
      </c>
      <c r="C449">
        <f>VLOOKUP(A449,[2]v_02_2024!F:I,3,FALSE)</f>
        <v>59</v>
      </c>
      <c r="D449" s="28">
        <f>VLOOKUP(A449,[2]v_02_2024!F:I,4,FALSE)</f>
        <v>1245.32</v>
      </c>
      <c r="E449" s="21">
        <v>0</v>
      </c>
      <c r="F449" s="28">
        <v>0</v>
      </c>
      <c r="G449" s="24">
        <f t="shared" si="47"/>
        <v>0</v>
      </c>
      <c r="H449" s="21">
        <f t="shared" si="48"/>
        <v>59</v>
      </c>
      <c r="I449" s="28">
        <f t="shared" si="48"/>
        <v>1245.32</v>
      </c>
      <c r="J449" s="21">
        <f>VLOOKUP(A449,[2]v_02_2023!F:I,3,FALSE)</f>
        <v>320</v>
      </c>
      <c r="K449" s="28">
        <f>VLOOKUP(A449,[2]v_02_2023!F:I,4,FALSE)</f>
        <v>6561.22</v>
      </c>
      <c r="L449" s="21">
        <f t="shared" si="49"/>
        <v>-261</v>
      </c>
      <c r="M449" s="29">
        <f t="shared" si="49"/>
        <v>-5315.9000000000005</v>
      </c>
      <c r="N449" s="26">
        <f t="shared" si="50"/>
        <v>-0.81019993232965826</v>
      </c>
    </row>
    <row r="450" spans="1:14" x14ac:dyDescent="0.25">
      <c r="A450" s="21" t="s">
        <v>119</v>
      </c>
      <c r="B450" s="22" t="s">
        <v>118</v>
      </c>
      <c r="C450">
        <f>VLOOKUP(A450,[2]v_02_2024!F:I,3,FALSE)</f>
        <v>4</v>
      </c>
      <c r="D450" s="28">
        <f>VLOOKUP(A450,[2]v_02_2024!F:I,4,FALSE)</f>
        <v>95.19</v>
      </c>
      <c r="E450" s="21">
        <v>0</v>
      </c>
      <c r="F450" s="28">
        <v>0</v>
      </c>
      <c r="G450" s="24">
        <f t="shared" si="47"/>
        <v>0</v>
      </c>
      <c r="H450" s="21">
        <f t="shared" si="48"/>
        <v>4</v>
      </c>
      <c r="I450" s="28">
        <f t="shared" si="48"/>
        <v>95.19</v>
      </c>
      <c r="J450" s="21">
        <f>VLOOKUP(A450,[2]v_02_2023!F:I,3,FALSE)</f>
        <v>2</v>
      </c>
      <c r="K450" s="28">
        <f>VLOOKUP(A450,[2]v_02_2023!F:I,4,FALSE)</f>
        <v>43.7</v>
      </c>
      <c r="L450" s="21">
        <f t="shared" si="49"/>
        <v>2</v>
      </c>
      <c r="M450" s="29">
        <f t="shared" si="49"/>
        <v>51.489999999999995</v>
      </c>
      <c r="N450" s="26">
        <f t="shared" si="50"/>
        <v>1.1782608695652173</v>
      </c>
    </row>
    <row r="451" spans="1:14" x14ac:dyDescent="0.25">
      <c r="A451" s="21" t="s">
        <v>546</v>
      </c>
      <c r="B451" s="22" t="s">
        <v>545</v>
      </c>
      <c r="C451">
        <v>0</v>
      </c>
      <c r="D451" s="28">
        <v>0</v>
      </c>
      <c r="E451" s="21">
        <v>0</v>
      </c>
      <c r="F451" s="28">
        <v>0</v>
      </c>
      <c r="G451" s="24"/>
      <c r="H451" s="21">
        <f t="shared" si="48"/>
        <v>0</v>
      </c>
      <c r="I451" s="28">
        <f t="shared" si="48"/>
        <v>0</v>
      </c>
      <c r="J451" s="21">
        <v>0</v>
      </c>
      <c r="K451" s="28">
        <v>0</v>
      </c>
      <c r="L451" s="21">
        <f t="shared" si="49"/>
        <v>0</v>
      </c>
      <c r="M451" s="29">
        <f t="shared" si="49"/>
        <v>0</v>
      </c>
      <c r="N451" s="26"/>
    </row>
    <row r="452" spans="1:14" x14ac:dyDescent="0.25">
      <c r="A452" s="21" t="s">
        <v>488</v>
      </c>
      <c r="B452" s="22" t="s">
        <v>487</v>
      </c>
      <c r="C452">
        <v>0</v>
      </c>
      <c r="D452" s="28">
        <v>0</v>
      </c>
      <c r="E452" s="21">
        <v>0</v>
      </c>
      <c r="F452" s="28">
        <v>0</v>
      </c>
      <c r="G452" s="24"/>
      <c r="H452" s="21">
        <f t="shared" si="48"/>
        <v>0</v>
      </c>
      <c r="I452" s="28">
        <f t="shared" si="48"/>
        <v>0</v>
      </c>
      <c r="J452" s="21">
        <v>0</v>
      </c>
      <c r="K452" s="28">
        <v>0</v>
      </c>
      <c r="L452" s="21">
        <f t="shared" si="49"/>
        <v>0</v>
      </c>
      <c r="M452" s="29">
        <f t="shared" si="49"/>
        <v>0</v>
      </c>
      <c r="N452" s="26"/>
    </row>
    <row r="453" spans="1:14" x14ac:dyDescent="0.25">
      <c r="A453" s="21" t="s">
        <v>502</v>
      </c>
      <c r="B453" s="22" t="s">
        <v>501</v>
      </c>
      <c r="C453">
        <v>0</v>
      </c>
      <c r="D453" s="28">
        <v>0</v>
      </c>
      <c r="E453" s="21">
        <v>0</v>
      </c>
      <c r="F453" s="28">
        <v>0</v>
      </c>
      <c r="G453" s="24"/>
      <c r="H453" s="21">
        <f t="shared" si="48"/>
        <v>0</v>
      </c>
      <c r="I453" s="28">
        <f t="shared" si="48"/>
        <v>0</v>
      </c>
      <c r="J453" s="21">
        <f>VLOOKUP(A453,[2]v_02_2023!F:I,3,FALSE)</f>
        <v>2</v>
      </c>
      <c r="K453" s="28">
        <f>VLOOKUP(A453,[2]v_02_2023!F:I,4,FALSE)</f>
        <v>162.30000000000001</v>
      </c>
      <c r="L453" s="21">
        <f t="shared" si="49"/>
        <v>-2</v>
      </c>
      <c r="M453" s="29">
        <f t="shared" si="49"/>
        <v>-162.30000000000001</v>
      </c>
      <c r="N453" s="26">
        <f t="shared" si="50"/>
        <v>-1</v>
      </c>
    </row>
    <row r="454" spans="1:14" x14ac:dyDescent="0.25">
      <c r="A454" s="21" t="s">
        <v>530</v>
      </c>
      <c r="B454" s="22" t="s">
        <v>529</v>
      </c>
      <c r="C454">
        <v>0</v>
      </c>
      <c r="D454" s="28">
        <v>0</v>
      </c>
      <c r="E454" s="21">
        <v>0</v>
      </c>
      <c r="F454" s="28">
        <v>0</v>
      </c>
      <c r="G454" s="24"/>
      <c r="H454" s="21">
        <f t="shared" si="48"/>
        <v>0</v>
      </c>
      <c r="I454" s="28">
        <f t="shared" si="48"/>
        <v>0</v>
      </c>
      <c r="J454" s="21">
        <v>0</v>
      </c>
      <c r="K454" s="28">
        <v>0</v>
      </c>
      <c r="L454" s="21">
        <f t="shared" si="49"/>
        <v>0</v>
      </c>
      <c r="M454" s="29">
        <f t="shared" si="49"/>
        <v>0</v>
      </c>
      <c r="N454" s="26"/>
    </row>
    <row r="455" spans="1:14" x14ac:dyDescent="0.25">
      <c r="A455" s="21" t="s">
        <v>516</v>
      </c>
      <c r="B455" s="22" t="s">
        <v>515</v>
      </c>
      <c r="C455">
        <f>VLOOKUP(A455,[2]v_02_2024!F:I,3,FALSE)</f>
        <v>97</v>
      </c>
      <c r="D455" s="28">
        <f>VLOOKUP(A455,[2]v_02_2024!F:I,4,FALSE)</f>
        <v>1343.45</v>
      </c>
      <c r="E455" s="21">
        <v>0</v>
      </c>
      <c r="F455" s="28">
        <v>0</v>
      </c>
      <c r="G455" s="24">
        <f t="shared" si="47"/>
        <v>0</v>
      </c>
      <c r="H455" s="21">
        <f t="shared" si="48"/>
        <v>97</v>
      </c>
      <c r="I455" s="28">
        <f t="shared" si="48"/>
        <v>1343.45</v>
      </c>
      <c r="J455" s="21">
        <f>VLOOKUP(A455,[2]v_02_2023!F:I,3,FALSE)</f>
        <v>21</v>
      </c>
      <c r="K455" s="28">
        <f>VLOOKUP(A455,[2]v_02_2023!F:I,4,FALSE)</f>
        <v>342.51</v>
      </c>
      <c r="L455" s="21">
        <f t="shared" si="49"/>
        <v>76</v>
      </c>
      <c r="M455" s="29">
        <f t="shared" si="49"/>
        <v>1000.94</v>
      </c>
      <c r="N455" s="26">
        <f t="shared" si="50"/>
        <v>2.9223672301538643</v>
      </c>
    </row>
    <row r="456" spans="1:14" x14ac:dyDescent="0.25">
      <c r="A456" s="21" t="s">
        <v>475</v>
      </c>
      <c r="B456" s="22" t="s">
        <v>474</v>
      </c>
      <c r="C456">
        <v>0</v>
      </c>
      <c r="D456" s="28">
        <v>0</v>
      </c>
      <c r="E456" s="21">
        <v>0</v>
      </c>
      <c r="F456" s="28">
        <v>0</v>
      </c>
      <c r="G456" s="24"/>
      <c r="H456" s="21">
        <f t="shared" si="48"/>
        <v>0</v>
      </c>
      <c r="I456" s="28">
        <f t="shared" si="48"/>
        <v>0</v>
      </c>
      <c r="J456" s="21">
        <f>VLOOKUP(A456,[2]v_02_2023!F:I,3,FALSE)</f>
        <v>18</v>
      </c>
      <c r="K456" s="28">
        <f>VLOOKUP(A456,[2]v_02_2023!F:I,4,FALSE)</f>
        <v>233.76</v>
      </c>
      <c r="L456" s="21">
        <f t="shared" si="49"/>
        <v>-18</v>
      </c>
      <c r="M456" s="29">
        <f t="shared" si="49"/>
        <v>-233.76</v>
      </c>
      <c r="N456" s="26">
        <f t="shared" si="50"/>
        <v>-1</v>
      </c>
    </row>
    <row r="457" spans="1:14" x14ac:dyDescent="0.25">
      <c r="A457" s="21" t="s">
        <v>123</v>
      </c>
      <c r="B457" s="22" t="s">
        <v>122</v>
      </c>
      <c r="C457">
        <f>VLOOKUP(A457,[2]v_02_2024!F:I,3,FALSE)</f>
        <v>42</v>
      </c>
      <c r="D457" s="28">
        <f>VLOOKUP(A457,[2]v_02_2024!F:I,4,FALSE)</f>
        <v>1029.42</v>
      </c>
      <c r="E457" s="21">
        <f>VLOOKUP(A457,[2]s_02_2024!E:G,2,FALSE)</f>
        <v>3</v>
      </c>
      <c r="F457" s="28">
        <f>VLOOKUP(A457,[2]s_02_2024!E:G,3,FALSE)</f>
        <v>124.69999999999999</v>
      </c>
      <c r="G457" s="24">
        <f t="shared" si="47"/>
        <v>0.10804769001490311</v>
      </c>
      <c r="H457" s="21">
        <f t="shared" si="48"/>
        <v>45</v>
      </c>
      <c r="I457" s="28">
        <f t="shared" si="48"/>
        <v>1154.1200000000001</v>
      </c>
      <c r="J457" s="21">
        <f>VLOOKUP(A457,[2]v_02_2023!F:I,3,FALSE)</f>
        <v>60</v>
      </c>
      <c r="K457" s="28">
        <f>VLOOKUP(A457,[2]v_02_2023!F:I,4,FALSE)</f>
        <v>1470.6</v>
      </c>
      <c r="L457" s="21">
        <f t="shared" si="49"/>
        <v>-15</v>
      </c>
      <c r="M457" s="29">
        <f t="shared" si="49"/>
        <v>-316.47999999999979</v>
      </c>
      <c r="N457" s="26">
        <f t="shared" si="50"/>
        <v>-0.21520467836257298</v>
      </c>
    </row>
    <row r="458" spans="1:14" x14ac:dyDescent="0.25">
      <c r="A458" s="21" t="s">
        <v>125</v>
      </c>
      <c r="B458" s="22" t="s">
        <v>124</v>
      </c>
      <c r="C458">
        <f>VLOOKUP(A458,[2]v_02_2024!F:I,3,FALSE)</f>
        <v>0</v>
      </c>
      <c r="D458" s="28">
        <f>VLOOKUP(A458,[2]v_02_2024!F:I,4,FALSE)</f>
        <v>0</v>
      </c>
      <c r="E458" s="21">
        <v>0</v>
      </c>
      <c r="F458" s="28">
        <v>0</v>
      </c>
      <c r="G458" s="24"/>
      <c r="H458" s="21">
        <f t="shared" si="48"/>
        <v>0</v>
      </c>
      <c r="I458" s="28">
        <f t="shared" si="48"/>
        <v>0</v>
      </c>
      <c r="J458" s="21">
        <f>VLOOKUP(A458,[2]v_02_2023!F:I,3,FALSE)</f>
        <v>655</v>
      </c>
      <c r="K458" s="28">
        <f>VLOOKUP(A458,[2]v_02_2023!F:I,4,FALSE)</f>
        <v>7997.55</v>
      </c>
      <c r="L458" s="21">
        <f t="shared" si="49"/>
        <v>-655</v>
      </c>
      <c r="M458" s="29">
        <f t="shared" si="49"/>
        <v>-7997.55</v>
      </c>
      <c r="N458" s="26">
        <f t="shared" si="50"/>
        <v>-1</v>
      </c>
    </row>
    <row r="459" spans="1:14" x14ac:dyDescent="0.25">
      <c r="A459" s="21" t="s">
        <v>560</v>
      </c>
      <c r="B459" s="22" t="s">
        <v>559</v>
      </c>
      <c r="C459">
        <f>VLOOKUP(A459,[2]v_02_2024!F:I,3,FALSE)</f>
        <v>31</v>
      </c>
      <c r="D459" s="28">
        <f>VLOOKUP(A459,[2]v_02_2024!F:I,4,FALSE)</f>
        <v>339.39</v>
      </c>
      <c r="E459" s="21">
        <v>0</v>
      </c>
      <c r="F459" s="28">
        <v>0</v>
      </c>
      <c r="G459" s="24">
        <f t="shared" si="47"/>
        <v>0</v>
      </c>
      <c r="H459" s="21">
        <f t="shared" si="48"/>
        <v>31</v>
      </c>
      <c r="I459" s="28">
        <f t="shared" si="48"/>
        <v>339.39</v>
      </c>
      <c r="J459" s="21">
        <f>VLOOKUP(A459,[2]v_02_2023!F:I,3,FALSE)</f>
        <v>46</v>
      </c>
      <c r="K459" s="28">
        <f>VLOOKUP(A459,[2]v_02_2023!F:I,4,FALSE)</f>
        <v>516.88</v>
      </c>
      <c r="L459" s="21">
        <f t="shared" si="49"/>
        <v>-15</v>
      </c>
      <c r="M459" s="29">
        <f t="shared" si="49"/>
        <v>-177.49</v>
      </c>
      <c r="N459" s="26">
        <f t="shared" si="50"/>
        <v>-0.34338724655626068</v>
      </c>
    </row>
    <row r="460" spans="1:14" x14ac:dyDescent="0.25">
      <c r="A460" s="21" t="s">
        <v>496</v>
      </c>
      <c r="B460" s="22" t="s">
        <v>495</v>
      </c>
      <c r="C460">
        <v>0</v>
      </c>
      <c r="D460" s="28">
        <v>0</v>
      </c>
      <c r="E460" s="21">
        <v>0</v>
      </c>
      <c r="F460" s="28">
        <v>0</v>
      </c>
      <c r="G460" s="24"/>
      <c r="H460" s="21">
        <f t="shared" si="48"/>
        <v>0</v>
      </c>
      <c r="I460" s="28">
        <f t="shared" si="48"/>
        <v>0</v>
      </c>
      <c r="J460" s="21">
        <v>0</v>
      </c>
      <c r="K460" s="28">
        <v>0</v>
      </c>
      <c r="L460" s="21">
        <f t="shared" si="49"/>
        <v>0</v>
      </c>
      <c r="M460" s="29">
        <f t="shared" si="49"/>
        <v>0</v>
      </c>
      <c r="N460" s="26"/>
    </row>
    <row r="461" spans="1:14" x14ac:dyDescent="0.25">
      <c r="A461" s="21" t="s">
        <v>514</v>
      </c>
      <c r="B461" s="22" t="s">
        <v>513</v>
      </c>
      <c r="C461">
        <v>0</v>
      </c>
      <c r="D461" s="28">
        <v>0</v>
      </c>
      <c r="E461" s="21">
        <f>VLOOKUP(A461,[2]s_02_2024!E:G,2,FALSE)</f>
        <v>0</v>
      </c>
      <c r="F461" s="28">
        <f>VLOOKUP(A461,[2]s_02_2024!E:G,3,FALSE)</f>
        <v>13.03</v>
      </c>
      <c r="G461" s="24">
        <f t="shared" si="47"/>
        <v>1</v>
      </c>
      <c r="H461" s="21">
        <f t="shared" si="48"/>
        <v>0</v>
      </c>
      <c r="I461" s="28">
        <f t="shared" si="48"/>
        <v>13.03</v>
      </c>
      <c r="J461" s="21">
        <v>0</v>
      </c>
      <c r="K461" s="28">
        <v>0</v>
      </c>
      <c r="L461" s="21">
        <f t="shared" si="49"/>
        <v>0</v>
      </c>
      <c r="M461" s="29">
        <f t="shared" si="49"/>
        <v>13.03</v>
      </c>
      <c r="N461" s="26"/>
    </row>
    <row r="462" spans="1:14" x14ac:dyDescent="0.25">
      <c r="A462" s="21" t="s">
        <v>678</v>
      </c>
      <c r="B462" s="22" t="s">
        <v>679</v>
      </c>
      <c r="C462">
        <v>0</v>
      </c>
      <c r="D462" s="28">
        <v>0</v>
      </c>
      <c r="E462" s="21">
        <v>0</v>
      </c>
      <c r="F462" s="28">
        <v>0</v>
      </c>
      <c r="G462" s="24"/>
      <c r="H462" s="21">
        <f t="shared" si="48"/>
        <v>0</v>
      </c>
      <c r="I462" s="28">
        <f t="shared" si="48"/>
        <v>0</v>
      </c>
      <c r="J462" s="21">
        <v>0</v>
      </c>
      <c r="K462" s="28">
        <v>0</v>
      </c>
      <c r="L462" s="21">
        <f t="shared" si="49"/>
        <v>0</v>
      </c>
      <c r="M462" s="29">
        <f t="shared" si="49"/>
        <v>0</v>
      </c>
      <c r="N462" s="26"/>
    </row>
    <row r="463" spans="1:14" x14ac:dyDescent="0.25">
      <c r="A463" s="21" t="s">
        <v>562</v>
      </c>
      <c r="B463" s="22" t="s">
        <v>561</v>
      </c>
      <c r="C463">
        <f>VLOOKUP(A463,[2]v_02_2024!F:I,3,FALSE)</f>
        <v>8</v>
      </c>
      <c r="D463" s="28">
        <f>VLOOKUP(A463,[2]v_02_2024!F:I,4,FALSE)</f>
        <v>43.28</v>
      </c>
      <c r="E463" s="21">
        <v>0</v>
      </c>
      <c r="F463" s="28">
        <v>0</v>
      </c>
      <c r="G463" s="24">
        <f t="shared" si="47"/>
        <v>0</v>
      </c>
      <c r="H463" s="21">
        <f t="shared" si="48"/>
        <v>8</v>
      </c>
      <c r="I463" s="28">
        <f t="shared" si="48"/>
        <v>43.28</v>
      </c>
      <c r="J463" s="21">
        <f>VLOOKUP(A463,[2]v_02_2023!F:I,3,FALSE)</f>
        <v>11</v>
      </c>
      <c r="K463" s="28">
        <f>VLOOKUP(A463,[2]v_02_2023!F:I,4,FALSE)</f>
        <v>89.21</v>
      </c>
      <c r="L463" s="21">
        <f t="shared" si="49"/>
        <v>-3</v>
      </c>
      <c r="M463" s="29">
        <f t="shared" si="49"/>
        <v>-45.929999999999993</v>
      </c>
      <c r="N463" s="26">
        <f t="shared" si="50"/>
        <v>-0.51485259500056046</v>
      </c>
    </row>
    <row r="464" spans="1:14" x14ac:dyDescent="0.25">
      <c r="A464" s="21" t="s">
        <v>127</v>
      </c>
      <c r="B464" s="22" t="s">
        <v>126</v>
      </c>
      <c r="C464">
        <f>VLOOKUP(A464,[2]v_02_2024!F:I,3,FALSE)</f>
        <v>11</v>
      </c>
      <c r="D464" s="28">
        <f>VLOOKUP(A464,[2]v_02_2024!F:I,4,FALSE)</f>
        <v>268.77</v>
      </c>
      <c r="E464" s="21">
        <f>VLOOKUP(A464,[2]s_02_2024!E:G,2,FALSE)</f>
        <v>133</v>
      </c>
      <c r="F464" s="28">
        <f>VLOOKUP(A464,[2]s_02_2024!E:G,3,FALSE)</f>
        <v>3958.7000000000035</v>
      </c>
      <c r="G464" s="24">
        <f t="shared" si="47"/>
        <v>0.93642296692821014</v>
      </c>
      <c r="H464" s="21">
        <f t="shared" si="48"/>
        <v>144</v>
      </c>
      <c r="I464" s="28">
        <f t="shared" si="48"/>
        <v>4227.470000000003</v>
      </c>
      <c r="J464" s="21">
        <f>VLOOKUP(A464,[2]v_02_2023!F:I,3,FALSE)</f>
        <v>291</v>
      </c>
      <c r="K464" s="28">
        <f>VLOOKUP(A464,[2]v_02_2023!F:I,4,FALSE)</f>
        <v>6114.61</v>
      </c>
      <c r="L464" s="21">
        <f t="shared" si="49"/>
        <v>-147</v>
      </c>
      <c r="M464" s="29">
        <f t="shared" si="49"/>
        <v>-1887.1399999999967</v>
      </c>
      <c r="N464" s="26">
        <f t="shared" si="50"/>
        <v>-0.3086280237006116</v>
      </c>
    </row>
    <row r="465" spans="1:14" x14ac:dyDescent="0.25">
      <c r="A465" s="21" t="s">
        <v>482</v>
      </c>
      <c r="B465" s="22" t="s">
        <v>481</v>
      </c>
      <c r="C465">
        <f>VLOOKUP(A465,[2]v_02_2024!F:I,3,FALSE)</f>
        <v>27</v>
      </c>
      <c r="D465" s="28">
        <f>VLOOKUP(A465,[2]v_02_2024!F:I,4,FALSE)</f>
        <v>1070.5</v>
      </c>
      <c r="E465" s="21">
        <f>VLOOKUP(A465,[2]s_02_2024!E:G,2,FALSE)</f>
        <v>6</v>
      </c>
      <c r="F465" s="28">
        <f>VLOOKUP(A465,[2]s_02_2024!E:G,3,FALSE)</f>
        <v>359.4</v>
      </c>
      <c r="G465" s="24">
        <f t="shared" si="47"/>
        <v>0.25134624798936983</v>
      </c>
      <c r="H465" s="21">
        <f t="shared" si="48"/>
        <v>33</v>
      </c>
      <c r="I465" s="28">
        <f t="shared" si="48"/>
        <v>1429.9</v>
      </c>
      <c r="J465" s="21">
        <f>VLOOKUP(A465,[2]v_02_2023!F:I,3,FALSE)</f>
        <v>12</v>
      </c>
      <c r="K465" s="28">
        <f>VLOOKUP(A465,[2]v_02_2023!F:I,4,FALSE)</f>
        <v>523.25</v>
      </c>
      <c r="L465" s="21">
        <f t="shared" si="49"/>
        <v>21</v>
      </c>
      <c r="M465" s="29">
        <f t="shared" si="49"/>
        <v>906.65000000000009</v>
      </c>
      <c r="N465" s="26">
        <f t="shared" si="50"/>
        <v>1.7327281414237938</v>
      </c>
    </row>
    <row r="466" spans="1:14" x14ac:dyDescent="0.25">
      <c r="A466" s="21" t="s">
        <v>129</v>
      </c>
      <c r="B466" s="22" t="s">
        <v>128</v>
      </c>
      <c r="C466">
        <v>0</v>
      </c>
      <c r="D466" s="28">
        <v>0</v>
      </c>
      <c r="E466" s="21">
        <v>0</v>
      </c>
      <c r="F466" s="28">
        <v>0</v>
      </c>
      <c r="G466" s="24"/>
      <c r="H466" s="21">
        <f t="shared" si="48"/>
        <v>0</v>
      </c>
      <c r="I466" s="28">
        <f t="shared" si="48"/>
        <v>0</v>
      </c>
      <c r="J466" s="21">
        <v>0</v>
      </c>
      <c r="K466" s="28">
        <v>0</v>
      </c>
      <c r="L466" s="21">
        <f t="shared" si="49"/>
        <v>0</v>
      </c>
      <c r="M466" s="29">
        <f t="shared" si="49"/>
        <v>0</v>
      </c>
      <c r="N466" s="26"/>
    </row>
    <row r="467" spans="1:14" x14ac:dyDescent="0.25">
      <c r="A467" s="21" t="s">
        <v>548</v>
      </c>
      <c r="B467" s="22" t="s">
        <v>547</v>
      </c>
      <c r="C467">
        <f>VLOOKUP(A467,[2]v_02_2024!F:I,3,FALSE)</f>
        <v>2</v>
      </c>
      <c r="D467" s="28">
        <f>VLOOKUP(A467,[2]v_02_2024!F:I,4,FALSE)</f>
        <v>38.74</v>
      </c>
      <c r="E467" s="21">
        <v>0</v>
      </c>
      <c r="F467" s="28">
        <v>0</v>
      </c>
      <c r="G467" s="24">
        <f t="shared" si="47"/>
        <v>0</v>
      </c>
      <c r="H467" s="21">
        <f t="shared" si="48"/>
        <v>2</v>
      </c>
      <c r="I467" s="28">
        <f t="shared" si="48"/>
        <v>38.74</v>
      </c>
      <c r="J467" s="21">
        <f>VLOOKUP(A467,[2]v_02_2023!F:I,3,FALSE)</f>
        <v>4</v>
      </c>
      <c r="K467" s="28">
        <f>VLOOKUP(A467,[2]v_02_2023!F:I,4,FALSE)</f>
        <v>81.55</v>
      </c>
      <c r="L467" s="21">
        <f t="shared" si="49"/>
        <v>-2</v>
      </c>
      <c r="M467" s="29">
        <f t="shared" si="49"/>
        <v>-42.809999999999995</v>
      </c>
      <c r="N467" s="26">
        <f t="shared" si="50"/>
        <v>-0.52495401594114033</v>
      </c>
    </row>
    <row r="468" spans="1:14" x14ac:dyDescent="0.25">
      <c r="A468" s="21" t="s">
        <v>131</v>
      </c>
      <c r="B468" s="22" t="s">
        <v>130</v>
      </c>
      <c r="C468">
        <v>0</v>
      </c>
      <c r="D468" s="28">
        <v>0</v>
      </c>
      <c r="E468" s="21">
        <v>0</v>
      </c>
      <c r="F468" s="28">
        <v>0</v>
      </c>
      <c r="G468" s="24"/>
      <c r="H468" s="21">
        <f t="shared" si="48"/>
        <v>0</v>
      </c>
      <c r="I468" s="28">
        <f t="shared" si="48"/>
        <v>0</v>
      </c>
      <c r="J468" s="21">
        <v>0</v>
      </c>
      <c r="K468" s="28">
        <v>0</v>
      </c>
      <c r="L468" s="21">
        <f t="shared" si="49"/>
        <v>0</v>
      </c>
      <c r="M468" s="29">
        <f t="shared" si="49"/>
        <v>0</v>
      </c>
      <c r="N468" s="26"/>
    </row>
    <row r="469" spans="1:14" x14ac:dyDescent="0.25">
      <c r="A469" s="21" t="s">
        <v>564</v>
      </c>
      <c r="B469" s="22" t="s">
        <v>563</v>
      </c>
      <c r="C469">
        <f>VLOOKUP(A469,[2]v_02_2024!F:I,3,FALSE)</f>
        <v>0</v>
      </c>
      <c r="D469" s="28">
        <f>VLOOKUP(A469,[2]v_02_2024!F:I,4,FALSE)</f>
        <v>0</v>
      </c>
      <c r="E469" s="21">
        <v>0</v>
      </c>
      <c r="F469" s="28">
        <v>0</v>
      </c>
      <c r="G469" s="24"/>
      <c r="H469" s="21">
        <f t="shared" si="48"/>
        <v>0</v>
      </c>
      <c r="I469" s="28">
        <f t="shared" si="48"/>
        <v>0</v>
      </c>
      <c r="J469" s="21">
        <f>VLOOKUP(A469,[2]v_02_2023!F:I,3,FALSE)</f>
        <v>0</v>
      </c>
      <c r="K469" s="28">
        <f>VLOOKUP(A469,[2]v_02_2023!F:I,4,FALSE)</f>
        <v>0</v>
      </c>
      <c r="L469" s="21">
        <f t="shared" si="49"/>
        <v>0</v>
      </c>
      <c r="M469" s="29">
        <f t="shared" si="49"/>
        <v>0</v>
      </c>
      <c r="N469" s="26"/>
    </row>
    <row r="470" spans="1:14" x14ac:dyDescent="0.25">
      <c r="A470" s="21" t="s">
        <v>566</v>
      </c>
      <c r="B470" s="22" t="s">
        <v>565</v>
      </c>
      <c r="C470">
        <v>0</v>
      </c>
      <c r="D470" s="28">
        <v>0</v>
      </c>
      <c r="E470" s="21">
        <f>VLOOKUP(A470,[2]s_02_2024!E:G,2,FALSE)</f>
        <v>28</v>
      </c>
      <c r="F470" s="28">
        <f>VLOOKUP(A470,[2]s_02_2024!E:G,3,FALSE)</f>
        <v>2237.2000000000007</v>
      </c>
      <c r="G470" s="24">
        <f t="shared" si="47"/>
        <v>1</v>
      </c>
      <c r="H470" s="21">
        <f t="shared" si="48"/>
        <v>28</v>
      </c>
      <c r="I470" s="28">
        <f t="shared" si="48"/>
        <v>2237.2000000000007</v>
      </c>
      <c r="J470" s="21">
        <v>0</v>
      </c>
      <c r="K470" s="28">
        <v>0</v>
      </c>
      <c r="L470" s="21">
        <f t="shared" si="49"/>
        <v>28</v>
      </c>
      <c r="M470" s="29">
        <f t="shared" si="49"/>
        <v>2237.2000000000007</v>
      </c>
      <c r="N470" s="26"/>
    </row>
    <row r="471" spans="1:14" x14ac:dyDescent="0.25">
      <c r="A471" s="21" t="s">
        <v>133</v>
      </c>
      <c r="B471" s="22" t="s">
        <v>132</v>
      </c>
      <c r="C471">
        <v>0</v>
      </c>
      <c r="D471" s="28">
        <v>0</v>
      </c>
      <c r="E471" s="21">
        <f>VLOOKUP(A471,[2]s_02_2024!E:G,2,FALSE)</f>
        <v>1</v>
      </c>
      <c r="F471" s="28">
        <f>VLOOKUP(A471,[2]s_02_2024!E:G,3,FALSE)</f>
        <v>49.9</v>
      </c>
      <c r="G471" s="24">
        <f t="shared" si="47"/>
        <v>1</v>
      </c>
      <c r="H471" s="21">
        <f t="shared" si="48"/>
        <v>1</v>
      </c>
      <c r="I471" s="28">
        <f t="shared" si="48"/>
        <v>49.9</v>
      </c>
      <c r="J471" s="21">
        <v>0</v>
      </c>
      <c r="K471" s="28">
        <v>0</v>
      </c>
      <c r="L471" s="21">
        <f t="shared" si="49"/>
        <v>1</v>
      </c>
      <c r="M471" s="29">
        <f t="shared" si="49"/>
        <v>49.9</v>
      </c>
      <c r="N471" s="26"/>
    </row>
    <row r="472" spans="1:14" x14ac:dyDescent="0.25">
      <c r="A472" s="21" t="s">
        <v>135</v>
      </c>
      <c r="B472" s="22" t="s">
        <v>134</v>
      </c>
      <c r="C472">
        <f>VLOOKUP(A472,[2]v_02_2024!F:I,3,FALSE)</f>
        <v>9</v>
      </c>
      <c r="D472" s="28">
        <f>VLOOKUP(A472,[2]v_02_2024!F:I,4,FALSE)</f>
        <v>207.39</v>
      </c>
      <c r="E472" s="21">
        <v>0</v>
      </c>
      <c r="F472" s="28">
        <v>0</v>
      </c>
      <c r="G472" s="24">
        <f t="shared" si="47"/>
        <v>0</v>
      </c>
      <c r="H472" s="21">
        <f t="shared" si="48"/>
        <v>9</v>
      </c>
      <c r="I472" s="28">
        <f t="shared" si="48"/>
        <v>207.39</v>
      </c>
      <c r="J472" s="21">
        <f>VLOOKUP(A472,[2]v_02_2023!F:I,3,FALSE)</f>
        <v>16</v>
      </c>
      <c r="K472" s="28">
        <f>VLOOKUP(A472,[2]v_02_2023!F:I,4,FALSE)</f>
        <v>382.95</v>
      </c>
      <c r="L472" s="21">
        <f t="shared" si="49"/>
        <v>-7</v>
      </c>
      <c r="M472" s="29">
        <f t="shared" si="49"/>
        <v>-175.56</v>
      </c>
      <c r="N472" s="26">
        <f t="shared" si="50"/>
        <v>-0.45844104974539757</v>
      </c>
    </row>
    <row r="473" spans="1:14" x14ac:dyDescent="0.25">
      <c r="A473" s="21" t="s">
        <v>520</v>
      </c>
      <c r="B473" s="22" t="s">
        <v>519</v>
      </c>
      <c r="C473">
        <f>VLOOKUP(A473,[2]v_02_2024!F:I,3,FALSE)</f>
        <v>-6</v>
      </c>
      <c r="D473" s="28">
        <f>VLOOKUP(A473,[2]v_02_2024!F:I,4,FALSE)</f>
        <v>-377.07</v>
      </c>
      <c r="E473" s="21">
        <v>0</v>
      </c>
      <c r="F473" s="28">
        <v>0</v>
      </c>
      <c r="G473" s="24">
        <f t="shared" si="47"/>
        <v>0</v>
      </c>
      <c r="H473" s="21">
        <f t="shared" si="48"/>
        <v>-6</v>
      </c>
      <c r="I473" s="28">
        <f t="shared" si="48"/>
        <v>-377.07</v>
      </c>
      <c r="J473" s="21">
        <f>VLOOKUP(A473,[2]v_02_2023!F:I,3,FALSE)</f>
        <v>59</v>
      </c>
      <c r="K473" s="28">
        <f>VLOOKUP(A473,[2]v_02_2023!F:I,4,FALSE)</f>
        <v>3622.01</v>
      </c>
      <c r="L473" s="21">
        <f t="shared" si="49"/>
        <v>-65</v>
      </c>
      <c r="M473" s="29">
        <f t="shared" si="49"/>
        <v>-3999.0800000000004</v>
      </c>
      <c r="N473" s="26">
        <f t="shared" si="50"/>
        <v>-1.1041051791684728</v>
      </c>
    </row>
    <row r="474" spans="1:14" x14ac:dyDescent="0.25">
      <c r="A474" s="21" t="s">
        <v>688</v>
      </c>
      <c r="B474" s="22" t="s">
        <v>689</v>
      </c>
      <c r="C474">
        <v>0</v>
      </c>
      <c r="D474" s="28">
        <v>0</v>
      </c>
      <c r="E474" s="21">
        <v>0</v>
      </c>
      <c r="F474" s="28">
        <v>0</v>
      </c>
      <c r="G474" s="24"/>
      <c r="H474" s="21">
        <f t="shared" si="48"/>
        <v>0</v>
      </c>
      <c r="I474" s="28">
        <f t="shared" si="48"/>
        <v>0</v>
      </c>
      <c r="J474" s="21">
        <v>0</v>
      </c>
      <c r="K474" s="28">
        <v>0</v>
      </c>
      <c r="L474" s="21">
        <f t="shared" si="49"/>
        <v>0</v>
      </c>
      <c r="M474" s="29">
        <f t="shared" si="49"/>
        <v>0</v>
      </c>
      <c r="N474" s="26"/>
    </row>
    <row r="475" spans="1:14" x14ac:dyDescent="0.25">
      <c r="A475" s="21" t="s">
        <v>137</v>
      </c>
      <c r="B475" s="22" t="s">
        <v>136</v>
      </c>
      <c r="C475">
        <f>VLOOKUP(A475,[2]v_02_2024!F:I,3,FALSE)</f>
        <v>27</v>
      </c>
      <c r="D475" s="28">
        <f>VLOOKUP(A475,[2]v_02_2024!F:I,4,FALSE)</f>
        <v>1547.1</v>
      </c>
      <c r="E475" s="21">
        <v>0</v>
      </c>
      <c r="F475" s="28">
        <v>0</v>
      </c>
      <c r="G475" s="24">
        <f t="shared" si="47"/>
        <v>0</v>
      </c>
      <c r="H475" s="21">
        <f t="shared" si="48"/>
        <v>27</v>
      </c>
      <c r="I475" s="28">
        <f t="shared" si="48"/>
        <v>1547.1</v>
      </c>
      <c r="J475" s="21">
        <f>VLOOKUP(A475,[2]v_02_2023!F:I,3,FALSE)</f>
        <v>15</v>
      </c>
      <c r="K475" s="28">
        <f>VLOOKUP(A475,[2]v_02_2023!F:I,4,FALSE)</f>
        <v>847.2</v>
      </c>
      <c r="L475" s="21">
        <f t="shared" si="49"/>
        <v>12</v>
      </c>
      <c r="M475" s="29">
        <f t="shared" si="49"/>
        <v>699.89999999999986</v>
      </c>
      <c r="N475" s="26">
        <f t="shared" si="50"/>
        <v>0.82613314447592046</v>
      </c>
    </row>
    <row r="476" spans="1:14" x14ac:dyDescent="0.25">
      <c r="A476" s="21" t="s">
        <v>139</v>
      </c>
      <c r="B476" s="22" t="s">
        <v>138</v>
      </c>
      <c r="C476">
        <f>VLOOKUP(A476,[2]v_02_2024!F:I,3,FALSE)</f>
        <v>638</v>
      </c>
      <c r="D476" s="28">
        <f>VLOOKUP(A476,[2]v_02_2024!F:I,4,FALSE)</f>
        <v>8094.4</v>
      </c>
      <c r="E476" s="21">
        <v>0</v>
      </c>
      <c r="F476" s="28">
        <v>0</v>
      </c>
      <c r="G476" s="24">
        <f t="shared" si="47"/>
        <v>0</v>
      </c>
      <c r="H476" s="21">
        <f t="shared" si="48"/>
        <v>638</v>
      </c>
      <c r="I476" s="28">
        <f t="shared" si="48"/>
        <v>8094.4</v>
      </c>
      <c r="J476" s="21">
        <f>VLOOKUP(A476,[2]v_02_2023!F:I,3,FALSE)</f>
        <v>2063</v>
      </c>
      <c r="K476" s="28">
        <f>VLOOKUP(A476,[2]v_02_2023!F:I,4,FALSE)</f>
        <v>25188.39</v>
      </c>
      <c r="L476" s="21">
        <f t="shared" si="49"/>
        <v>-1425</v>
      </c>
      <c r="M476" s="29">
        <f t="shared" si="49"/>
        <v>-17093.989999999998</v>
      </c>
      <c r="N476" s="26">
        <f t="shared" si="50"/>
        <v>-0.67864559822997816</v>
      </c>
    </row>
    <row r="477" spans="1:14" x14ac:dyDescent="0.25">
      <c r="A477" s="21" t="s">
        <v>484</v>
      </c>
      <c r="B477" s="22" t="s">
        <v>483</v>
      </c>
      <c r="C477">
        <f>VLOOKUP(A477,[2]v_02_2024!F:I,3,FALSE)</f>
        <v>4</v>
      </c>
      <c r="D477" s="28">
        <f>VLOOKUP(A477,[2]v_02_2024!F:I,4,FALSE)</f>
        <v>92.26</v>
      </c>
      <c r="E477" s="21">
        <v>0</v>
      </c>
      <c r="F477" s="28">
        <v>0</v>
      </c>
      <c r="G477" s="24">
        <f t="shared" si="47"/>
        <v>0</v>
      </c>
      <c r="H477" s="21">
        <f t="shared" si="48"/>
        <v>4</v>
      </c>
      <c r="I477" s="28">
        <f t="shared" si="48"/>
        <v>92.26</v>
      </c>
      <c r="J477" s="21">
        <f>VLOOKUP(A477,[2]v_02_2023!F:I,3,FALSE)</f>
        <v>5</v>
      </c>
      <c r="K477" s="28">
        <f>VLOOKUP(A477,[2]v_02_2023!F:I,4,FALSE)</f>
        <v>89.99</v>
      </c>
      <c r="L477" s="21">
        <f t="shared" si="49"/>
        <v>-1</v>
      </c>
      <c r="M477" s="29">
        <f t="shared" si="49"/>
        <v>2.2700000000000102</v>
      </c>
      <c r="N477" s="26">
        <f t="shared" si="50"/>
        <v>2.5225025002778203E-2</v>
      </c>
    </row>
    <row r="478" spans="1:14" x14ac:dyDescent="0.25">
      <c r="A478" s="21" t="s">
        <v>141</v>
      </c>
      <c r="B478" s="22" t="s">
        <v>140</v>
      </c>
      <c r="C478">
        <v>0</v>
      </c>
      <c r="D478" s="28">
        <v>0</v>
      </c>
      <c r="E478" s="21">
        <f>VLOOKUP(A478,[2]s_02_2024!E:G,2,FALSE)</f>
        <v>79</v>
      </c>
      <c r="F478" s="28">
        <f>VLOOKUP(A478,[2]s_02_2024!E:G,3,FALSE)</f>
        <v>4802.1000000000004</v>
      </c>
      <c r="G478" s="24">
        <f t="shared" si="47"/>
        <v>1</v>
      </c>
      <c r="H478" s="21">
        <f t="shared" si="48"/>
        <v>79</v>
      </c>
      <c r="I478" s="28">
        <f t="shared" si="48"/>
        <v>4802.1000000000004</v>
      </c>
      <c r="J478" s="21">
        <v>0</v>
      </c>
      <c r="K478" s="28">
        <v>0</v>
      </c>
      <c r="L478" s="21">
        <f t="shared" si="49"/>
        <v>79</v>
      </c>
      <c r="M478" s="29">
        <f t="shared" si="49"/>
        <v>4802.1000000000004</v>
      </c>
      <c r="N478" s="26"/>
    </row>
    <row r="479" spans="1:14" x14ac:dyDescent="0.25">
      <c r="A479" s="21" t="s">
        <v>143</v>
      </c>
      <c r="B479" s="22" t="s">
        <v>142</v>
      </c>
      <c r="C479">
        <f>VLOOKUP(A479,[2]v_02_2024!F:I,3,FALSE)</f>
        <v>0</v>
      </c>
      <c r="D479" s="28">
        <f>VLOOKUP(A479,[2]v_02_2024!F:I,4,FALSE)</f>
        <v>0</v>
      </c>
      <c r="E479" s="21">
        <f>VLOOKUP(A479,[2]s_02_2024!E:G,2,FALSE)</f>
        <v>69</v>
      </c>
      <c r="F479" s="28">
        <f>VLOOKUP(A479,[2]s_02_2024!E:G,3,FALSE)</f>
        <v>2063.1000000000026</v>
      </c>
      <c r="G479" s="24">
        <f t="shared" si="47"/>
        <v>1</v>
      </c>
      <c r="H479" s="21">
        <f t="shared" si="48"/>
        <v>69</v>
      </c>
      <c r="I479" s="28">
        <f t="shared" si="48"/>
        <v>2063.1000000000026</v>
      </c>
      <c r="J479" s="21">
        <f>VLOOKUP(A479,[2]v_02_2023!F:I,3,FALSE)</f>
        <v>664</v>
      </c>
      <c r="K479" s="28">
        <f>VLOOKUP(A479,[2]v_02_2023!F:I,4,FALSE)</f>
        <v>13551.02</v>
      </c>
      <c r="L479" s="21">
        <f t="shared" si="49"/>
        <v>-595</v>
      </c>
      <c r="M479" s="29">
        <f t="shared" si="49"/>
        <v>-11487.919999999998</v>
      </c>
      <c r="N479" s="26">
        <f t="shared" si="50"/>
        <v>-0.84775315806485396</v>
      </c>
    </row>
    <row r="480" spans="1:14" x14ac:dyDescent="0.25">
      <c r="A480" s="21" t="s">
        <v>145</v>
      </c>
      <c r="B480" s="22" t="s">
        <v>144</v>
      </c>
      <c r="C480">
        <f>VLOOKUP(A480,[2]v_02_2024!F:I,3,FALSE)</f>
        <v>11</v>
      </c>
      <c r="D480" s="28">
        <f>VLOOKUP(A480,[2]v_02_2024!F:I,4,FALSE)</f>
        <v>277.98</v>
      </c>
      <c r="E480" s="21">
        <v>0</v>
      </c>
      <c r="F480" s="28">
        <v>0</v>
      </c>
      <c r="G480" s="24">
        <f t="shared" si="47"/>
        <v>0</v>
      </c>
      <c r="H480" s="21">
        <f t="shared" si="48"/>
        <v>11</v>
      </c>
      <c r="I480" s="28">
        <f t="shared" si="48"/>
        <v>277.98</v>
      </c>
      <c r="J480" s="21">
        <f>VLOOKUP(A480,[2]v_02_2023!F:I,3,FALSE)</f>
        <v>100</v>
      </c>
      <c r="K480" s="28">
        <f>VLOOKUP(A480,[2]v_02_2023!F:I,4,FALSE)</f>
        <v>2451</v>
      </c>
      <c r="L480" s="21">
        <f t="shared" si="49"/>
        <v>-89</v>
      </c>
      <c r="M480" s="29">
        <f t="shared" si="49"/>
        <v>-2173.02</v>
      </c>
      <c r="N480" s="26">
        <f t="shared" si="50"/>
        <v>-0.88658506731946141</v>
      </c>
    </row>
    <row r="481" spans="1:14" x14ac:dyDescent="0.25">
      <c r="A481" s="21" t="s">
        <v>147</v>
      </c>
      <c r="B481" s="22" t="s">
        <v>146</v>
      </c>
      <c r="C481">
        <f>VLOOKUP(A481,[2]v_02_2024!F:I,3,FALSE)</f>
        <v>7</v>
      </c>
      <c r="D481" s="28">
        <f>VLOOKUP(A481,[2]v_02_2024!F:I,4,FALSE)</f>
        <v>34.369999999999997</v>
      </c>
      <c r="E481" s="21">
        <v>0</v>
      </c>
      <c r="F481" s="28">
        <v>0</v>
      </c>
      <c r="G481" s="24">
        <f t="shared" si="47"/>
        <v>0</v>
      </c>
      <c r="H481" s="21">
        <f t="shared" si="48"/>
        <v>7</v>
      </c>
      <c r="I481" s="28">
        <f t="shared" si="48"/>
        <v>34.369999999999997</v>
      </c>
      <c r="J481" s="21">
        <f>VLOOKUP(A481,[2]v_02_2023!F:I,3,FALSE)</f>
        <v>38</v>
      </c>
      <c r="K481" s="28">
        <f>VLOOKUP(A481,[2]v_02_2023!F:I,4,FALSE)</f>
        <v>213.74</v>
      </c>
      <c r="L481" s="21">
        <f t="shared" si="49"/>
        <v>-31</v>
      </c>
      <c r="M481" s="29">
        <f t="shared" si="49"/>
        <v>-179.37</v>
      </c>
      <c r="N481" s="26">
        <f t="shared" si="50"/>
        <v>-0.83919715542247586</v>
      </c>
    </row>
    <row r="482" spans="1:14" x14ac:dyDescent="0.25">
      <c r="A482" s="21" t="s">
        <v>149</v>
      </c>
      <c r="B482" s="22" t="s">
        <v>148</v>
      </c>
      <c r="C482">
        <f>VLOOKUP(A482,[2]v_02_2024!F:I,3,FALSE)</f>
        <v>0</v>
      </c>
      <c r="D482" s="28">
        <f>VLOOKUP(A482,[2]v_02_2024!F:I,4,FALSE)</f>
        <v>0</v>
      </c>
      <c r="E482" s="21">
        <v>0</v>
      </c>
      <c r="F482" s="28">
        <v>0</v>
      </c>
      <c r="G482" s="24"/>
      <c r="H482" s="21">
        <f t="shared" si="48"/>
        <v>0</v>
      </c>
      <c r="I482" s="28">
        <f t="shared" si="48"/>
        <v>0</v>
      </c>
      <c r="J482" s="21">
        <f>VLOOKUP(A482,[2]v_02_2023!F:I,3,FALSE)</f>
        <v>52</v>
      </c>
      <c r="K482" s="28">
        <f>VLOOKUP(A482,[2]v_02_2023!F:I,4,FALSE)</f>
        <v>381.98</v>
      </c>
      <c r="L482" s="21">
        <f t="shared" si="49"/>
        <v>-52</v>
      </c>
      <c r="M482" s="29">
        <f t="shared" si="49"/>
        <v>-381.98</v>
      </c>
      <c r="N482" s="26">
        <f t="shared" si="50"/>
        <v>-1</v>
      </c>
    </row>
    <row r="483" spans="1:14" x14ac:dyDescent="0.25">
      <c r="A483" s="21" t="s">
        <v>550</v>
      </c>
      <c r="B483" s="22" t="s">
        <v>549</v>
      </c>
      <c r="C483">
        <f>VLOOKUP(A483,[2]v_02_2024!F:I,3,FALSE)</f>
        <v>16</v>
      </c>
      <c r="D483" s="28">
        <f>VLOOKUP(A483,[2]v_02_2024!F:I,4,FALSE)</f>
        <v>104.8</v>
      </c>
      <c r="E483" s="21">
        <v>0</v>
      </c>
      <c r="F483" s="28">
        <v>0</v>
      </c>
      <c r="G483" s="24">
        <f t="shared" si="47"/>
        <v>0</v>
      </c>
      <c r="H483" s="21">
        <f t="shared" si="48"/>
        <v>16</v>
      </c>
      <c r="I483" s="28">
        <f t="shared" si="48"/>
        <v>104.8</v>
      </c>
      <c r="J483" s="21">
        <f>VLOOKUP(A483,[2]v_02_2023!F:I,3,FALSE)</f>
        <v>136</v>
      </c>
      <c r="K483" s="28">
        <f>VLOOKUP(A483,[2]v_02_2023!F:I,4,FALSE)</f>
        <v>484.94</v>
      </c>
      <c r="L483" s="21">
        <f t="shared" si="49"/>
        <v>-120</v>
      </c>
      <c r="M483" s="29">
        <f t="shared" si="49"/>
        <v>-380.14</v>
      </c>
      <c r="N483" s="26">
        <f t="shared" si="50"/>
        <v>-0.78389079061327172</v>
      </c>
    </row>
    <row r="484" spans="1:14" x14ac:dyDescent="0.25">
      <c r="A484" s="21" t="s">
        <v>151</v>
      </c>
      <c r="B484" s="22" t="s">
        <v>150</v>
      </c>
      <c r="C484">
        <f>VLOOKUP(A484,[2]v_02_2024!F:I,3,FALSE)</f>
        <v>30</v>
      </c>
      <c r="D484" s="28">
        <f>VLOOKUP(A484,[2]v_02_2024!F:I,4,FALSE)</f>
        <v>196.5</v>
      </c>
      <c r="E484" s="21">
        <v>0</v>
      </c>
      <c r="F484" s="28">
        <v>0</v>
      </c>
      <c r="G484" s="24">
        <f t="shared" si="47"/>
        <v>0</v>
      </c>
      <c r="H484" s="21">
        <f t="shared" si="48"/>
        <v>30</v>
      </c>
      <c r="I484" s="28">
        <f t="shared" si="48"/>
        <v>196.5</v>
      </c>
      <c r="J484" s="21">
        <f>VLOOKUP(A484,[2]v_02_2023!F:I,3,FALSE)</f>
        <v>347</v>
      </c>
      <c r="K484" s="28">
        <f>VLOOKUP(A484,[2]v_02_2023!F:I,4,FALSE)</f>
        <v>1277.2</v>
      </c>
      <c r="L484" s="21">
        <f t="shared" si="49"/>
        <v>-317</v>
      </c>
      <c r="M484" s="29">
        <f t="shared" si="49"/>
        <v>-1080.7</v>
      </c>
      <c r="N484" s="26">
        <f t="shared" si="50"/>
        <v>-0.84614782336360794</v>
      </c>
    </row>
    <row r="485" spans="1:14" x14ac:dyDescent="0.25">
      <c r="A485" s="21" t="s">
        <v>153</v>
      </c>
      <c r="B485" s="22" t="s">
        <v>152</v>
      </c>
      <c r="C485">
        <f>VLOOKUP(A485,[2]v_02_2024!F:I,3,FALSE)</f>
        <v>118</v>
      </c>
      <c r="D485" s="28">
        <f>VLOOKUP(A485,[2]v_02_2024!F:I,4,FALSE)</f>
        <v>694.56</v>
      </c>
      <c r="E485" s="21">
        <v>0</v>
      </c>
      <c r="F485" s="28">
        <v>0</v>
      </c>
      <c r="G485" s="24">
        <f t="shared" si="47"/>
        <v>0</v>
      </c>
      <c r="H485" s="21">
        <f t="shared" si="48"/>
        <v>118</v>
      </c>
      <c r="I485" s="28">
        <f t="shared" si="48"/>
        <v>694.56</v>
      </c>
      <c r="J485" s="21">
        <f>VLOOKUP(A485,[2]v_02_2023!F:I,3,FALSE)</f>
        <v>259</v>
      </c>
      <c r="K485" s="28">
        <f>VLOOKUP(A485,[2]v_02_2023!F:I,4,FALSE)</f>
        <v>952.03</v>
      </c>
      <c r="L485" s="21">
        <f t="shared" si="49"/>
        <v>-141</v>
      </c>
      <c r="M485" s="29">
        <f t="shared" si="49"/>
        <v>-257.47000000000003</v>
      </c>
      <c r="N485" s="26">
        <f t="shared" si="50"/>
        <v>-0.27044315830383497</v>
      </c>
    </row>
    <row r="486" spans="1:14" x14ac:dyDescent="0.25">
      <c r="A486" s="21" t="s">
        <v>486</v>
      </c>
      <c r="B486" s="22" t="s">
        <v>485</v>
      </c>
      <c r="C486">
        <f>VLOOKUP(A486,[2]v_02_2024!F:I,3,FALSE)</f>
        <v>0</v>
      </c>
      <c r="D486" s="28">
        <f>VLOOKUP(A486,[2]v_02_2024!F:I,4,FALSE)</f>
        <v>0</v>
      </c>
      <c r="E486" s="21">
        <v>0</v>
      </c>
      <c r="F486" s="28">
        <v>0</v>
      </c>
      <c r="G486" s="24"/>
      <c r="H486" s="21">
        <f t="shared" si="48"/>
        <v>0</v>
      </c>
      <c r="I486" s="28">
        <f t="shared" si="48"/>
        <v>0</v>
      </c>
      <c r="J486" s="21">
        <v>0</v>
      </c>
      <c r="K486" s="28">
        <v>0</v>
      </c>
      <c r="L486" s="21">
        <f t="shared" si="49"/>
        <v>0</v>
      </c>
      <c r="M486" s="29">
        <f t="shared" si="49"/>
        <v>0</v>
      </c>
      <c r="N486" s="26"/>
    </row>
    <row r="487" spans="1:14" x14ac:dyDescent="0.25">
      <c r="A487" s="21" t="s">
        <v>568</v>
      </c>
      <c r="B487" s="22" t="s">
        <v>567</v>
      </c>
      <c r="C487">
        <f>VLOOKUP(A487,[2]v_02_2024!F:I,3,FALSE)</f>
        <v>15</v>
      </c>
      <c r="D487" s="28">
        <f>VLOOKUP(A487,[2]v_02_2024!F:I,4,FALSE)</f>
        <v>218.39</v>
      </c>
      <c r="E487" s="21">
        <v>0</v>
      </c>
      <c r="F487" s="28">
        <v>0</v>
      </c>
      <c r="G487" s="24">
        <f t="shared" si="47"/>
        <v>0</v>
      </c>
      <c r="H487" s="21">
        <f t="shared" si="48"/>
        <v>15</v>
      </c>
      <c r="I487" s="28">
        <f t="shared" si="48"/>
        <v>218.39</v>
      </c>
      <c r="J487" s="21">
        <f>VLOOKUP(A487,[2]v_02_2023!F:I,3,FALSE)</f>
        <v>26</v>
      </c>
      <c r="K487" s="28">
        <f>VLOOKUP(A487,[2]v_02_2023!F:I,4,FALSE)</f>
        <v>410.65</v>
      </c>
      <c r="L487" s="21">
        <f t="shared" si="49"/>
        <v>-11</v>
      </c>
      <c r="M487" s="29">
        <f t="shared" si="49"/>
        <v>-192.26</v>
      </c>
      <c r="N487" s="26">
        <f t="shared" si="50"/>
        <v>-0.46818458541336905</v>
      </c>
    </row>
    <row r="488" spans="1:14" x14ac:dyDescent="0.25">
      <c r="A488" s="21" t="s">
        <v>155</v>
      </c>
      <c r="B488" s="22" t="s">
        <v>154</v>
      </c>
      <c r="C488">
        <f>VLOOKUP(A488,[2]v_02_2024!F:I,3,FALSE)</f>
        <v>3</v>
      </c>
      <c r="D488" s="28">
        <f>VLOOKUP(A488,[2]v_02_2024!F:I,4,FALSE)</f>
        <v>21.44</v>
      </c>
      <c r="E488" s="21">
        <v>0</v>
      </c>
      <c r="F488" s="28">
        <v>0</v>
      </c>
      <c r="G488" s="24">
        <f t="shared" si="47"/>
        <v>0</v>
      </c>
      <c r="H488" s="21">
        <f t="shared" si="48"/>
        <v>3</v>
      </c>
      <c r="I488" s="28">
        <f t="shared" si="48"/>
        <v>21.44</v>
      </c>
      <c r="J488" s="21">
        <v>0</v>
      </c>
      <c r="K488" s="28">
        <v>0</v>
      </c>
      <c r="L488" s="21">
        <f t="shared" si="49"/>
        <v>3</v>
      </c>
      <c r="M488" s="29">
        <f t="shared" si="49"/>
        <v>21.44</v>
      </c>
      <c r="N488" s="26"/>
    </row>
    <row r="489" spans="1:14" x14ac:dyDescent="0.25">
      <c r="A489" s="21" t="s">
        <v>552</v>
      </c>
      <c r="B489" s="22" t="s">
        <v>551</v>
      </c>
      <c r="C489">
        <f>VLOOKUP(A489,[2]v_02_2024!F:I,3,FALSE)</f>
        <v>9</v>
      </c>
      <c r="D489" s="28">
        <f>VLOOKUP(A489,[2]v_02_2024!F:I,4,FALSE)</f>
        <v>220.36</v>
      </c>
      <c r="E489" s="21">
        <v>0</v>
      </c>
      <c r="F489" s="28">
        <v>0</v>
      </c>
      <c r="G489" s="24">
        <f t="shared" si="47"/>
        <v>0</v>
      </c>
      <c r="H489" s="21">
        <f t="shared" si="48"/>
        <v>9</v>
      </c>
      <c r="I489" s="28">
        <f t="shared" si="48"/>
        <v>220.36</v>
      </c>
      <c r="J489" s="21">
        <f>VLOOKUP(A489,[2]v_02_2023!F:I,3,FALSE)</f>
        <v>46</v>
      </c>
      <c r="K489" s="28">
        <f>VLOOKUP(A489,[2]v_02_2023!F:I,4,FALSE)</f>
        <v>1127.46</v>
      </c>
      <c r="L489" s="21">
        <f t="shared" si="49"/>
        <v>-37</v>
      </c>
      <c r="M489" s="29">
        <f t="shared" si="49"/>
        <v>-907.1</v>
      </c>
      <c r="N489" s="26">
        <f t="shared" si="50"/>
        <v>-0.80455182445496953</v>
      </c>
    </row>
    <row r="490" spans="1:14" x14ac:dyDescent="0.25">
      <c r="A490" s="21" t="s">
        <v>157</v>
      </c>
      <c r="B490" s="22" t="s">
        <v>156</v>
      </c>
      <c r="C490">
        <f>VLOOKUP(A490,[2]v_02_2024!F:I,3,FALSE)</f>
        <v>6</v>
      </c>
      <c r="D490" s="28">
        <f>VLOOKUP(A490,[2]v_02_2024!F:I,4,FALSE)</f>
        <v>97.86</v>
      </c>
      <c r="E490" s="21">
        <v>0</v>
      </c>
      <c r="F490" s="28">
        <v>0</v>
      </c>
      <c r="G490" s="24">
        <f t="shared" si="47"/>
        <v>0</v>
      </c>
      <c r="H490" s="21">
        <f t="shared" si="48"/>
        <v>6</v>
      </c>
      <c r="I490" s="28">
        <f t="shared" si="48"/>
        <v>97.86</v>
      </c>
      <c r="J490" s="21">
        <v>0</v>
      </c>
      <c r="K490" s="28">
        <v>0</v>
      </c>
      <c r="L490" s="21">
        <f t="shared" si="49"/>
        <v>6</v>
      </c>
      <c r="M490" s="29">
        <f t="shared" si="49"/>
        <v>97.86</v>
      </c>
      <c r="N490" s="26"/>
    </row>
    <row r="491" spans="1:14" x14ac:dyDescent="0.25">
      <c r="A491" s="21" t="s">
        <v>159</v>
      </c>
      <c r="B491" s="22" t="s">
        <v>158</v>
      </c>
      <c r="C491">
        <v>0</v>
      </c>
      <c r="D491" s="28">
        <v>0</v>
      </c>
      <c r="E491" s="21">
        <v>0</v>
      </c>
      <c r="F491" s="28">
        <v>0</v>
      </c>
      <c r="G491" s="24"/>
      <c r="H491" s="21">
        <f t="shared" si="48"/>
        <v>0</v>
      </c>
      <c r="I491" s="28">
        <f t="shared" si="48"/>
        <v>0</v>
      </c>
      <c r="J491" s="21">
        <v>0</v>
      </c>
      <c r="K491" s="28">
        <v>0</v>
      </c>
      <c r="L491" s="21">
        <f t="shared" si="49"/>
        <v>0</v>
      </c>
      <c r="M491" s="29">
        <f t="shared" si="49"/>
        <v>0</v>
      </c>
      <c r="N491" s="26"/>
    </row>
    <row r="492" spans="1:14" x14ac:dyDescent="0.25">
      <c r="A492" s="21" t="s">
        <v>161</v>
      </c>
      <c r="B492" s="22" t="s">
        <v>160</v>
      </c>
      <c r="C492">
        <f>VLOOKUP(A492,[2]v_02_2024!F:I,3,FALSE)</f>
        <v>66</v>
      </c>
      <c r="D492" s="28">
        <f>VLOOKUP(A492,[2]v_02_2024!F:I,4,FALSE)</f>
        <v>427.54</v>
      </c>
      <c r="E492" s="21">
        <v>0</v>
      </c>
      <c r="F492" s="28">
        <v>0</v>
      </c>
      <c r="G492" s="24">
        <f t="shared" ref="G492:G555" si="51">F492/I492</f>
        <v>0</v>
      </c>
      <c r="H492" s="21">
        <f t="shared" ref="H492:I555" si="52">E492+C492</f>
        <v>66</v>
      </c>
      <c r="I492" s="28">
        <f t="shared" si="52"/>
        <v>427.54</v>
      </c>
      <c r="J492" s="21">
        <f>VLOOKUP(A492,[2]v_02_2023!F:I,3,FALSE)</f>
        <v>139</v>
      </c>
      <c r="K492" s="28">
        <f>VLOOKUP(A492,[2]v_02_2023!F:I,4,FALSE)</f>
        <v>967.96</v>
      </c>
      <c r="L492" s="21">
        <f t="shared" ref="L492:M555" si="53">H492-J492</f>
        <v>-73</v>
      </c>
      <c r="M492" s="29">
        <f t="shared" si="53"/>
        <v>-540.42000000000007</v>
      </c>
      <c r="N492" s="26">
        <f t="shared" ref="N492:N555" si="54">M492/K492</f>
        <v>-0.55830819455349401</v>
      </c>
    </row>
    <row r="493" spans="1:14" x14ac:dyDescent="0.25">
      <c r="A493" s="21" t="s">
        <v>163</v>
      </c>
      <c r="B493" s="22" t="s">
        <v>162</v>
      </c>
      <c r="C493">
        <f>VLOOKUP(A493,[2]v_02_2024!F:I,3,FALSE)</f>
        <v>4</v>
      </c>
      <c r="D493" s="28">
        <f>VLOOKUP(A493,[2]v_02_2024!F:I,4,FALSE)</f>
        <v>58.68</v>
      </c>
      <c r="E493" s="21">
        <v>0</v>
      </c>
      <c r="F493" s="28">
        <v>0</v>
      </c>
      <c r="G493" s="24">
        <f t="shared" si="51"/>
        <v>0</v>
      </c>
      <c r="H493" s="21">
        <f t="shared" si="52"/>
        <v>4</v>
      </c>
      <c r="I493" s="28">
        <f t="shared" si="52"/>
        <v>58.68</v>
      </c>
      <c r="J493" s="21">
        <f>VLOOKUP(A493,[2]v_02_2023!F:I,3,FALSE)</f>
        <v>846</v>
      </c>
      <c r="K493" s="28">
        <f>VLOOKUP(A493,[2]v_02_2023!F:I,4,FALSE)</f>
        <v>10327.56</v>
      </c>
      <c r="L493" s="21">
        <f t="shared" si="53"/>
        <v>-842</v>
      </c>
      <c r="M493" s="29">
        <f t="shared" si="53"/>
        <v>-10268.879999999999</v>
      </c>
      <c r="N493" s="26">
        <f t="shared" si="54"/>
        <v>-0.99431811579889151</v>
      </c>
    </row>
    <row r="494" spans="1:14" x14ac:dyDescent="0.25">
      <c r="A494" s="21" t="s">
        <v>165</v>
      </c>
      <c r="B494" s="22" t="s">
        <v>164</v>
      </c>
      <c r="C494">
        <f>VLOOKUP(A494,[2]v_02_2024!F:I,3,FALSE)</f>
        <v>2</v>
      </c>
      <c r="D494" s="28">
        <f>VLOOKUP(A494,[2]v_02_2024!F:I,4,FALSE)</f>
        <v>40.82</v>
      </c>
      <c r="E494" s="21">
        <v>0</v>
      </c>
      <c r="F494" s="28">
        <v>0</v>
      </c>
      <c r="G494" s="24">
        <f t="shared" si="51"/>
        <v>0</v>
      </c>
      <c r="H494" s="21">
        <f t="shared" si="52"/>
        <v>2</v>
      </c>
      <c r="I494" s="28">
        <f t="shared" si="52"/>
        <v>40.82</v>
      </c>
      <c r="J494" s="21">
        <v>0</v>
      </c>
      <c r="K494" s="28">
        <v>0</v>
      </c>
      <c r="L494" s="21">
        <f t="shared" si="53"/>
        <v>2</v>
      </c>
      <c r="M494" s="29">
        <f t="shared" si="53"/>
        <v>40.82</v>
      </c>
      <c r="N494" s="26"/>
    </row>
    <row r="495" spans="1:14" x14ac:dyDescent="0.25">
      <c r="A495" s="21" t="s">
        <v>167</v>
      </c>
      <c r="B495" s="22" t="s">
        <v>166</v>
      </c>
      <c r="C495">
        <f>VLOOKUP(A495,[2]v_02_2024!F:I,3,FALSE)</f>
        <v>19</v>
      </c>
      <c r="D495" s="28">
        <f>VLOOKUP(A495,[2]v_02_2024!F:I,4,FALSE)</f>
        <v>123.39</v>
      </c>
      <c r="E495" s="21">
        <v>0</v>
      </c>
      <c r="F495" s="28">
        <v>0</v>
      </c>
      <c r="G495" s="24">
        <f t="shared" si="51"/>
        <v>0</v>
      </c>
      <c r="H495" s="21">
        <f t="shared" si="52"/>
        <v>19</v>
      </c>
      <c r="I495" s="28">
        <f t="shared" si="52"/>
        <v>123.39</v>
      </c>
      <c r="J495" s="21">
        <f>VLOOKUP(A495,[2]v_02_2023!F:I,3,FALSE)</f>
        <v>150</v>
      </c>
      <c r="K495" s="28">
        <f>VLOOKUP(A495,[2]v_02_2023!F:I,4,FALSE)</f>
        <v>726</v>
      </c>
      <c r="L495" s="21">
        <f t="shared" si="53"/>
        <v>-131</v>
      </c>
      <c r="M495" s="29">
        <f t="shared" si="53"/>
        <v>-602.61</v>
      </c>
      <c r="N495" s="26">
        <f t="shared" si="54"/>
        <v>-0.83004132231404959</v>
      </c>
    </row>
    <row r="496" spans="1:14" x14ac:dyDescent="0.25">
      <c r="A496" s="21" t="s">
        <v>169</v>
      </c>
      <c r="B496" s="22" t="s">
        <v>168</v>
      </c>
      <c r="C496">
        <v>0</v>
      </c>
      <c r="D496" s="28">
        <v>0</v>
      </c>
      <c r="E496" s="21">
        <v>0</v>
      </c>
      <c r="F496" s="28">
        <v>0</v>
      </c>
      <c r="G496" s="24"/>
      <c r="H496" s="21">
        <f t="shared" si="52"/>
        <v>0</v>
      </c>
      <c r="I496" s="28">
        <f t="shared" si="52"/>
        <v>0</v>
      </c>
      <c r="J496" s="21">
        <f>VLOOKUP(A496,[2]v_02_2023!F:I,3,FALSE)</f>
        <v>4</v>
      </c>
      <c r="K496" s="28">
        <f>VLOOKUP(A496,[2]v_02_2023!F:I,4,FALSE)</f>
        <v>46.72</v>
      </c>
      <c r="L496" s="21">
        <f t="shared" si="53"/>
        <v>-4</v>
      </c>
      <c r="M496" s="29">
        <f t="shared" si="53"/>
        <v>-46.72</v>
      </c>
      <c r="N496" s="26">
        <f t="shared" si="54"/>
        <v>-1</v>
      </c>
    </row>
    <row r="497" spans="1:14" x14ac:dyDescent="0.25">
      <c r="A497" s="21" t="s">
        <v>171</v>
      </c>
      <c r="B497" s="22" t="s">
        <v>170</v>
      </c>
      <c r="C497">
        <f>VLOOKUP(A497,[2]v_02_2024!F:I,3,FALSE)</f>
        <v>207</v>
      </c>
      <c r="D497" s="28">
        <f>VLOOKUP(A497,[2]v_02_2024!F:I,4,FALSE)</f>
        <v>2982.05</v>
      </c>
      <c r="E497" s="21">
        <v>0</v>
      </c>
      <c r="F497" s="28">
        <v>0</v>
      </c>
      <c r="G497" s="24">
        <f t="shared" si="51"/>
        <v>0</v>
      </c>
      <c r="H497" s="21">
        <f t="shared" si="52"/>
        <v>207</v>
      </c>
      <c r="I497" s="28">
        <f t="shared" si="52"/>
        <v>2982.05</v>
      </c>
      <c r="J497" s="21">
        <f>VLOOKUP(A497,[2]v_02_2023!F:I,3,FALSE)</f>
        <v>254</v>
      </c>
      <c r="K497" s="28">
        <f>VLOOKUP(A497,[2]v_02_2023!F:I,4,FALSE)</f>
        <v>3726.18</v>
      </c>
      <c r="L497" s="21">
        <f t="shared" si="53"/>
        <v>-47</v>
      </c>
      <c r="M497" s="29">
        <f t="shared" si="53"/>
        <v>-744.12999999999965</v>
      </c>
      <c r="N497" s="26">
        <f t="shared" si="54"/>
        <v>-0.19970318127411979</v>
      </c>
    </row>
    <row r="498" spans="1:14" x14ac:dyDescent="0.25">
      <c r="A498" s="21" t="s">
        <v>173</v>
      </c>
      <c r="B498" s="22" t="s">
        <v>172</v>
      </c>
      <c r="C498">
        <v>0</v>
      </c>
      <c r="D498" s="28">
        <v>0</v>
      </c>
      <c r="E498" s="21">
        <v>0</v>
      </c>
      <c r="F498" s="28">
        <v>0</v>
      </c>
      <c r="G498" s="24"/>
      <c r="H498" s="21">
        <f t="shared" si="52"/>
        <v>0</v>
      </c>
      <c r="I498" s="28">
        <f t="shared" si="52"/>
        <v>0</v>
      </c>
      <c r="J498" s="21">
        <v>0</v>
      </c>
      <c r="K498" s="28">
        <v>0</v>
      </c>
      <c r="L498" s="21">
        <f t="shared" si="53"/>
        <v>0</v>
      </c>
      <c r="M498" s="29">
        <f t="shared" si="53"/>
        <v>0</v>
      </c>
      <c r="N498" s="26"/>
    </row>
    <row r="499" spans="1:14" x14ac:dyDescent="0.25">
      <c r="A499" s="21" t="s">
        <v>700</v>
      </c>
      <c r="B499" s="22" t="s">
        <v>701</v>
      </c>
      <c r="C499">
        <f>VLOOKUP(A499,[2]v_02_2024!F:I,3,FALSE)</f>
        <v>-1</v>
      </c>
      <c r="D499" s="28">
        <f>VLOOKUP(A499,[2]v_02_2024!F:I,4,FALSE)</f>
        <v>-32.700000000000003</v>
      </c>
      <c r="E499" s="21">
        <v>0</v>
      </c>
      <c r="F499" s="28">
        <v>0</v>
      </c>
      <c r="G499" s="24">
        <f t="shared" si="51"/>
        <v>0</v>
      </c>
      <c r="H499" s="21">
        <f t="shared" si="52"/>
        <v>-1</v>
      </c>
      <c r="I499" s="28">
        <f t="shared" si="52"/>
        <v>-32.700000000000003</v>
      </c>
      <c r="J499" s="21">
        <v>0</v>
      </c>
      <c r="K499" s="28">
        <v>0</v>
      </c>
      <c r="L499" s="21">
        <f t="shared" si="53"/>
        <v>-1</v>
      </c>
      <c r="M499" s="29">
        <f t="shared" si="53"/>
        <v>-32.700000000000003</v>
      </c>
      <c r="N499" s="26"/>
    </row>
    <row r="500" spans="1:14" x14ac:dyDescent="0.25">
      <c r="A500" s="21" t="s">
        <v>175</v>
      </c>
      <c r="B500" s="22" t="s">
        <v>174</v>
      </c>
      <c r="C500">
        <v>0</v>
      </c>
      <c r="D500" s="28">
        <v>0</v>
      </c>
      <c r="E500" s="21">
        <v>0</v>
      </c>
      <c r="F500" s="28">
        <v>0</v>
      </c>
      <c r="G500" s="24"/>
      <c r="H500" s="21">
        <f t="shared" si="52"/>
        <v>0</v>
      </c>
      <c r="I500" s="28">
        <f t="shared" si="52"/>
        <v>0</v>
      </c>
      <c r="J500" s="21">
        <v>0</v>
      </c>
      <c r="K500" s="28">
        <v>0</v>
      </c>
      <c r="L500" s="21">
        <f t="shared" si="53"/>
        <v>0</v>
      </c>
      <c r="M500" s="29">
        <f t="shared" si="53"/>
        <v>0</v>
      </c>
      <c r="N500" s="26"/>
    </row>
    <row r="501" spans="1:14" x14ac:dyDescent="0.25">
      <c r="A501" s="21" t="s">
        <v>702</v>
      </c>
      <c r="B501" s="22" t="s">
        <v>703</v>
      </c>
      <c r="C501">
        <v>0</v>
      </c>
      <c r="D501" s="28">
        <v>0</v>
      </c>
      <c r="E501" s="21">
        <v>0</v>
      </c>
      <c r="F501" s="28">
        <v>0</v>
      </c>
      <c r="G501" s="24"/>
      <c r="H501" s="21">
        <f t="shared" si="52"/>
        <v>0</v>
      </c>
      <c r="I501" s="28">
        <f t="shared" si="52"/>
        <v>0</v>
      </c>
      <c r="J501" s="21">
        <v>0</v>
      </c>
      <c r="K501" s="28">
        <v>0</v>
      </c>
      <c r="L501" s="21">
        <f t="shared" si="53"/>
        <v>0</v>
      </c>
      <c r="M501" s="29">
        <f t="shared" si="53"/>
        <v>0</v>
      </c>
      <c r="N501" s="26"/>
    </row>
    <row r="502" spans="1:14" x14ac:dyDescent="0.25">
      <c r="A502" s="21" t="s">
        <v>177</v>
      </c>
      <c r="B502" s="22" t="s">
        <v>176</v>
      </c>
      <c r="C502">
        <f>VLOOKUP(A502,[2]v_02_2024!F:I,3,FALSE)</f>
        <v>4</v>
      </c>
      <c r="D502" s="28">
        <f>VLOOKUP(A502,[2]v_02_2024!F:I,4,FALSE)</f>
        <v>206.9</v>
      </c>
      <c r="E502" s="21">
        <v>0</v>
      </c>
      <c r="F502" s="28">
        <v>0</v>
      </c>
      <c r="G502" s="24">
        <f t="shared" si="51"/>
        <v>0</v>
      </c>
      <c r="H502" s="21">
        <f t="shared" si="52"/>
        <v>4</v>
      </c>
      <c r="I502" s="28">
        <f t="shared" si="52"/>
        <v>206.9</v>
      </c>
      <c r="J502" s="21">
        <v>0</v>
      </c>
      <c r="K502" s="28">
        <v>0</v>
      </c>
      <c r="L502" s="21">
        <f t="shared" si="53"/>
        <v>4</v>
      </c>
      <c r="M502" s="29">
        <f t="shared" si="53"/>
        <v>206.9</v>
      </c>
      <c r="N502" s="26"/>
    </row>
    <row r="503" spans="1:14" x14ac:dyDescent="0.25">
      <c r="A503" s="21" t="s">
        <v>181</v>
      </c>
      <c r="B503" s="22" t="s">
        <v>180</v>
      </c>
      <c r="C503">
        <f>VLOOKUP(A503,[2]v_02_2024!F:I,3,FALSE)</f>
        <v>32</v>
      </c>
      <c r="D503" s="28">
        <f>VLOOKUP(A503,[2]v_02_2024!F:I,4,FALSE)</f>
        <v>390.72</v>
      </c>
      <c r="E503" s="21">
        <v>0</v>
      </c>
      <c r="F503" s="28">
        <v>0</v>
      </c>
      <c r="G503" s="24">
        <f t="shared" si="51"/>
        <v>0</v>
      </c>
      <c r="H503" s="21">
        <f t="shared" si="52"/>
        <v>32</v>
      </c>
      <c r="I503" s="28">
        <f t="shared" si="52"/>
        <v>390.72</v>
      </c>
      <c r="J503" s="21">
        <f>VLOOKUP(A503,[2]v_02_2023!F:I,3,FALSE)</f>
        <v>125</v>
      </c>
      <c r="K503" s="28">
        <f>VLOOKUP(A503,[2]v_02_2023!F:I,4,FALSE)</f>
        <v>1321.25</v>
      </c>
      <c r="L503" s="21">
        <f t="shared" si="53"/>
        <v>-93</v>
      </c>
      <c r="M503" s="29">
        <f t="shared" si="53"/>
        <v>-930.53</v>
      </c>
      <c r="N503" s="26">
        <f t="shared" si="54"/>
        <v>-0.70428003784295168</v>
      </c>
    </row>
    <row r="504" spans="1:14" x14ac:dyDescent="0.25">
      <c r="A504" s="21" t="s">
        <v>183</v>
      </c>
      <c r="B504" s="22" t="s">
        <v>182</v>
      </c>
      <c r="C504">
        <v>0</v>
      </c>
      <c r="D504" s="28">
        <v>0</v>
      </c>
      <c r="E504" s="21">
        <v>0</v>
      </c>
      <c r="F504" s="28">
        <v>0</v>
      </c>
      <c r="G504" s="24"/>
      <c r="H504" s="21">
        <f t="shared" si="52"/>
        <v>0</v>
      </c>
      <c r="I504" s="28">
        <f t="shared" si="52"/>
        <v>0</v>
      </c>
      <c r="J504" s="21">
        <v>0</v>
      </c>
      <c r="K504" s="28">
        <v>0</v>
      </c>
      <c r="L504" s="21">
        <f t="shared" si="53"/>
        <v>0</v>
      </c>
      <c r="M504" s="29">
        <f t="shared" si="53"/>
        <v>0</v>
      </c>
      <c r="N504" s="26"/>
    </row>
    <row r="505" spans="1:14" x14ac:dyDescent="0.25">
      <c r="A505" s="21" t="s">
        <v>185</v>
      </c>
      <c r="B505" s="22" t="s">
        <v>184</v>
      </c>
      <c r="C505">
        <f>VLOOKUP(A505,[2]v_02_2024!F:I,3,FALSE)</f>
        <v>0</v>
      </c>
      <c r="D505" s="28">
        <f>VLOOKUP(A505,[2]v_02_2024!F:I,4,FALSE)</f>
        <v>0</v>
      </c>
      <c r="E505" s="21">
        <v>0</v>
      </c>
      <c r="F505" s="28">
        <v>0</v>
      </c>
      <c r="G505" s="24"/>
      <c r="H505" s="21">
        <f t="shared" si="52"/>
        <v>0</v>
      </c>
      <c r="I505" s="28">
        <f t="shared" si="52"/>
        <v>0</v>
      </c>
      <c r="J505" s="21">
        <f>VLOOKUP(A505,[2]v_02_2023!F:I,3,FALSE)</f>
        <v>482</v>
      </c>
      <c r="K505" s="28">
        <f>VLOOKUP(A505,[2]v_02_2023!F:I,4,FALSE)</f>
        <v>5885.22</v>
      </c>
      <c r="L505" s="21">
        <f t="shared" si="53"/>
        <v>-482</v>
      </c>
      <c r="M505" s="29">
        <f t="shared" si="53"/>
        <v>-5885.22</v>
      </c>
      <c r="N505" s="26">
        <f t="shared" si="54"/>
        <v>-1</v>
      </c>
    </row>
    <row r="506" spans="1:14" x14ac:dyDescent="0.25">
      <c r="A506" s="21" t="s">
        <v>187</v>
      </c>
      <c r="B506" s="22" t="s">
        <v>186</v>
      </c>
      <c r="C506">
        <f>VLOOKUP(A506,[2]v_02_2024!F:I,3,FALSE)</f>
        <v>15</v>
      </c>
      <c r="D506" s="28">
        <f>VLOOKUP(A506,[2]v_02_2024!F:I,4,FALSE)</f>
        <v>490.5</v>
      </c>
      <c r="E506" s="21">
        <v>0</v>
      </c>
      <c r="F506" s="28">
        <v>0</v>
      </c>
      <c r="G506" s="24">
        <f t="shared" si="51"/>
        <v>0</v>
      </c>
      <c r="H506" s="21">
        <f t="shared" si="52"/>
        <v>15</v>
      </c>
      <c r="I506" s="28">
        <f t="shared" si="52"/>
        <v>490.5</v>
      </c>
      <c r="J506" s="21">
        <f>VLOOKUP(A506,[2]v_02_2023!F:I,3,FALSE)</f>
        <v>3</v>
      </c>
      <c r="K506" s="28">
        <f>VLOOKUP(A506,[2]v_02_2023!F:I,4,FALSE)</f>
        <v>94.03</v>
      </c>
      <c r="L506" s="21">
        <f t="shared" si="53"/>
        <v>12</v>
      </c>
      <c r="M506" s="29">
        <f t="shared" si="53"/>
        <v>396.47</v>
      </c>
      <c r="N506" s="26">
        <f t="shared" si="54"/>
        <v>4.2164202913963633</v>
      </c>
    </row>
    <row r="507" spans="1:14" x14ac:dyDescent="0.25">
      <c r="A507" s="21" t="s">
        <v>189</v>
      </c>
      <c r="B507" s="22" t="s">
        <v>188</v>
      </c>
      <c r="C507">
        <f>VLOOKUP(A507,[2]v_02_2024!F:I,3,FALSE)</f>
        <v>3</v>
      </c>
      <c r="D507" s="28">
        <f>VLOOKUP(A507,[2]v_02_2024!F:I,4,FALSE)</f>
        <v>31.71</v>
      </c>
      <c r="E507" s="21">
        <v>0</v>
      </c>
      <c r="F507" s="28">
        <v>0</v>
      </c>
      <c r="G507" s="24">
        <f t="shared" si="51"/>
        <v>0</v>
      </c>
      <c r="H507" s="21">
        <f t="shared" si="52"/>
        <v>3</v>
      </c>
      <c r="I507" s="28">
        <f t="shared" si="52"/>
        <v>31.71</v>
      </c>
      <c r="J507" s="21">
        <f>VLOOKUP(A507,[2]v_02_2023!F:I,3,FALSE)</f>
        <v>89</v>
      </c>
      <c r="K507" s="28">
        <f>VLOOKUP(A507,[2]v_02_2023!F:I,4,FALSE)</f>
        <v>801.33</v>
      </c>
      <c r="L507" s="21">
        <f t="shared" si="53"/>
        <v>-86</v>
      </c>
      <c r="M507" s="29">
        <f t="shared" si="53"/>
        <v>-769.62</v>
      </c>
      <c r="N507" s="26">
        <f t="shared" si="54"/>
        <v>-0.9604282879712478</v>
      </c>
    </row>
    <row r="508" spans="1:14" x14ac:dyDescent="0.25">
      <c r="A508" s="21" t="s">
        <v>191</v>
      </c>
      <c r="B508" s="22" t="s">
        <v>190</v>
      </c>
      <c r="C508">
        <f>VLOOKUP(A508,[2]v_02_2024!F:I,3,FALSE)</f>
        <v>2</v>
      </c>
      <c r="D508" s="28">
        <f>VLOOKUP(A508,[2]v_02_2024!F:I,4,FALSE)</f>
        <v>44.1</v>
      </c>
      <c r="E508" s="21">
        <v>0</v>
      </c>
      <c r="F508" s="28">
        <v>0</v>
      </c>
      <c r="G508" s="24">
        <f t="shared" si="51"/>
        <v>0</v>
      </c>
      <c r="H508" s="21">
        <f t="shared" si="52"/>
        <v>2</v>
      </c>
      <c r="I508" s="28">
        <f t="shared" si="52"/>
        <v>44.1</v>
      </c>
      <c r="J508" s="21">
        <f>VLOOKUP(A508,[2]v_02_2023!F:I,3,FALSE)</f>
        <v>3</v>
      </c>
      <c r="K508" s="28">
        <f>VLOOKUP(A508,[2]v_02_2023!F:I,4,FALSE)</f>
        <v>48.32</v>
      </c>
      <c r="L508" s="21">
        <f t="shared" si="53"/>
        <v>-1</v>
      </c>
      <c r="M508" s="29">
        <f t="shared" si="53"/>
        <v>-4.2199999999999989</v>
      </c>
      <c r="N508" s="26">
        <f t="shared" si="54"/>
        <v>-8.7334437086092689E-2</v>
      </c>
    </row>
    <row r="509" spans="1:14" x14ac:dyDescent="0.25">
      <c r="A509" s="21" t="s">
        <v>193</v>
      </c>
      <c r="B509" s="22" t="s">
        <v>192</v>
      </c>
      <c r="C509">
        <f>VLOOKUP(A509,[2]v_02_2024!F:I,3,FALSE)</f>
        <v>5</v>
      </c>
      <c r="D509" s="28">
        <f>VLOOKUP(A509,[2]v_02_2024!F:I,4,FALSE)</f>
        <v>48.75</v>
      </c>
      <c r="E509" s="21">
        <v>0</v>
      </c>
      <c r="F509" s="28">
        <v>0</v>
      </c>
      <c r="G509" s="24">
        <f t="shared" si="51"/>
        <v>0</v>
      </c>
      <c r="H509" s="21">
        <f t="shared" si="52"/>
        <v>5</v>
      </c>
      <c r="I509" s="28">
        <f t="shared" si="52"/>
        <v>48.75</v>
      </c>
      <c r="J509" s="21">
        <f>VLOOKUP(A509,[2]v_02_2023!F:I,3,FALSE)</f>
        <v>3</v>
      </c>
      <c r="K509" s="28">
        <f>VLOOKUP(A509,[2]v_02_2023!F:I,4,FALSE)</f>
        <v>33.31</v>
      </c>
      <c r="L509" s="21">
        <f t="shared" si="53"/>
        <v>2</v>
      </c>
      <c r="M509" s="29">
        <f t="shared" si="53"/>
        <v>15.439999999999998</v>
      </c>
      <c r="N509" s="26">
        <f t="shared" si="54"/>
        <v>0.4635244671269888</v>
      </c>
    </row>
    <row r="510" spans="1:14" x14ac:dyDescent="0.25">
      <c r="A510" s="21" t="s">
        <v>195</v>
      </c>
      <c r="B510" s="22" t="s">
        <v>194</v>
      </c>
      <c r="C510">
        <v>0</v>
      </c>
      <c r="D510" s="28">
        <v>0</v>
      </c>
      <c r="E510" s="21">
        <v>0</v>
      </c>
      <c r="F510" s="28">
        <v>0</v>
      </c>
      <c r="G510" s="24"/>
      <c r="H510" s="21">
        <f t="shared" si="52"/>
        <v>0</v>
      </c>
      <c r="I510" s="28">
        <f t="shared" si="52"/>
        <v>0</v>
      </c>
      <c r="J510" s="21">
        <v>0</v>
      </c>
      <c r="K510" s="28">
        <v>0</v>
      </c>
      <c r="L510" s="21">
        <f t="shared" si="53"/>
        <v>0</v>
      </c>
      <c r="M510" s="29">
        <f t="shared" si="53"/>
        <v>0</v>
      </c>
      <c r="N510" s="26"/>
    </row>
    <row r="511" spans="1:14" x14ac:dyDescent="0.25">
      <c r="A511" s="21" t="s">
        <v>197</v>
      </c>
      <c r="B511" s="22" t="s">
        <v>196</v>
      </c>
      <c r="C511">
        <v>0</v>
      </c>
      <c r="D511" s="28">
        <v>0</v>
      </c>
      <c r="E511" s="21">
        <v>0</v>
      </c>
      <c r="F511" s="28">
        <v>0</v>
      </c>
      <c r="G511" s="24"/>
      <c r="H511" s="21">
        <f t="shared" si="52"/>
        <v>0</v>
      </c>
      <c r="I511" s="28">
        <f t="shared" si="52"/>
        <v>0</v>
      </c>
      <c r="J511" s="21">
        <f>VLOOKUP(A511,[2]v_02_2023!F:I,3,FALSE)</f>
        <v>1</v>
      </c>
      <c r="K511" s="28">
        <f>VLOOKUP(A511,[2]v_02_2023!F:I,4,FALSE)</f>
        <v>12.21</v>
      </c>
      <c r="L511" s="21">
        <f t="shared" si="53"/>
        <v>-1</v>
      </c>
      <c r="M511" s="29">
        <f t="shared" si="53"/>
        <v>-12.21</v>
      </c>
      <c r="N511" s="26">
        <f t="shared" si="54"/>
        <v>-1</v>
      </c>
    </row>
    <row r="512" spans="1:14" x14ac:dyDescent="0.25">
      <c r="A512" s="21" t="s">
        <v>201</v>
      </c>
      <c r="B512" s="22" t="s">
        <v>200</v>
      </c>
      <c r="C512">
        <f>VLOOKUP(A512,[2]v_02_2024!F:I,3,FALSE)</f>
        <v>16</v>
      </c>
      <c r="D512" s="28">
        <f>VLOOKUP(A512,[2]v_02_2024!F:I,4,FALSE)</f>
        <v>392.16</v>
      </c>
      <c r="E512" s="21">
        <f>VLOOKUP(A512,[2]s_02_2024!E:G,2,FALSE)</f>
        <v>2</v>
      </c>
      <c r="F512" s="28">
        <f>VLOOKUP(A512,[2]s_02_2024!E:G,3,FALSE)</f>
        <v>69.8</v>
      </c>
      <c r="G512" s="24">
        <f t="shared" si="51"/>
        <v>0.15109533292925792</v>
      </c>
      <c r="H512" s="21">
        <f t="shared" si="52"/>
        <v>18</v>
      </c>
      <c r="I512" s="28">
        <f t="shared" si="52"/>
        <v>461.96000000000004</v>
      </c>
      <c r="J512" s="21">
        <f>VLOOKUP(A512,[2]v_02_2023!F:I,3,FALSE)</f>
        <v>27</v>
      </c>
      <c r="K512" s="28">
        <f>VLOOKUP(A512,[2]v_02_2023!F:I,4,FALSE)</f>
        <v>687.26</v>
      </c>
      <c r="L512" s="21">
        <f t="shared" si="53"/>
        <v>-9</v>
      </c>
      <c r="M512" s="29">
        <f t="shared" si="53"/>
        <v>-225.29999999999995</v>
      </c>
      <c r="N512" s="26">
        <f t="shared" si="54"/>
        <v>-0.32782353112359219</v>
      </c>
    </row>
    <row r="513" spans="1:14" x14ac:dyDescent="0.25">
      <c r="A513" s="21" t="s">
        <v>203</v>
      </c>
      <c r="B513" s="22" t="s">
        <v>202</v>
      </c>
      <c r="C513">
        <f>VLOOKUP(A513,[2]v_02_2024!F:I,3,FALSE)</f>
        <v>2</v>
      </c>
      <c r="D513" s="28">
        <f>VLOOKUP(A513,[2]v_02_2024!F:I,4,FALSE)</f>
        <v>55.74</v>
      </c>
      <c r="E513" s="21">
        <v>0</v>
      </c>
      <c r="F513" s="28">
        <v>0</v>
      </c>
      <c r="G513" s="24">
        <f t="shared" si="51"/>
        <v>0</v>
      </c>
      <c r="H513" s="21">
        <f t="shared" si="52"/>
        <v>2</v>
      </c>
      <c r="I513" s="28">
        <f t="shared" si="52"/>
        <v>55.74</v>
      </c>
      <c r="J513" s="21">
        <f>VLOOKUP(A513,[2]v_02_2023!F:I,3,FALSE)</f>
        <v>4</v>
      </c>
      <c r="K513" s="28">
        <f>VLOOKUP(A513,[2]v_02_2023!F:I,4,FALSE)</f>
        <v>117.13</v>
      </c>
      <c r="L513" s="21">
        <f t="shared" si="53"/>
        <v>-2</v>
      </c>
      <c r="M513" s="29">
        <f t="shared" si="53"/>
        <v>-61.389999999999993</v>
      </c>
      <c r="N513" s="26">
        <f t="shared" si="54"/>
        <v>-0.52411850081106459</v>
      </c>
    </row>
    <row r="514" spans="1:14" x14ac:dyDescent="0.25">
      <c r="A514" s="21" t="s">
        <v>205</v>
      </c>
      <c r="B514" s="22" t="s">
        <v>204</v>
      </c>
      <c r="C514">
        <f>VLOOKUP(A514,[2]v_02_2024!F:I,3,FALSE)</f>
        <v>0</v>
      </c>
      <c r="D514" s="28">
        <f>VLOOKUP(A514,[2]v_02_2024!F:I,4,FALSE)</f>
        <v>0</v>
      </c>
      <c r="E514" s="21">
        <v>0</v>
      </c>
      <c r="F514" s="28">
        <v>0</v>
      </c>
      <c r="G514" s="24"/>
      <c r="H514" s="21">
        <f t="shared" si="52"/>
        <v>0</v>
      </c>
      <c r="I514" s="28">
        <f t="shared" si="52"/>
        <v>0</v>
      </c>
      <c r="J514" s="21">
        <f>VLOOKUP(A514,[2]v_02_2023!F:I,3,FALSE)</f>
        <v>28</v>
      </c>
      <c r="K514" s="28">
        <f>VLOOKUP(A514,[2]v_02_2023!F:I,4,FALSE)</f>
        <v>351.76</v>
      </c>
      <c r="L514" s="21">
        <f t="shared" si="53"/>
        <v>-28</v>
      </c>
      <c r="M514" s="29">
        <f t="shared" si="53"/>
        <v>-351.76</v>
      </c>
      <c r="N514" s="26">
        <f t="shared" si="54"/>
        <v>-1</v>
      </c>
    </row>
    <row r="515" spans="1:14" x14ac:dyDescent="0.25">
      <c r="A515" s="21" t="s">
        <v>207</v>
      </c>
      <c r="B515" s="22" t="s">
        <v>206</v>
      </c>
      <c r="C515">
        <f>VLOOKUP(A515,[2]v_02_2024!F:I,3,FALSE)</f>
        <v>13</v>
      </c>
      <c r="D515" s="28">
        <f>VLOOKUP(A515,[2]v_02_2024!F:I,4,FALSE)</f>
        <v>264.29000000000002</v>
      </c>
      <c r="E515" s="21">
        <v>0</v>
      </c>
      <c r="F515" s="28">
        <v>0</v>
      </c>
      <c r="G515" s="24">
        <f t="shared" si="51"/>
        <v>0</v>
      </c>
      <c r="H515" s="21">
        <f t="shared" si="52"/>
        <v>13</v>
      </c>
      <c r="I515" s="28">
        <f t="shared" si="52"/>
        <v>264.29000000000002</v>
      </c>
      <c r="J515" s="21">
        <f>VLOOKUP(A515,[2]v_02_2023!F:I,3,FALSE)</f>
        <v>83</v>
      </c>
      <c r="K515" s="28">
        <f>VLOOKUP(A515,[2]v_02_2023!F:I,4,FALSE)</f>
        <v>1552.45</v>
      </c>
      <c r="L515" s="21">
        <f t="shared" si="53"/>
        <v>-70</v>
      </c>
      <c r="M515" s="29">
        <f t="shared" si="53"/>
        <v>-1288.1600000000001</v>
      </c>
      <c r="N515" s="26">
        <f t="shared" si="54"/>
        <v>-0.82975941254146679</v>
      </c>
    </row>
    <row r="516" spans="1:14" x14ac:dyDescent="0.25">
      <c r="A516" s="21" t="s">
        <v>211</v>
      </c>
      <c r="B516" s="22" t="s">
        <v>210</v>
      </c>
      <c r="C516">
        <f>VLOOKUP(A516,[2]v_02_2024!F:I,3,FALSE)</f>
        <v>32</v>
      </c>
      <c r="D516" s="28">
        <f>VLOOKUP(A516,[2]v_02_2024!F:I,4,FALSE)</f>
        <v>521.91999999999996</v>
      </c>
      <c r="E516" s="21">
        <f>VLOOKUP(A516,[2]s_02_2024!E:G,2,FALSE)</f>
        <v>1</v>
      </c>
      <c r="F516" s="28">
        <f>VLOOKUP(A516,[2]s_02_2024!E:G,3,FALSE)</f>
        <v>26.9</v>
      </c>
      <c r="G516" s="24">
        <f t="shared" si="51"/>
        <v>4.9014248751867648E-2</v>
      </c>
      <c r="H516" s="21">
        <f t="shared" si="52"/>
        <v>33</v>
      </c>
      <c r="I516" s="28">
        <f t="shared" si="52"/>
        <v>548.81999999999994</v>
      </c>
      <c r="J516" s="21">
        <f>VLOOKUP(A516,[2]v_02_2023!F:I,3,FALSE)</f>
        <v>131</v>
      </c>
      <c r="K516" s="28">
        <f>VLOOKUP(A516,[2]v_02_2023!F:I,4,FALSE)</f>
        <v>2111.81</v>
      </c>
      <c r="L516" s="21">
        <f t="shared" si="53"/>
        <v>-98</v>
      </c>
      <c r="M516" s="29">
        <f t="shared" si="53"/>
        <v>-1562.99</v>
      </c>
      <c r="N516" s="26">
        <f t="shared" si="54"/>
        <v>-0.74011866597847342</v>
      </c>
    </row>
    <row r="517" spans="1:14" x14ac:dyDescent="0.25">
      <c r="A517" s="21" t="s">
        <v>213</v>
      </c>
      <c r="B517" s="22" t="s">
        <v>212</v>
      </c>
      <c r="C517">
        <v>0</v>
      </c>
      <c r="D517" s="28">
        <v>0</v>
      </c>
      <c r="E517" s="21">
        <v>0</v>
      </c>
      <c r="F517" s="28">
        <v>0</v>
      </c>
      <c r="G517" s="24"/>
      <c r="H517" s="21">
        <f t="shared" si="52"/>
        <v>0</v>
      </c>
      <c r="I517" s="28">
        <f t="shared" si="52"/>
        <v>0</v>
      </c>
      <c r="J517" s="21">
        <v>0</v>
      </c>
      <c r="K517" s="28">
        <v>0</v>
      </c>
      <c r="L517" s="21">
        <f t="shared" si="53"/>
        <v>0</v>
      </c>
      <c r="M517" s="29">
        <f t="shared" si="53"/>
        <v>0</v>
      </c>
      <c r="N517" s="26"/>
    </row>
    <row r="518" spans="1:14" x14ac:dyDescent="0.25">
      <c r="A518" s="21" t="s">
        <v>215</v>
      </c>
      <c r="B518" s="22" t="s">
        <v>214</v>
      </c>
      <c r="C518">
        <f>VLOOKUP(A518,[2]v_02_2024!F:I,3,FALSE)</f>
        <v>20</v>
      </c>
      <c r="D518" s="28">
        <f>VLOOKUP(A518,[2]v_02_2024!F:I,4,FALSE)</f>
        <v>326.2</v>
      </c>
      <c r="E518" s="21">
        <v>0</v>
      </c>
      <c r="F518" s="28">
        <v>0</v>
      </c>
      <c r="G518" s="24">
        <f t="shared" si="51"/>
        <v>0</v>
      </c>
      <c r="H518" s="21">
        <f t="shared" si="52"/>
        <v>20</v>
      </c>
      <c r="I518" s="28">
        <f t="shared" si="52"/>
        <v>326.2</v>
      </c>
      <c r="J518" s="21">
        <f>VLOOKUP(A518,[2]v_02_2023!F:I,3,FALSE)</f>
        <v>10</v>
      </c>
      <c r="K518" s="28">
        <f>VLOOKUP(A518,[2]v_02_2023!F:I,4,FALSE)</f>
        <v>180.58</v>
      </c>
      <c r="L518" s="21">
        <f t="shared" si="53"/>
        <v>10</v>
      </c>
      <c r="M518" s="29">
        <f t="shared" si="53"/>
        <v>145.61999999999998</v>
      </c>
      <c r="N518" s="26">
        <f t="shared" si="54"/>
        <v>0.80640159486100327</v>
      </c>
    </row>
    <row r="519" spans="1:14" x14ac:dyDescent="0.25">
      <c r="A519" s="21" t="s">
        <v>217</v>
      </c>
      <c r="B519" s="22" t="s">
        <v>216</v>
      </c>
      <c r="C519">
        <f>VLOOKUP(A519,[2]v_02_2024!F:I,3,FALSE)</f>
        <v>25</v>
      </c>
      <c r="D519" s="28">
        <f>VLOOKUP(A519,[2]v_02_2024!F:I,4,FALSE)</f>
        <v>356.5</v>
      </c>
      <c r="E519" s="21">
        <f>VLOOKUP(A519,[2]s_02_2024!E:G,2,FALSE)</f>
        <v>38</v>
      </c>
      <c r="F519" s="28">
        <f>VLOOKUP(A519,[2]s_02_2024!E:G,3,FALSE)</f>
        <v>780.19999999999959</v>
      </c>
      <c r="G519" s="24">
        <f t="shared" si="51"/>
        <v>0.68637283364124213</v>
      </c>
      <c r="H519" s="21">
        <f t="shared" si="52"/>
        <v>63</v>
      </c>
      <c r="I519" s="28">
        <f t="shared" si="52"/>
        <v>1136.6999999999996</v>
      </c>
      <c r="J519" s="21">
        <f>VLOOKUP(A519,[2]v_02_2023!F:I,3,FALSE)</f>
        <v>748</v>
      </c>
      <c r="K519" s="28">
        <f>VLOOKUP(A519,[2]v_02_2023!F:I,4,FALSE)</f>
        <v>14353</v>
      </c>
      <c r="L519" s="21">
        <f t="shared" si="53"/>
        <v>-685</v>
      </c>
      <c r="M519" s="29">
        <f t="shared" si="53"/>
        <v>-13216.300000000001</v>
      </c>
      <c r="N519" s="26">
        <f t="shared" si="54"/>
        <v>-0.92080401309830706</v>
      </c>
    </row>
    <row r="520" spans="1:14" x14ac:dyDescent="0.25">
      <c r="A520" s="21" t="s">
        <v>219</v>
      </c>
      <c r="B520" s="22" t="s">
        <v>218</v>
      </c>
      <c r="C520">
        <f>VLOOKUP(A520,[2]v_02_2024!F:I,3,FALSE)</f>
        <v>44</v>
      </c>
      <c r="D520" s="28">
        <f>VLOOKUP(A520,[2]v_02_2024!F:I,4,FALSE)</f>
        <v>465.08</v>
      </c>
      <c r="E520" s="21">
        <v>0</v>
      </c>
      <c r="F520" s="28">
        <v>0</v>
      </c>
      <c r="G520" s="24">
        <f t="shared" si="51"/>
        <v>0</v>
      </c>
      <c r="H520" s="21">
        <f t="shared" si="52"/>
        <v>44</v>
      </c>
      <c r="I520" s="28">
        <f t="shared" si="52"/>
        <v>465.08</v>
      </c>
      <c r="J520" s="21">
        <f>VLOOKUP(A520,[2]v_02_2023!F:I,3,FALSE)</f>
        <v>47</v>
      </c>
      <c r="K520" s="28">
        <f>VLOOKUP(A520,[2]v_02_2023!F:I,4,FALSE)</f>
        <v>766.57</v>
      </c>
      <c r="L520" s="21">
        <f t="shared" si="53"/>
        <v>-3</v>
      </c>
      <c r="M520" s="29">
        <f t="shared" si="53"/>
        <v>-301.49000000000007</v>
      </c>
      <c r="N520" s="26">
        <f t="shared" si="54"/>
        <v>-0.39329741576111776</v>
      </c>
    </row>
    <row r="521" spans="1:14" x14ac:dyDescent="0.25">
      <c r="A521" s="21" t="s">
        <v>221</v>
      </c>
      <c r="B521" s="22" t="s">
        <v>220</v>
      </c>
      <c r="C521">
        <f>VLOOKUP(A521,[2]v_02_2024!F:I,3,FALSE)</f>
        <v>2</v>
      </c>
      <c r="D521" s="28">
        <f>VLOOKUP(A521,[2]v_02_2024!F:I,4,FALSE)</f>
        <v>28.25</v>
      </c>
      <c r="E521" s="21">
        <v>0</v>
      </c>
      <c r="F521" s="28">
        <v>0</v>
      </c>
      <c r="G521" s="24">
        <f t="shared" si="51"/>
        <v>0</v>
      </c>
      <c r="H521" s="21">
        <f t="shared" si="52"/>
        <v>2</v>
      </c>
      <c r="I521" s="28">
        <f t="shared" si="52"/>
        <v>28.25</v>
      </c>
      <c r="J521" s="21">
        <f>VLOOKUP(A521,[2]v_02_2023!F:I,3,FALSE)</f>
        <v>14</v>
      </c>
      <c r="K521" s="28">
        <f>VLOOKUP(A521,[2]v_02_2023!F:I,4,FALSE)</f>
        <v>191.03</v>
      </c>
      <c r="L521" s="21">
        <f t="shared" si="53"/>
        <v>-12</v>
      </c>
      <c r="M521" s="29">
        <f t="shared" si="53"/>
        <v>-162.78</v>
      </c>
      <c r="N521" s="26">
        <f t="shared" si="54"/>
        <v>-0.85211746846045122</v>
      </c>
    </row>
    <row r="522" spans="1:14" x14ac:dyDescent="0.25">
      <c r="A522" s="21" t="s">
        <v>223</v>
      </c>
      <c r="B522" s="22" t="s">
        <v>222</v>
      </c>
      <c r="C522">
        <f>VLOOKUP(A522,[2]v_02_2024!F:I,3,FALSE)</f>
        <v>1</v>
      </c>
      <c r="D522" s="28">
        <f>VLOOKUP(A522,[2]v_02_2024!F:I,4,FALSE)</f>
        <v>13.85</v>
      </c>
      <c r="E522" s="21">
        <f>VLOOKUP(A522,[2]s_02_2024!E:G,2,FALSE)</f>
        <v>168</v>
      </c>
      <c r="F522" s="28">
        <f>VLOOKUP(A522,[2]s_02_2024!E:G,3,FALSE)</f>
        <v>2785.2000000000039</v>
      </c>
      <c r="G522" s="24">
        <f t="shared" si="51"/>
        <v>0.99505189260642013</v>
      </c>
      <c r="H522" s="21">
        <f t="shared" si="52"/>
        <v>169</v>
      </c>
      <c r="I522" s="28">
        <f t="shared" si="52"/>
        <v>2799.0500000000038</v>
      </c>
      <c r="J522" s="21">
        <f>VLOOKUP(A522,[2]v_02_2023!F:I,3,FALSE)</f>
        <v>520</v>
      </c>
      <c r="K522" s="28">
        <f>VLOOKUP(A522,[2]v_02_2023!F:I,4,FALSE)</f>
        <v>4600.0600000000004</v>
      </c>
      <c r="L522" s="21">
        <f t="shared" si="53"/>
        <v>-351</v>
      </c>
      <c r="M522" s="29">
        <f t="shared" si="53"/>
        <v>-1801.0099999999966</v>
      </c>
      <c r="N522" s="26">
        <f t="shared" si="54"/>
        <v>-0.39151880627643909</v>
      </c>
    </row>
    <row r="523" spans="1:14" x14ac:dyDescent="0.25">
      <c r="A523" s="21" t="s">
        <v>225</v>
      </c>
      <c r="B523" s="22" t="s">
        <v>224</v>
      </c>
      <c r="C523">
        <f>VLOOKUP(A523,[2]v_02_2024!F:I,3,FALSE)</f>
        <v>85</v>
      </c>
      <c r="D523" s="28">
        <f>VLOOKUP(A523,[2]v_02_2024!F:I,4,FALSE)</f>
        <v>765.85</v>
      </c>
      <c r="E523" s="21">
        <v>0</v>
      </c>
      <c r="F523" s="28">
        <v>0</v>
      </c>
      <c r="G523" s="24">
        <f t="shared" si="51"/>
        <v>0</v>
      </c>
      <c r="H523" s="21">
        <f t="shared" si="52"/>
        <v>85</v>
      </c>
      <c r="I523" s="28">
        <f t="shared" si="52"/>
        <v>765.85</v>
      </c>
      <c r="J523" s="21">
        <f>VLOOKUP(A523,[2]v_02_2023!F:I,3,FALSE)</f>
        <v>738</v>
      </c>
      <c r="K523" s="28">
        <f>VLOOKUP(A523,[2]v_02_2023!F:I,4,FALSE)</f>
        <v>5387.4</v>
      </c>
      <c r="L523" s="21">
        <f t="shared" si="53"/>
        <v>-653</v>
      </c>
      <c r="M523" s="29">
        <f t="shared" si="53"/>
        <v>-4621.5499999999993</v>
      </c>
      <c r="N523" s="26">
        <f t="shared" si="54"/>
        <v>-0.85784422912722269</v>
      </c>
    </row>
    <row r="524" spans="1:14" x14ac:dyDescent="0.25">
      <c r="A524" s="21" t="s">
        <v>227</v>
      </c>
      <c r="B524" s="22" t="s">
        <v>226</v>
      </c>
      <c r="C524">
        <v>0</v>
      </c>
      <c r="D524" s="28">
        <v>0</v>
      </c>
      <c r="E524" s="21">
        <v>0</v>
      </c>
      <c r="F524" s="28">
        <v>0</v>
      </c>
      <c r="G524" s="24"/>
      <c r="H524" s="21">
        <f t="shared" si="52"/>
        <v>0</v>
      </c>
      <c r="I524" s="28">
        <f t="shared" si="52"/>
        <v>0</v>
      </c>
      <c r="J524" s="21">
        <f>VLOOKUP(A524,[2]v_02_2023!F:I,3,FALSE)</f>
        <v>14</v>
      </c>
      <c r="K524" s="28">
        <f>VLOOKUP(A524,[2]v_02_2023!F:I,4,FALSE)</f>
        <v>188.83</v>
      </c>
      <c r="L524" s="21">
        <f t="shared" si="53"/>
        <v>-14</v>
      </c>
      <c r="M524" s="29">
        <f t="shared" si="53"/>
        <v>-188.83</v>
      </c>
      <c r="N524" s="26">
        <f t="shared" si="54"/>
        <v>-1</v>
      </c>
    </row>
    <row r="525" spans="1:14" x14ac:dyDescent="0.25">
      <c r="A525" s="21" t="s">
        <v>229</v>
      </c>
      <c r="B525" s="22" t="s">
        <v>228</v>
      </c>
      <c r="C525">
        <v>0</v>
      </c>
      <c r="D525" s="28">
        <v>0</v>
      </c>
      <c r="E525" s="21">
        <f>VLOOKUP(A525,[2]s_02_2024!E:G,2,FALSE)</f>
        <v>8</v>
      </c>
      <c r="F525" s="28">
        <f>VLOOKUP(A525,[2]s_02_2024!E:G,3,FALSE)</f>
        <v>319.2</v>
      </c>
      <c r="G525" s="24">
        <f t="shared" si="51"/>
        <v>1</v>
      </c>
      <c r="H525" s="21">
        <f t="shared" si="52"/>
        <v>8</v>
      </c>
      <c r="I525" s="28">
        <f t="shared" si="52"/>
        <v>319.2</v>
      </c>
      <c r="J525" s="21">
        <v>0</v>
      </c>
      <c r="K525" s="28">
        <v>0</v>
      </c>
      <c r="L525" s="21">
        <f t="shared" si="53"/>
        <v>8</v>
      </c>
      <c r="M525" s="29">
        <f t="shared" si="53"/>
        <v>319.2</v>
      </c>
      <c r="N525" s="26"/>
    </row>
    <row r="526" spans="1:14" x14ac:dyDescent="0.25">
      <c r="A526" s="21" t="s">
        <v>231</v>
      </c>
      <c r="B526" s="22" t="s">
        <v>230</v>
      </c>
      <c r="C526">
        <f>VLOOKUP(A526,[2]v_02_2024!F:I,3,FALSE)</f>
        <v>6</v>
      </c>
      <c r="D526" s="28">
        <f>VLOOKUP(A526,[2]v_02_2024!F:I,4,FALSE)</f>
        <v>261.24</v>
      </c>
      <c r="E526" s="21">
        <v>0</v>
      </c>
      <c r="F526" s="28">
        <v>0</v>
      </c>
      <c r="G526" s="24">
        <f t="shared" si="51"/>
        <v>0</v>
      </c>
      <c r="H526" s="21">
        <f t="shared" si="52"/>
        <v>6</v>
      </c>
      <c r="I526" s="28">
        <f t="shared" si="52"/>
        <v>261.24</v>
      </c>
      <c r="J526" s="21">
        <f>VLOOKUP(A526,[2]v_02_2023!F:I,3,FALSE)</f>
        <v>6</v>
      </c>
      <c r="K526" s="28">
        <f>VLOOKUP(A526,[2]v_02_2023!F:I,4,FALSE)</f>
        <v>358.93</v>
      </c>
      <c r="L526" s="21">
        <f t="shared" si="53"/>
        <v>0</v>
      </c>
      <c r="M526" s="29">
        <f t="shared" si="53"/>
        <v>-97.69</v>
      </c>
      <c r="N526" s="26">
        <f t="shared" si="54"/>
        <v>-0.2721700610146825</v>
      </c>
    </row>
    <row r="527" spans="1:14" x14ac:dyDescent="0.25">
      <c r="A527" s="21" t="s">
        <v>233</v>
      </c>
      <c r="B527" s="22" t="s">
        <v>232</v>
      </c>
      <c r="C527">
        <f>VLOOKUP(A527,[2]v_02_2024!F:I,3,FALSE)</f>
        <v>28</v>
      </c>
      <c r="D527" s="28">
        <f>VLOOKUP(A527,[2]v_02_2024!F:I,4,FALSE)</f>
        <v>1604.4</v>
      </c>
      <c r="E527" s="21">
        <v>0</v>
      </c>
      <c r="F527" s="28">
        <v>0</v>
      </c>
      <c r="G527" s="24">
        <f t="shared" si="51"/>
        <v>0</v>
      </c>
      <c r="H527" s="21">
        <f t="shared" si="52"/>
        <v>28</v>
      </c>
      <c r="I527" s="28">
        <f t="shared" si="52"/>
        <v>1604.4</v>
      </c>
      <c r="J527" s="21">
        <f>VLOOKUP(A527,[2]v_02_2023!F:I,3,FALSE)</f>
        <v>129</v>
      </c>
      <c r="K527" s="28">
        <f>VLOOKUP(A527,[2]v_02_2023!F:I,4,FALSE)</f>
        <v>6333.63</v>
      </c>
      <c r="L527" s="21">
        <f t="shared" si="53"/>
        <v>-101</v>
      </c>
      <c r="M527" s="29">
        <f t="shared" si="53"/>
        <v>-4729.2299999999996</v>
      </c>
      <c r="N527" s="26">
        <f t="shared" si="54"/>
        <v>-0.74668554999265813</v>
      </c>
    </row>
    <row r="528" spans="1:14" x14ac:dyDescent="0.25">
      <c r="A528" s="21" t="s">
        <v>235</v>
      </c>
      <c r="B528" s="22" t="s">
        <v>234</v>
      </c>
      <c r="C528">
        <f>VLOOKUP(A528,[2]v_02_2024!F:I,3,FALSE)</f>
        <v>1</v>
      </c>
      <c r="D528" s="28">
        <f>VLOOKUP(A528,[2]v_02_2024!F:I,4,FALSE)</f>
        <v>4.91</v>
      </c>
      <c r="E528" s="21">
        <v>0</v>
      </c>
      <c r="F528" s="28">
        <v>0</v>
      </c>
      <c r="G528" s="24">
        <f t="shared" si="51"/>
        <v>0</v>
      </c>
      <c r="H528" s="21">
        <f t="shared" si="52"/>
        <v>1</v>
      </c>
      <c r="I528" s="28">
        <f t="shared" si="52"/>
        <v>4.91</v>
      </c>
      <c r="J528" s="21">
        <f>VLOOKUP(A528,[2]v_02_2023!F:I,3,FALSE)</f>
        <v>11</v>
      </c>
      <c r="K528" s="28">
        <f>VLOOKUP(A528,[2]v_02_2023!F:I,4,FALSE)</f>
        <v>44.22</v>
      </c>
      <c r="L528" s="21">
        <f t="shared" si="53"/>
        <v>-10</v>
      </c>
      <c r="M528" s="29">
        <f t="shared" si="53"/>
        <v>-39.31</v>
      </c>
      <c r="N528" s="26">
        <f t="shared" si="54"/>
        <v>-0.8889642695612846</v>
      </c>
    </row>
    <row r="529" spans="1:14" x14ac:dyDescent="0.25">
      <c r="A529" s="21" t="s">
        <v>237</v>
      </c>
      <c r="B529" s="22" t="s">
        <v>236</v>
      </c>
      <c r="C529">
        <f>VLOOKUP(A529,[2]v_02_2024!F:I,3,FALSE)</f>
        <v>4</v>
      </c>
      <c r="D529" s="28">
        <f>VLOOKUP(A529,[2]v_02_2024!F:I,4,FALSE)</f>
        <v>65.239999999999995</v>
      </c>
      <c r="E529" s="21">
        <v>0</v>
      </c>
      <c r="F529" s="28">
        <v>0</v>
      </c>
      <c r="G529" s="24">
        <f t="shared" si="51"/>
        <v>0</v>
      </c>
      <c r="H529" s="21">
        <f t="shared" si="52"/>
        <v>4</v>
      </c>
      <c r="I529" s="28">
        <f t="shared" si="52"/>
        <v>65.239999999999995</v>
      </c>
      <c r="J529" s="21">
        <f>VLOOKUP(A529,[2]v_02_2023!F:I,3,FALSE)</f>
        <v>2</v>
      </c>
      <c r="K529" s="28">
        <f>VLOOKUP(A529,[2]v_02_2023!F:I,4,FALSE)</f>
        <v>32.619999999999997</v>
      </c>
      <c r="L529" s="21">
        <f t="shared" si="53"/>
        <v>2</v>
      </c>
      <c r="M529" s="29">
        <f t="shared" si="53"/>
        <v>32.619999999999997</v>
      </c>
      <c r="N529" s="26">
        <f t="shared" si="54"/>
        <v>1</v>
      </c>
    </row>
    <row r="530" spans="1:14" x14ac:dyDescent="0.25">
      <c r="A530" s="21" t="s">
        <v>239</v>
      </c>
      <c r="B530" s="22" t="s">
        <v>238</v>
      </c>
      <c r="C530">
        <v>0</v>
      </c>
      <c r="D530" s="28">
        <v>0</v>
      </c>
      <c r="E530" s="21">
        <f>VLOOKUP(A530,[2]s_02_2024!E:G,2,FALSE)</f>
        <v>28</v>
      </c>
      <c r="F530" s="28">
        <f>VLOOKUP(A530,[2]s_02_2024!E:G,3,FALSE)</f>
        <v>2201.2000000000007</v>
      </c>
      <c r="G530" s="24">
        <f t="shared" si="51"/>
        <v>1</v>
      </c>
      <c r="H530" s="21">
        <f t="shared" si="52"/>
        <v>28</v>
      </c>
      <c r="I530" s="28">
        <f t="shared" si="52"/>
        <v>2201.2000000000007</v>
      </c>
      <c r="J530" s="21">
        <v>0</v>
      </c>
      <c r="K530" s="28">
        <v>0</v>
      </c>
      <c r="L530" s="21">
        <f t="shared" si="53"/>
        <v>28</v>
      </c>
      <c r="M530" s="29">
        <f t="shared" si="53"/>
        <v>2201.2000000000007</v>
      </c>
      <c r="N530" s="26"/>
    </row>
    <row r="531" spans="1:14" x14ac:dyDescent="0.25">
      <c r="A531" s="21" t="s">
        <v>241</v>
      </c>
      <c r="B531" s="22" t="s">
        <v>240</v>
      </c>
      <c r="C531">
        <f>VLOOKUP(A531,[2]v_02_2024!F:I,3,FALSE)</f>
        <v>2</v>
      </c>
      <c r="D531" s="28">
        <f>VLOOKUP(A531,[2]v_02_2024!F:I,4,FALSE)</f>
        <v>55.32</v>
      </c>
      <c r="E531" s="21">
        <v>0</v>
      </c>
      <c r="F531" s="28">
        <v>0</v>
      </c>
      <c r="G531" s="24">
        <f t="shared" si="51"/>
        <v>0</v>
      </c>
      <c r="H531" s="21">
        <f t="shared" si="52"/>
        <v>2</v>
      </c>
      <c r="I531" s="28">
        <f t="shared" si="52"/>
        <v>55.32</v>
      </c>
      <c r="J531" s="21">
        <f>VLOOKUP(A531,[2]v_02_2023!F:I,3,FALSE)</f>
        <v>1</v>
      </c>
      <c r="K531" s="28">
        <f>VLOOKUP(A531,[2]v_02_2023!F:I,4,FALSE)</f>
        <v>29.32</v>
      </c>
      <c r="L531" s="21">
        <f t="shared" si="53"/>
        <v>1</v>
      </c>
      <c r="M531" s="29">
        <f t="shared" si="53"/>
        <v>26</v>
      </c>
      <c r="N531" s="26">
        <f t="shared" si="54"/>
        <v>0.88676671214188263</v>
      </c>
    </row>
    <row r="532" spans="1:14" x14ac:dyDescent="0.25">
      <c r="A532" s="21" t="s">
        <v>243</v>
      </c>
      <c r="B532" s="22" t="s">
        <v>242</v>
      </c>
      <c r="C532">
        <f>VLOOKUP(A532,[2]v_02_2024!F:I,3,FALSE)</f>
        <v>4</v>
      </c>
      <c r="D532" s="28">
        <f>VLOOKUP(A532,[2]v_02_2024!F:I,4,FALSE)</f>
        <v>55.4</v>
      </c>
      <c r="E532" s="21">
        <v>0</v>
      </c>
      <c r="F532" s="28">
        <v>0</v>
      </c>
      <c r="G532" s="24">
        <f t="shared" si="51"/>
        <v>0</v>
      </c>
      <c r="H532" s="21">
        <f t="shared" si="52"/>
        <v>4</v>
      </c>
      <c r="I532" s="28">
        <f t="shared" si="52"/>
        <v>55.4</v>
      </c>
      <c r="J532" s="21">
        <f>VLOOKUP(A532,[2]v_02_2023!F:I,3,FALSE)</f>
        <v>115</v>
      </c>
      <c r="K532" s="28">
        <f>VLOOKUP(A532,[2]v_02_2023!F:I,4,FALSE)</f>
        <v>1404.15</v>
      </c>
      <c r="L532" s="21">
        <f t="shared" si="53"/>
        <v>-111</v>
      </c>
      <c r="M532" s="29">
        <f t="shared" si="53"/>
        <v>-1348.75</v>
      </c>
      <c r="N532" s="26">
        <f t="shared" si="54"/>
        <v>-0.96054552576291696</v>
      </c>
    </row>
    <row r="533" spans="1:14" x14ac:dyDescent="0.25">
      <c r="A533" s="21" t="s">
        <v>245</v>
      </c>
      <c r="B533" s="22" t="s">
        <v>244</v>
      </c>
      <c r="C533">
        <v>0</v>
      </c>
      <c r="D533" s="28">
        <v>0</v>
      </c>
      <c r="E533" s="21">
        <v>0</v>
      </c>
      <c r="F533" s="28">
        <v>0</v>
      </c>
      <c r="G533" s="24"/>
      <c r="H533" s="21">
        <f t="shared" si="52"/>
        <v>0</v>
      </c>
      <c r="I533" s="28">
        <f t="shared" si="52"/>
        <v>0</v>
      </c>
      <c r="J533" s="21">
        <v>0</v>
      </c>
      <c r="K533" s="28">
        <v>0</v>
      </c>
      <c r="L533" s="21">
        <f t="shared" si="53"/>
        <v>0</v>
      </c>
      <c r="M533" s="29">
        <f t="shared" si="53"/>
        <v>0</v>
      </c>
      <c r="N533" s="26"/>
    </row>
    <row r="534" spans="1:14" x14ac:dyDescent="0.25">
      <c r="A534" s="21" t="s">
        <v>247</v>
      </c>
      <c r="B534" s="22" t="s">
        <v>246</v>
      </c>
      <c r="C534">
        <f>VLOOKUP(A534,[2]v_02_2024!F:I,3,FALSE)</f>
        <v>8</v>
      </c>
      <c r="D534" s="28">
        <f>VLOOKUP(A534,[2]v_02_2024!F:I,4,FALSE)</f>
        <v>174.99</v>
      </c>
      <c r="E534" s="21">
        <v>0</v>
      </c>
      <c r="F534" s="28">
        <v>0</v>
      </c>
      <c r="G534" s="24">
        <f t="shared" si="51"/>
        <v>0</v>
      </c>
      <c r="H534" s="21">
        <f t="shared" si="52"/>
        <v>8</v>
      </c>
      <c r="I534" s="28">
        <f t="shared" si="52"/>
        <v>174.99</v>
      </c>
      <c r="J534" s="21">
        <f>VLOOKUP(A534,[2]v_02_2023!F:I,3,FALSE)</f>
        <v>12</v>
      </c>
      <c r="K534" s="28">
        <f>VLOOKUP(A534,[2]v_02_2023!F:I,4,FALSE)</f>
        <v>266.54000000000002</v>
      </c>
      <c r="L534" s="21">
        <f t="shared" si="53"/>
        <v>-4</v>
      </c>
      <c r="M534" s="29">
        <f t="shared" si="53"/>
        <v>-91.550000000000011</v>
      </c>
      <c r="N534" s="26">
        <f t="shared" si="54"/>
        <v>-0.34347565093419374</v>
      </c>
    </row>
    <row r="535" spans="1:14" x14ac:dyDescent="0.25">
      <c r="A535" s="21" t="s">
        <v>249</v>
      </c>
      <c r="B535" s="22" t="s">
        <v>248</v>
      </c>
      <c r="C535">
        <f>VLOOKUP(A535,[2]v_02_2024!F:I,3,FALSE)</f>
        <v>0</v>
      </c>
      <c r="D535" s="28">
        <f>VLOOKUP(A535,[2]v_02_2024!F:I,4,FALSE)</f>
        <v>0</v>
      </c>
      <c r="E535" s="21">
        <v>0</v>
      </c>
      <c r="F535" s="28">
        <v>0</v>
      </c>
      <c r="G535" s="24"/>
      <c r="H535" s="21">
        <f t="shared" si="52"/>
        <v>0</v>
      </c>
      <c r="I535" s="28">
        <f t="shared" si="52"/>
        <v>0</v>
      </c>
      <c r="J535" s="21">
        <v>0</v>
      </c>
      <c r="K535" s="28">
        <v>0</v>
      </c>
      <c r="L535" s="21">
        <f t="shared" si="53"/>
        <v>0</v>
      </c>
      <c r="M535" s="29">
        <f t="shared" si="53"/>
        <v>0</v>
      </c>
      <c r="N535" s="26"/>
    </row>
    <row r="536" spans="1:14" x14ac:dyDescent="0.25">
      <c r="A536" s="21" t="s">
        <v>251</v>
      </c>
      <c r="B536" s="22" t="s">
        <v>250</v>
      </c>
      <c r="C536">
        <v>0</v>
      </c>
      <c r="D536" s="28">
        <v>0</v>
      </c>
      <c r="E536" s="21">
        <v>0</v>
      </c>
      <c r="F536" s="28">
        <v>0</v>
      </c>
      <c r="G536" s="24"/>
      <c r="H536" s="21">
        <f t="shared" si="52"/>
        <v>0</v>
      </c>
      <c r="I536" s="28">
        <f t="shared" si="52"/>
        <v>0</v>
      </c>
      <c r="J536" s="21">
        <f>VLOOKUP(A536,[2]v_02_2023!F:I,3,FALSE)</f>
        <v>6</v>
      </c>
      <c r="K536" s="28">
        <f>VLOOKUP(A536,[2]v_02_2023!F:I,4,FALSE)</f>
        <v>40.840000000000003</v>
      </c>
      <c r="L536" s="21">
        <f t="shared" si="53"/>
        <v>-6</v>
      </c>
      <c r="M536" s="29">
        <f t="shared" si="53"/>
        <v>-40.840000000000003</v>
      </c>
      <c r="N536" s="26">
        <f t="shared" si="54"/>
        <v>-1</v>
      </c>
    </row>
    <row r="537" spans="1:14" x14ac:dyDescent="0.25">
      <c r="A537" s="21" t="s">
        <v>253</v>
      </c>
      <c r="B537" s="22" t="s">
        <v>252</v>
      </c>
      <c r="C537">
        <f>VLOOKUP(A537,[2]v_02_2024!F:I,3,FALSE)</f>
        <v>0</v>
      </c>
      <c r="D537" s="28">
        <f>VLOOKUP(A537,[2]v_02_2024!F:I,4,FALSE)</f>
        <v>0</v>
      </c>
      <c r="E537" s="21">
        <v>0</v>
      </c>
      <c r="F537" s="28">
        <v>0</v>
      </c>
      <c r="G537" s="24"/>
      <c r="H537" s="21">
        <f t="shared" si="52"/>
        <v>0</v>
      </c>
      <c r="I537" s="28">
        <f t="shared" si="52"/>
        <v>0</v>
      </c>
      <c r="J537" s="21">
        <v>0</v>
      </c>
      <c r="K537" s="28">
        <v>0</v>
      </c>
      <c r="L537" s="21">
        <f t="shared" si="53"/>
        <v>0</v>
      </c>
      <c r="M537" s="29">
        <f t="shared" si="53"/>
        <v>0</v>
      </c>
      <c r="N537" s="26"/>
    </row>
    <row r="538" spans="1:14" x14ac:dyDescent="0.25">
      <c r="A538" s="21" t="s">
        <v>255</v>
      </c>
      <c r="B538" s="22" t="s">
        <v>254</v>
      </c>
      <c r="C538">
        <v>0</v>
      </c>
      <c r="D538" s="28">
        <v>0</v>
      </c>
      <c r="E538" s="21">
        <v>0</v>
      </c>
      <c r="F538" s="28">
        <v>0</v>
      </c>
      <c r="G538" s="24"/>
      <c r="H538" s="21">
        <f t="shared" si="52"/>
        <v>0</v>
      </c>
      <c r="I538" s="28">
        <f t="shared" si="52"/>
        <v>0</v>
      </c>
      <c r="J538" s="21">
        <v>0</v>
      </c>
      <c r="K538" s="28">
        <v>0</v>
      </c>
      <c r="L538" s="21">
        <f t="shared" si="53"/>
        <v>0</v>
      </c>
      <c r="M538" s="29">
        <f t="shared" si="53"/>
        <v>0</v>
      </c>
      <c r="N538" s="26"/>
    </row>
    <row r="539" spans="1:14" x14ac:dyDescent="0.25">
      <c r="A539" s="21" t="s">
        <v>257</v>
      </c>
      <c r="B539" s="22" t="s">
        <v>256</v>
      </c>
      <c r="C539">
        <v>0</v>
      </c>
      <c r="D539" s="28">
        <v>0</v>
      </c>
      <c r="E539" s="21">
        <v>0</v>
      </c>
      <c r="F539" s="28">
        <v>0</v>
      </c>
      <c r="G539" s="24"/>
      <c r="H539" s="21">
        <f t="shared" si="52"/>
        <v>0</v>
      </c>
      <c r="I539" s="28">
        <f t="shared" si="52"/>
        <v>0</v>
      </c>
      <c r="J539" s="21">
        <f>VLOOKUP(A539,[2]v_02_2023!F:I,3,FALSE)</f>
        <v>0</v>
      </c>
      <c r="K539" s="28">
        <f>VLOOKUP(A539,[2]v_02_2023!F:I,4,FALSE)</f>
        <v>0</v>
      </c>
      <c r="L539" s="21">
        <f t="shared" si="53"/>
        <v>0</v>
      </c>
      <c r="M539" s="29">
        <f t="shared" si="53"/>
        <v>0</v>
      </c>
      <c r="N539" s="26"/>
    </row>
    <row r="540" spans="1:14" x14ac:dyDescent="0.25">
      <c r="A540" s="21" t="s">
        <v>261</v>
      </c>
      <c r="B540" s="22" t="s">
        <v>260</v>
      </c>
      <c r="C540">
        <v>0</v>
      </c>
      <c r="D540" s="28">
        <v>0</v>
      </c>
      <c r="E540" s="21">
        <v>0</v>
      </c>
      <c r="F540" s="28">
        <v>0</v>
      </c>
      <c r="G540" s="24"/>
      <c r="H540" s="21">
        <f t="shared" si="52"/>
        <v>0</v>
      </c>
      <c r="I540" s="28">
        <f t="shared" si="52"/>
        <v>0</v>
      </c>
      <c r="J540" s="21">
        <v>0</v>
      </c>
      <c r="K540" s="28">
        <v>0</v>
      </c>
      <c r="L540" s="21">
        <f t="shared" si="53"/>
        <v>0</v>
      </c>
      <c r="M540" s="29">
        <f t="shared" si="53"/>
        <v>0</v>
      </c>
      <c r="N540" s="26"/>
    </row>
    <row r="541" spans="1:14" x14ac:dyDescent="0.25">
      <c r="A541" s="21" t="s">
        <v>263</v>
      </c>
      <c r="B541" s="22" t="s">
        <v>262</v>
      </c>
      <c r="C541">
        <v>0</v>
      </c>
      <c r="D541" s="28">
        <v>0</v>
      </c>
      <c r="E541" s="21">
        <v>0</v>
      </c>
      <c r="F541" s="28">
        <v>0</v>
      </c>
      <c r="G541" s="24"/>
      <c r="H541" s="21">
        <f t="shared" si="52"/>
        <v>0</v>
      </c>
      <c r="I541" s="28">
        <f t="shared" si="52"/>
        <v>0</v>
      </c>
      <c r="J541" s="21">
        <v>0</v>
      </c>
      <c r="K541" s="28">
        <v>0</v>
      </c>
      <c r="L541" s="21">
        <f t="shared" si="53"/>
        <v>0</v>
      </c>
      <c r="M541" s="29">
        <f t="shared" si="53"/>
        <v>0</v>
      </c>
      <c r="N541" s="26"/>
    </row>
    <row r="542" spans="1:14" x14ac:dyDescent="0.25">
      <c r="A542" s="21" t="s">
        <v>267</v>
      </c>
      <c r="B542" s="22" t="s">
        <v>266</v>
      </c>
      <c r="C542">
        <f>VLOOKUP(A542,[2]v_02_2024!F:I,3,FALSE)</f>
        <v>421</v>
      </c>
      <c r="D542" s="28">
        <f>VLOOKUP(A542,[2]v_02_2024!F:I,4,FALSE)</f>
        <v>4828.53</v>
      </c>
      <c r="E542" s="21">
        <v>0</v>
      </c>
      <c r="F542" s="28">
        <v>0</v>
      </c>
      <c r="G542" s="24">
        <f t="shared" si="51"/>
        <v>0</v>
      </c>
      <c r="H542" s="21">
        <f t="shared" si="52"/>
        <v>421</v>
      </c>
      <c r="I542" s="28">
        <f t="shared" si="52"/>
        <v>4828.53</v>
      </c>
      <c r="J542" s="21">
        <f>VLOOKUP(A542,[2]v_02_2023!F:I,3,FALSE)</f>
        <v>936</v>
      </c>
      <c r="K542" s="28">
        <f>VLOOKUP(A542,[2]v_02_2023!F:I,4,FALSE)</f>
        <v>7590.96</v>
      </c>
      <c r="L542" s="21">
        <f t="shared" si="53"/>
        <v>-515</v>
      </c>
      <c r="M542" s="29">
        <f t="shared" si="53"/>
        <v>-2762.4300000000003</v>
      </c>
      <c r="N542" s="26">
        <f t="shared" si="54"/>
        <v>-0.36391049353441468</v>
      </c>
    </row>
    <row r="543" spans="1:14" x14ac:dyDescent="0.25">
      <c r="A543" s="21" t="s">
        <v>269</v>
      </c>
      <c r="B543" s="22" t="s">
        <v>268</v>
      </c>
      <c r="C543">
        <v>0</v>
      </c>
      <c r="D543" s="28">
        <v>0</v>
      </c>
      <c r="E543" s="21">
        <v>0</v>
      </c>
      <c r="F543" s="28">
        <v>0</v>
      </c>
      <c r="G543" s="24"/>
      <c r="H543" s="21">
        <f t="shared" si="52"/>
        <v>0</v>
      </c>
      <c r="I543" s="28">
        <f t="shared" si="52"/>
        <v>0</v>
      </c>
      <c r="J543" s="21">
        <f>VLOOKUP(A543,[2]v_02_2023!F:I,3,FALSE)</f>
        <v>1</v>
      </c>
      <c r="K543" s="28">
        <f>VLOOKUP(A543,[2]v_02_2023!F:I,4,FALSE)</f>
        <v>65.489999999999995</v>
      </c>
      <c r="L543" s="21">
        <f t="shared" si="53"/>
        <v>-1</v>
      </c>
      <c r="M543" s="29">
        <f t="shared" si="53"/>
        <v>-65.489999999999995</v>
      </c>
      <c r="N543" s="26">
        <f t="shared" si="54"/>
        <v>-1</v>
      </c>
    </row>
    <row r="544" spans="1:14" x14ac:dyDescent="0.25">
      <c r="A544" s="21" t="s">
        <v>271</v>
      </c>
      <c r="B544" s="22" t="s">
        <v>270</v>
      </c>
      <c r="C544">
        <f>VLOOKUP(A544,[2]v_02_2024!F:I,3,FALSE)</f>
        <v>6</v>
      </c>
      <c r="D544" s="28">
        <f>VLOOKUP(A544,[2]v_02_2024!F:I,4,FALSE)</f>
        <v>347.46</v>
      </c>
      <c r="E544" s="21">
        <v>0</v>
      </c>
      <c r="F544" s="28">
        <v>0</v>
      </c>
      <c r="G544" s="24">
        <f t="shared" si="51"/>
        <v>0</v>
      </c>
      <c r="H544" s="21">
        <f t="shared" si="52"/>
        <v>6</v>
      </c>
      <c r="I544" s="28">
        <f t="shared" si="52"/>
        <v>347.46</v>
      </c>
      <c r="J544" s="21">
        <f>VLOOKUP(A544,[2]v_02_2023!F:I,3,FALSE)</f>
        <v>61</v>
      </c>
      <c r="K544" s="28">
        <f>VLOOKUP(A544,[2]v_02_2023!F:I,4,FALSE)</f>
        <v>3994.89</v>
      </c>
      <c r="L544" s="21">
        <f t="shared" si="53"/>
        <v>-55</v>
      </c>
      <c r="M544" s="29">
        <f t="shared" si="53"/>
        <v>-3647.43</v>
      </c>
      <c r="N544" s="26">
        <f t="shared" si="54"/>
        <v>-0.91302388801694168</v>
      </c>
    </row>
    <row r="545" spans="1:14" x14ac:dyDescent="0.25">
      <c r="A545" s="21" t="s">
        <v>273</v>
      </c>
      <c r="B545" s="22" t="s">
        <v>272</v>
      </c>
      <c r="C545">
        <v>0</v>
      </c>
      <c r="D545" s="28">
        <v>0</v>
      </c>
      <c r="E545" s="21">
        <v>0</v>
      </c>
      <c r="F545" s="28">
        <v>0</v>
      </c>
      <c r="G545" s="24"/>
      <c r="H545" s="21">
        <f t="shared" si="52"/>
        <v>0</v>
      </c>
      <c r="I545" s="28">
        <f t="shared" si="52"/>
        <v>0</v>
      </c>
      <c r="J545" s="21">
        <f>VLOOKUP(A545,[2]v_02_2023!F:I,3,FALSE)</f>
        <v>1</v>
      </c>
      <c r="K545" s="28">
        <f>VLOOKUP(A545,[2]v_02_2023!F:I,4,FALSE)</f>
        <v>20.41</v>
      </c>
      <c r="L545" s="21">
        <f t="shared" si="53"/>
        <v>-1</v>
      </c>
      <c r="M545" s="29">
        <f t="shared" si="53"/>
        <v>-20.41</v>
      </c>
      <c r="N545" s="26">
        <f t="shared" si="54"/>
        <v>-1</v>
      </c>
    </row>
    <row r="546" spans="1:14" x14ac:dyDescent="0.25">
      <c r="A546" s="21" t="s">
        <v>275</v>
      </c>
      <c r="B546" s="22" t="s">
        <v>274</v>
      </c>
      <c r="C546">
        <f>VLOOKUP(A546,[2]v_02_2024!F:I,3,FALSE)</f>
        <v>0</v>
      </c>
      <c r="D546" s="28">
        <f>VLOOKUP(A546,[2]v_02_2024!F:I,4,FALSE)</f>
        <v>0</v>
      </c>
      <c r="E546" s="21">
        <v>0</v>
      </c>
      <c r="F546" s="28">
        <v>0</v>
      </c>
      <c r="G546" s="24"/>
      <c r="H546" s="21">
        <f t="shared" si="52"/>
        <v>0</v>
      </c>
      <c r="I546" s="28">
        <f t="shared" si="52"/>
        <v>0</v>
      </c>
      <c r="J546" s="21">
        <f>VLOOKUP(A546,[2]v_02_2023!F:I,3,FALSE)</f>
        <v>5</v>
      </c>
      <c r="K546" s="28">
        <f>VLOOKUP(A546,[2]v_02_2023!F:I,4,FALSE)</f>
        <v>81.55</v>
      </c>
      <c r="L546" s="21">
        <f t="shared" si="53"/>
        <v>-5</v>
      </c>
      <c r="M546" s="29">
        <f t="shared" si="53"/>
        <v>-81.55</v>
      </c>
      <c r="N546" s="26">
        <f t="shared" si="54"/>
        <v>-1</v>
      </c>
    </row>
    <row r="547" spans="1:14" x14ac:dyDescent="0.25">
      <c r="A547" s="21" t="s">
        <v>277</v>
      </c>
      <c r="B547" s="22" t="s">
        <v>276</v>
      </c>
      <c r="C547">
        <f>VLOOKUP(A547,[2]v_02_2024!F:I,3,FALSE)</f>
        <v>7</v>
      </c>
      <c r="D547" s="28">
        <f>VLOOKUP(A547,[2]v_02_2024!F:I,4,FALSE)</f>
        <v>73.53</v>
      </c>
      <c r="E547" s="21">
        <v>0</v>
      </c>
      <c r="F547" s="28">
        <v>0</v>
      </c>
      <c r="G547" s="24">
        <f t="shared" si="51"/>
        <v>0</v>
      </c>
      <c r="H547" s="21">
        <f t="shared" si="52"/>
        <v>7</v>
      </c>
      <c r="I547" s="28">
        <f t="shared" si="52"/>
        <v>73.53</v>
      </c>
      <c r="J547" s="21">
        <v>0</v>
      </c>
      <c r="K547" s="28">
        <v>0</v>
      </c>
      <c r="L547" s="21">
        <f t="shared" si="53"/>
        <v>7</v>
      </c>
      <c r="M547" s="29">
        <f t="shared" si="53"/>
        <v>73.53</v>
      </c>
      <c r="N547" s="26"/>
    </row>
    <row r="548" spans="1:14" x14ac:dyDescent="0.25">
      <c r="A548" s="21" t="s">
        <v>279</v>
      </c>
      <c r="B548" s="22" t="s">
        <v>278</v>
      </c>
      <c r="C548">
        <v>0</v>
      </c>
      <c r="D548" s="28">
        <v>0</v>
      </c>
      <c r="E548" s="21">
        <v>0</v>
      </c>
      <c r="F548" s="28">
        <v>0</v>
      </c>
      <c r="G548" s="24"/>
      <c r="H548" s="21">
        <f t="shared" si="52"/>
        <v>0</v>
      </c>
      <c r="I548" s="28">
        <f t="shared" si="52"/>
        <v>0</v>
      </c>
      <c r="J548" s="21">
        <f>VLOOKUP(A548,[2]v_02_2023!F:I,3,FALSE)</f>
        <v>4</v>
      </c>
      <c r="K548" s="28">
        <f>VLOOKUP(A548,[2]v_02_2023!F:I,4,FALSE)</f>
        <v>48.84</v>
      </c>
      <c r="L548" s="21">
        <f t="shared" si="53"/>
        <v>-4</v>
      </c>
      <c r="M548" s="29">
        <f t="shared" si="53"/>
        <v>-48.84</v>
      </c>
      <c r="N548" s="26">
        <f t="shared" si="54"/>
        <v>-1</v>
      </c>
    </row>
    <row r="549" spans="1:14" x14ac:dyDescent="0.25">
      <c r="A549" s="21" t="s">
        <v>281</v>
      </c>
      <c r="B549" s="22" t="s">
        <v>280</v>
      </c>
      <c r="C549">
        <f>VLOOKUP(A549,[2]v_02_2024!F:I,3,FALSE)</f>
        <v>1</v>
      </c>
      <c r="D549" s="28">
        <f>VLOOKUP(A549,[2]v_02_2024!F:I,4,FALSE)</f>
        <v>7.21</v>
      </c>
      <c r="E549" s="21">
        <v>0</v>
      </c>
      <c r="F549" s="28">
        <v>0</v>
      </c>
      <c r="G549" s="24">
        <f t="shared" si="51"/>
        <v>0</v>
      </c>
      <c r="H549" s="21">
        <f t="shared" si="52"/>
        <v>1</v>
      </c>
      <c r="I549" s="28">
        <f t="shared" si="52"/>
        <v>7.21</v>
      </c>
      <c r="J549" s="21">
        <v>0</v>
      </c>
      <c r="K549" s="28">
        <v>0</v>
      </c>
      <c r="L549" s="21">
        <f t="shared" si="53"/>
        <v>1</v>
      </c>
      <c r="M549" s="29">
        <f t="shared" si="53"/>
        <v>7.21</v>
      </c>
      <c r="N549" s="26"/>
    </row>
    <row r="550" spans="1:14" x14ac:dyDescent="0.25">
      <c r="A550" s="21" t="s">
        <v>283</v>
      </c>
      <c r="B550" s="22" t="s">
        <v>282</v>
      </c>
      <c r="C550">
        <f>VLOOKUP(A550,[2]v_02_2024!F:I,3,FALSE)</f>
        <v>2</v>
      </c>
      <c r="D550" s="28">
        <f>VLOOKUP(A550,[2]v_02_2024!F:I,4,FALSE)</f>
        <v>16.38</v>
      </c>
      <c r="E550" s="21">
        <v>0</v>
      </c>
      <c r="F550" s="28">
        <v>0</v>
      </c>
      <c r="G550" s="24">
        <f t="shared" si="51"/>
        <v>0</v>
      </c>
      <c r="H550" s="21">
        <f t="shared" si="52"/>
        <v>2</v>
      </c>
      <c r="I550" s="28">
        <f t="shared" si="52"/>
        <v>16.38</v>
      </c>
      <c r="J550" s="21">
        <f>VLOOKUP(A550,[2]v_02_2023!F:I,3,FALSE)</f>
        <v>8</v>
      </c>
      <c r="K550" s="28">
        <f>VLOOKUP(A550,[2]v_02_2023!F:I,4,FALSE)</f>
        <v>64.88</v>
      </c>
      <c r="L550" s="21">
        <f t="shared" si="53"/>
        <v>-6</v>
      </c>
      <c r="M550" s="29">
        <f t="shared" si="53"/>
        <v>-48.5</v>
      </c>
      <c r="N550" s="26">
        <f t="shared" si="54"/>
        <v>-0.747533908754624</v>
      </c>
    </row>
    <row r="551" spans="1:14" x14ac:dyDescent="0.25">
      <c r="A551" s="21" t="s">
        <v>285</v>
      </c>
      <c r="B551" s="22" t="s">
        <v>284</v>
      </c>
      <c r="C551">
        <f>VLOOKUP(A551,[2]v_02_2024!F:I,3,FALSE)</f>
        <v>6</v>
      </c>
      <c r="D551" s="28">
        <f>VLOOKUP(A551,[2]v_02_2024!F:I,4,FALSE)</f>
        <v>104.26</v>
      </c>
      <c r="E551" s="21">
        <v>0</v>
      </c>
      <c r="F551" s="28">
        <v>0</v>
      </c>
      <c r="G551" s="24">
        <f t="shared" si="51"/>
        <v>0</v>
      </c>
      <c r="H551" s="21">
        <f t="shared" si="52"/>
        <v>6</v>
      </c>
      <c r="I551" s="28">
        <f t="shared" si="52"/>
        <v>104.26</v>
      </c>
      <c r="J551" s="21">
        <f>VLOOKUP(A551,[2]v_02_2023!F:I,3,FALSE)</f>
        <v>33</v>
      </c>
      <c r="K551" s="28">
        <f>VLOOKUP(A551,[2]v_02_2023!F:I,4,FALSE)</f>
        <v>483.66</v>
      </c>
      <c r="L551" s="21">
        <f t="shared" si="53"/>
        <v>-27</v>
      </c>
      <c r="M551" s="29">
        <f t="shared" si="53"/>
        <v>-379.40000000000003</v>
      </c>
      <c r="N551" s="26">
        <f t="shared" si="54"/>
        <v>-0.78443534714468843</v>
      </c>
    </row>
    <row r="552" spans="1:14" x14ac:dyDescent="0.25">
      <c r="A552" s="21" t="s">
        <v>287</v>
      </c>
      <c r="B552" s="22" t="s">
        <v>286</v>
      </c>
      <c r="C552">
        <f>VLOOKUP(A552,[2]v_02_2024!F:I,3,FALSE)</f>
        <v>53</v>
      </c>
      <c r="D552" s="28">
        <f>VLOOKUP(A552,[2]v_02_2024!F:I,4,FALSE)</f>
        <v>864.43</v>
      </c>
      <c r="E552" s="21">
        <v>0</v>
      </c>
      <c r="F552" s="28">
        <v>0</v>
      </c>
      <c r="G552" s="24">
        <f t="shared" si="51"/>
        <v>0</v>
      </c>
      <c r="H552" s="21">
        <f t="shared" si="52"/>
        <v>53</v>
      </c>
      <c r="I552" s="28">
        <f t="shared" si="52"/>
        <v>864.43</v>
      </c>
      <c r="J552" s="21">
        <f>VLOOKUP(A552,[2]v_02_2023!F:I,3,FALSE)</f>
        <v>199</v>
      </c>
      <c r="K552" s="28">
        <f>VLOOKUP(A552,[2]v_02_2023!F:I,4,FALSE)</f>
        <v>3072.76</v>
      </c>
      <c r="L552" s="21">
        <f t="shared" si="53"/>
        <v>-146</v>
      </c>
      <c r="M552" s="29">
        <f t="shared" si="53"/>
        <v>-2208.3300000000004</v>
      </c>
      <c r="N552" s="26">
        <f t="shared" si="54"/>
        <v>-0.71867962353063708</v>
      </c>
    </row>
    <row r="553" spans="1:14" x14ac:dyDescent="0.25">
      <c r="A553" s="21" t="s">
        <v>289</v>
      </c>
      <c r="B553" s="22" t="s">
        <v>288</v>
      </c>
      <c r="C553">
        <f>VLOOKUP(A553,[2]v_02_2024!F:I,3,FALSE)</f>
        <v>10</v>
      </c>
      <c r="D553" s="28">
        <f>VLOOKUP(A553,[2]v_02_2024!F:I,4,FALSE)</f>
        <v>138.18</v>
      </c>
      <c r="E553" s="21">
        <v>0</v>
      </c>
      <c r="F553" s="28">
        <v>0</v>
      </c>
      <c r="G553" s="24">
        <f t="shared" si="51"/>
        <v>0</v>
      </c>
      <c r="H553" s="21">
        <f t="shared" si="52"/>
        <v>10</v>
      </c>
      <c r="I553" s="28">
        <f t="shared" si="52"/>
        <v>138.18</v>
      </c>
      <c r="J553" s="21">
        <f>VLOOKUP(A553,[2]v_02_2023!F:I,3,FALSE)</f>
        <v>72</v>
      </c>
      <c r="K553" s="28">
        <f>VLOOKUP(A553,[2]v_02_2023!F:I,4,FALSE)</f>
        <v>878.14</v>
      </c>
      <c r="L553" s="21">
        <f t="shared" si="53"/>
        <v>-62</v>
      </c>
      <c r="M553" s="29">
        <f t="shared" si="53"/>
        <v>-739.96</v>
      </c>
      <c r="N553" s="26">
        <f t="shared" si="54"/>
        <v>-0.84264468080260557</v>
      </c>
    </row>
    <row r="554" spans="1:14" x14ac:dyDescent="0.25">
      <c r="A554" s="21" t="s">
        <v>291</v>
      </c>
      <c r="B554" s="22" t="s">
        <v>290</v>
      </c>
      <c r="C554">
        <v>0</v>
      </c>
      <c r="D554" s="28">
        <v>0</v>
      </c>
      <c r="E554" s="21">
        <v>0</v>
      </c>
      <c r="F554" s="28">
        <v>0</v>
      </c>
      <c r="G554" s="24"/>
      <c r="H554" s="21">
        <f t="shared" si="52"/>
        <v>0</v>
      </c>
      <c r="I554" s="28">
        <f t="shared" si="52"/>
        <v>0</v>
      </c>
      <c r="J554" s="21">
        <v>0</v>
      </c>
      <c r="K554" s="28">
        <v>0</v>
      </c>
      <c r="L554" s="21">
        <f t="shared" si="53"/>
        <v>0</v>
      </c>
      <c r="M554" s="29">
        <f t="shared" si="53"/>
        <v>0</v>
      </c>
      <c r="N554" s="26"/>
    </row>
    <row r="555" spans="1:14" x14ac:dyDescent="0.25">
      <c r="A555" s="21" t="s">
        <v>293</v>
      </c>
      <c r="B555" s="22" t="s">
        <v>292</v>
      </c>
      <c r="C555">
        <f>VLOOKUP(A555,[2]v_02_2024!F:I,3,FALSE)</f>
        <v>95</v>
      </c>
      <c r="D555" s="28">
        <f>VLOOKUP(A555,[2]v_02_2024!F:I,4,FALSE)</f>
        <v>1060.56</v>
      </c>
      <c r="E555" s="21">
        <v>0</v>
      </c>
      <c r="F555" s="28">
        <v>0</v>
      </c>
      <c r="G555" s="24">
        <f t="shared" si="51"/>
        <v>0</v>
      </c>
      <c r="H555" s="21">
        <f t="shared" si="52"/>
        <v>95</v>
      </c>
      <c r="I555" s="28">
        <f t="shared" si="52"/>
        <v>1060.56</v>
      </c>
      <c r="J555" s="21">
        <f>VLOOKUP(A555,[2]v_02_2023!F:I,3,FALSE)</f>
        <v>444</v>
      </c>
      <c r="K555" s="28">
        <f>VLOOKUP(A555,[2]v_02_2023!F:I,4,FALSE)</f>
        <v>3600.84</v>
      </c>
      <c r="L555" s="21">
        <f t="shared" si="53"/>
        <v>-349</v>
      </c>
      <c r="M555" s="29">
        <f t="shared" si="53"/>
        <v>-2540.2800000000002</v>
      </c>
      <c r="N555" s="26">
        <f t="shared" si="54"/>
        <v>-0.7054687239644083</v>
      </c>
    </row>
    <row r="556" spans="1:14" x14ac:dyDescent="0.25">
      <c r="A556" s="21" t="s">
        <v>295</v>
      </c>
      <c r="B556" s="22" t="s">
        <v>294</v>
      </c>
      <c r="C556">
        <f>VLOOKUP(A556,[2]v_02_2024!F:I,3,FALSE)</f>
        <v>11</v>
      </c>
      <c r="D556" s="28">
        <f>VLOOKUP(A556,[2]v_02_2024!F:I,4,FALSE)</f>
        <v>89.1</v>
      </c>
      <c r="E556" s="21">
        <v>0</v>
      </c>
      <c r="F556" s="28">
        <v>0</v>
      </c>
      <c r="G556" s="24">
        <f t="shared" ref="G556:G618" si="55">F556/I556</f>
        <v>0</v>
      </c>
      <c r="H556" s="21">
        <f t="shared" ref="H556:I619" si="56">E556+C556</f>
        <v>11</v>
      </c>
      <c r="I556" s="28">
        <f t="shared" si="56"/>
        <v>89.1</v>
      </c>
      <c r="J556" s="21">
        <f>VLOOKUP(A556,[2]v_02_2023!F:I,3,FALSE)</f>
        <v>51</v>
      </c>
      <c r="K556" s="28">
        <f>VLOOKUP(A556,[2]v_02_2023!F:I,4,FALSE)</f>
        <v>372.3</v>
      </c>
      <c r="L556" s="21">
        <f t="shared" ref="L556:M619" si="57">H556-J556</f>
        <v>-40</v>
      </c>
      <c r="M556" s="29">
        <f t="shared" si="57"/>
        <v>-283.20000000000005</v>
      </c>
      <c r="N556" s="26">
        <f t="shared" ref="N556:N615" si="58">M556/K556</f>
        <v>-0.76067687348912183</v>
      </c>
    </row>
    <row r="557" spans="1:14" x14ac:dyDescent="0.25">
      <c r="A557" s="21" t="s">
        <v>297</v>
      </c>
      <c r="B557" s="22" t="s">
        <v>296</v>
      </c>
      <c r="C557">
        <f>VLOOKUP(A557,[2]v_02_2024!F:I,3,FALSE)</f>
        <v>0</v>
      </c>
      <c r="D557" s="28">
        <f>VLOOKUP(A557,[2]v_02_2024!F:I,4,FALSE)</f>
        <v>0</v>
      </c>
      <c r="E557" s="21">
        <v>0</v>
      </c>
      <c r="F557" s="28">
        <v>0</v>
      </c>
      <c r="G557" s="24"/>
      <c r="H557" s="21">
        <f t="shared" si="56"/>
        <v>0</v>
      </c>
      <c r="I557" s="28">
        <f t="shared" si="56"/>
        <v>0</v>
      </c>
      <c r="J557" s="21">
        <f>VLOOKUP(A557,[2]v_02_2023!F:I,3,FALSE)</f>
        <v>67</v>
      </c>
      <c r="K557" s="28">
        <f>VLOOKUP(A557,[2]v_02_2023!F:I,4,FALSE)</f>
        <v>1092.77</v>
      </c>
      <c r="L557" s="21">
        <f t="shared" si="57"/>
        <v>-67</v>
      </c>
      <c r="M557" s="29">
        <f t="shared" si="57"/>
        <v>-1092.77</v>
      </c>
      <c r="N557" s="26">
        <f t="shared" si="58"/>
        <v>-1</v>
      </c>
    </row>
    <row r="558" spans="1:14" x14ac:dyDescent="0.25">
      <c r="A558" s="21" t="s">
        <v>299</v>
      </c>
      <c r="B558" s="22" t="s">
        <v>298</v>
      </c>
      <c r="C558">
        <f>VLOOKUP(A558,[2]v_02_2024!F:I,3,FALSE)</f>
        <v>2</v>
      </c>
      <c r="D558" s="28">
        <f>VLOOKUP(A558,[2]v_02_2024!F:I,4,FALSE)</f>
        <v>19.3</v>
      </c>
      <c r="E558" s="21">
        <v>0</v>
      </c>
      <c r="F558" s="28">
        <v>0</v>
      </c>
      <c r="G558" s="24">
        <f t="shared" si="55"/>
        <v>0</v>
      </c>
      <c r="H558" s="21">
        <f t="shared" si="56"/>
        <v>2</v>
      </c>
      <c r="I558" s="28">
        <f t="shared" si="56"/>
        <v>19.3</v>
      </c>
      <c r="J558" s="21">
        <f>VLOOKUP(A558,[2]v_02_2023!F:I,3,FALSE)</f>
        <v>57</v>
      </c>
      <c r="K558" s="28">
        <f>VLOOKUP(A558,[2]v_02_2023!F:I,4,FALSE)</f>
        <v>493.55</v>
      </c>
      <c r="L558" s="21">
        <f t="shared" si="57"/>
        <v>-55</v>
      </c>
      <c r="M558" s="29">
        <f t="shared" si="57"/>
        <v>-474.25</v>
      </c>
      <c r="N558" s="26">
        <f t="shared" si="58"/>
        <v>-0.96089555262891291</v>
      </c>
    </row>
    <row r="559" spans="1:14" x14ac:dyDescent="0.25">
      <c r="A559" s="21" t="s">
        <v>301</v>
      </c>
      <c r="B559" s="22" t="s">
        <v>300</v>
      </c>
      <c r="C559">
        <f>VLOOKUP(A559,[2]v_02_2024!F:I,3,FALSE)</f>
        <v>44</v>
      </c>
      <c r="D559" s="28">
        <f>VLOOKUP(A559,[2]v_02_2024!F:I,4,FALSE)</f>
        <v>540.46</v>
      </c>
      <c r="E559" s="21">
        <f>VLOOKUP(A559,[2]s_02_2024!E:G,2,FALSE)</f>
        <v>140</v>
      </c>
      <c r="F559" s="28">
        <f>VLOOKUP(A559,[2]s_02_2024!E:G,3,FALSE)</f>
        <v>2042.0000000000045</v>
      </c>
      <c r="G559" s="24">
        <f t="shared" si="55"/>
        <v>0.79071892691464762</v>
      </c>
      <c r="H559" s="21">
        <f t="shared" si="56"/>
        <v>184</v>
      </c>
      <c r="I559" s="28">
        <f t="shared" si="56"/>
        <v>2582.4600000000046</v>
      </c>
      <c r="J559" s="21">
        <f>VLOOKUP(A559,[2]v_02_2023!F:I,3,FALSE)</f>
        <v>396</v>
      </c>
      <c r="K559" s="28">
        <f>VLOOKUP(A559,[2]v_02_2023!F:I,4,FALSE)</f>
        <v>4835.16</v>
      </c>
      <c r="L559" s="21">
        <f t="shared" si="57"/>
        <v>-212</v>
      </c>
      <c r="M559" s="29">
        <f t="shared" si="57"/>
        <v>-2252.6999999999953</v>
      </c>
      <c r="N559" s="26">
        <f t="shared" si="58"/>
        <v>-0.46589978408160132</v>
      </c>
    </row>
    <row r="560" spans="1:14" x14ac:dyDescent="0.25">
      <c r="A560" s="21" t="s">
        <v>303</v>
      </c>
      <c r="B560" s="22" t="s">
        <v>302</v>
      </c>
      <c r="C560">
        <f>VLOOKUP(A560,[2]v_02_2024!F:I,3,FALSE)</f>
        <v>0</v>
      </c>
      <c r="D560" s="28">
        <f>VLOOKUP(A560,[2]v_02_2024!F:I,4,FALSE)</f>
        <v>0</v>
      </c>
      <c r="E560" s="21">
        <v>0</v>
      </c>
      <c r="F560" s="28">
        <v>0</v>
      </c>
      <c r="G560" s="24"/>
      <c r="H560" s="21">
        <f t="shared" si="56"/>
        <v>0</v>
      </c>
      <c r="I560" s="28">
        <f t="shared" si="56"/>
        <v>0</v>
      </c>
      <c r="J560" s="21">
        <f>VLOOKUP(A560,[2]v_02_2023!F:I,3,FALSE)</f>
        <v>9</v>
      </c>
      <c r="K560" s="28">
        <f>VLOOKUP(A560,[2]v_02_2023!F:I,4,FALSE)</f>
        <v>94.5</v>
      </c>
      <c r="L560" s="21">
        <f t="shared" si="57"/>
        <v>-9</v>
      </c>
      <c r="M560" s="29">
        <f t="shared" si="57"/>
        <v>-94.5</v>
      </c>
      <c r="N560" s="26">
        <f t="shared" si="58"/>
        <v>-1</v>
      </c>
    </row>
    <row r="561" spans="1:14" x14ac:dyDescent="0.25">
      <c r="A561" s="21" t="s">
        <v>305</v>
      </c>
      <c r="B561" s="22" t="s">
        <v>304</v>
      </c>
      <c r="C561">
        <v>0</v>
      </c>
      <c r="D561" s="28">
        <v>0</v>
      </c>
      <c r="E561" s="21">
        <v>0</v>
      </c>
      <c r="F561" s="28">
        <v>0</v>
      </c>
      <c r="G561" s="24"/>
      <c r="H561" s="21">
        <f t="shared" si="56"/>
        <v>0</v>
      </c>
      <c r="I561" s="28">
        <f t="shared" si="56"/>
        <v>0</v>
      </c>
      <c r="J561" s="21">
        <v>0</v>
      </c>
      <c r="K561" s="28">
        <v>0</v>
      </c>
      <c r="L561" s="21">
        <f t="shared" si="57"/>
        <v>0</v>
      </c>
      <c r="M561" s="29">
        <f t="shared" si="57"/>
        <v>0</v>
      </c>
      <c r="N561" s="26"/>
    </row>
    <row r="562" spans="1:14" x14ac:dyDescent="0.25">
      <c r="A562" s="21" t="s">
        <v>307</v>
      </c>
      <c r="B562" s="22" t="s">
        <v>306</v>
      </c>
      <c r="C562">
        <f>VLOOKUP(A562,[2]v_02_2024!F:I,3,FALSE)</f>
        <v>25</v>
      </c>
      <c r="D562" s="28">
        <f>VLOOKUP(A562,[2]v_02_2024!F:I,4,FALSE)</f>
        <v>305.25</v>
      </c>
      <c r="E562" s="21">
        <v>0</v>
      </c>
      <c r="F562" s="28">
        <v>0</v>
      </c>
      <c r="G562" s="24">
        <f t="shared" si="55"/>
        <v>0</v>
      </c>
      <c r="H562" s="21">
        <f t="shared" si="56"/>
        <v>25</v>
      </c>
      <c r="I562" s="28">
        <f t="shared" si="56"/>
        <v>305.25</v>
      </c>
      <c r="J562" s="21">
        <f>VLOOKUP(A562,[2]v_02_2023!F:I,3,FALSE)</f>
        <v>31</v>
      </c>
      <c r="K562" s="28">
        <f>VLOOKUP(A562,[2]v_02_2023!F:I,4,FALSE)</f>
        <v>372.63</v>
      </c>
      <c r="L562" s="21">
        <f t="shared" si="57"/>
        <v>-6</v>
      </c>
      <c r="M562" s="29">
        <f t="shared" si="57"/>
        <v>-67.38</v>
      </c>
      <c r="N562" s="26">
        <f t="shared" si="58"/>
        <v>-0.18082280009661056</v>
      </c>
    </row>
    <row r="563" spans="1:14" x14ac:dyDescent="0.25">
      <c r="A563" s="21" t="s">
        <v>309</v>
      </c>
      <c r="B563" s="22" t="s">
        <v>308</v>
      </c>
      <c r="C563">
        <f>VLOOKUP(A563,[2]v_02_2024!F:I,3,FALSE)</f>
        <v>3</v>
      </c>
      <c r="D563" s="28">
        <f>VLOOKUP(A563,[2]v_02_2024!F:I,4,FALSE)</f>
        <v>88.7</v>
      </c>
      <c r="E563" s="21">
        <v>0</v>
      </c>
      <c r="F563" s="28">
        <v>0</v>
      </c>
      <c r="G563" s="24">
        <f t="shared" si="55"/>
        <v>0</v>
      </c>
      <c r="H563" s="21">
        <f t="shared" si="56"/>
        <v>3</v>
      </c>
      <c r="I563" s="28">
        <f t="shared" si="56"/>
        <v>88.7</v>
      </c>
      <c r="J563" s="21">
        <v>0</v>
      </c>
      <c r="K563" s="28">
        <v>0</v>
      </c>
      <c r="L563" s="21">
        <f t="shared" si="57"/>
        <v>3</v>
      </c>
      <c r="M563" s="29">
        <f t="shared" si="57"/>
        <v>88.7</v>
      </c>
      <c r="N563" s="26"/>
    </row>
    <row r="564" spans="1:14" x14ac:dyDescent="0.25">
      <c r="A564" s="21" t="s">
        <v>311</v>
      </c>
      <c r="B564" s="22" t="s">
        <v>310</v>
      </c>
      <c r="C564">
        <f>VLOOKUP(A564,[2]v_02_2024!F:I,3,FALSE)</f>
        <v>21</v>
      </c>
      <c r="D564" s="28">
        <f>VLOOKUP(A564,[2]v_02_2024!F:I,4,FALSE)</f>
        <v>600.80999999999995</v>
      </c>
      <c r="E564" s="21">
        <f>VLOOKUP(A564,[2]s_02_2024!E:G,2,FALSE)</f>
        <v>2</v>
      </c>
      <c r="F564" s="28">
        <f>VLOOKUP(A564,[2]s_02_2024!E:G,3,FALSE)</f>
        <v>75.8</v>
      </c>
      <c r="G564" s="24">
        <f t="shared" si="55"/>
        <v>0.11202908617963082</v>
      </c>
      <c r="H564" s="21">
        <f t="shared" si="56"/>
        <v>23</v>
      </c>
      <c r="I564" s="28">
        <f t="shared" si="56"/>
        <v>676.6099999999999</v>
      </c>
      <c r="J564" s="21">
        <f>VLOOKUP(A564,[2]v_02_2023!F:I,3,FALSE)</f>
        <v>34</v>
      </c>
      <c r="K564" s="28">
        <f>VLOOKUP(A564,[2]v_02_2023!F:I,4,FALSE)</f>
        <v>972.74</v>
      </c>
      <c r="L564" s="21">
        <f t="shared" si="57"/>
        <v>-11</v>
      </c>
      <c r="M564" s="29">
        <f t="shared" si="57"/>
        <v>-296.13000000000011</v>
      </c>
      <c r="N564" s="26">
        <f t="shared" si="58"/>
        <v>-0.30442872710076702</v>
      </c>
    </row>
    <row r="565" spans="1:14" x14ac:dyDescent="0.25">
      <c r="A565" s="21" t="s">
        <v>313</v>
      </c>
      <c r="B565" s="22" t="s">
        <v>312</v>
      </c>
      <c r="C565">
        <f>VLOOKUP(A565,[2]v_02_2024!F:I,3,FALSE)</f>
        <v>2</v>
      </c>
      <c r="D565" s="28">
        <f>VLOOKUP(A565,[2]v_02_2024!F:I,4,FALSE)</f>
        <v>135.21</v>
      </c>
      <c r="E565" s="21">
        <v>0</v>
      </c>
      <c r="F565" s="28">
        <v>0</v>
      </c>
      <c r="G565" s="24">
        <f t="shared" si="55"/>
        <v>0</v>
      </c>
      <c r="H565" s="21">
        <f t="shared" si="56"/>
        <v>2</v>
      </c>
      <c r="I565" s="28">
        <f t="shared" si="56"/>
        <v>135.21</v>
      </c>
      <c r="J565" s="21">
        <f>VLOOKUP(A565,[2]v_02_2023!F:I,3,FALSE)</f>
        <v>1</v>
      </c>
      <c r="K565" s="28">
        <f>VLOOKUP(A565,[2]v_02_2023!F:I,4,FALSE)</f>
        <v>65.489999999999995</v>
      </c>
      <c r="L565" s="21">
        <f t="shared" si="57"/>
        <v>1</v>
      </c>
      <c r="M565" s="29">
        <f t="shared" si="57"/>
        <v>69.720000000000013</v>
      </c>
      <c r="N565" s="26">
        <f t="shared" si="58"/>
        <v>1.0645900137425564</v>
      </c>
    </row>
    <row r="566" spans="1:14" x14ac:dyDescent="0.25">
      <c r="A566" s="21" t="s">
        <v>317</v>
      </c>
      <c r="B566" s="22" t="s">
        <v>316</v>
      </c>
      <c r="C566">
        <v>0</v>
      </c>
      <c r="D566" s="28">
        <v>0</v>
      </c>
      <c r="E566" s="21">
        <v>0</v>
      </c>
      <c r="F566" s="28">
        <v>0</v>
      </c>
      <c r="G566" s="24"/>
      <c r="H566" s="21">
        <f t="shared" si="56"/>
        <v>0</v>
      </c>
      <c r="I566" s="28">
        <f t="shared" si="56"/>
        <v>0</v>
      </c>
      <c r="J566" s="21">
        <v>0</v>
      </c>
      <c r="K566" s="28">
        <v>0</v>
      </c>
      <c r="L566" s="21">
        <f t="shared" si="57"/>
        <v>0</v>
      </c>
      <c r="M566" s="29">
        <f t="shared" si="57"/>
        <v>0</v>
      </c>
      <c r="N566" s="26"/>
    </row>
    <row r="567" spans="1:14" x14ac:dyDescent="0.25">
      <c r="A567" s="21" t="s">
        <v>319</v>
      </c>
      <c r="B567" s="22" t="s">
        <v>318</v>
      </c>
      <c r="C567">
        <f>VLOOKUP(A567,[2]v_02_2024!F:I,3,FALSE)</f>
        <v>40</v>
      </c>
      <c r="D567" s="28">
        <f>VLOOKUP(A567,[2]v_02_2024!F:I,4,FALSE)</f>
        <v>560.5</v>
      </c>
      <c r="E567" s="21">
        <v>0</v>
      </c>
      <c r="F567" s="28">
        <v>0</v>
      </c>
      <c r="G567" s="24">
        <f t="shared" si="55"/>
        <v>0</v>
      </c>
      <c r="H567" s="21">
        <f t="shared" si="56"/>
        <v>40</v>
      </c>
      <c r="I567" s="28">
        <f t="shared" si="56"/>
        <v>560.5</v>
      </c>
      <c r="J567" s="21">
        <f>VLOOKUP(A567,[2]v_02_2023!F:I,3,FALSE)</f>
        <v>4</v>
      </c>
      <c r="K567" s="28">
        <f>VLOOKUP(A567,[2]v_02_2023!F:I,4,FALSE)</f>
        <v>58.55</v>
      </c>
      <c r="L567" s="21">
        <f t="shared" si="57"/>
        <v>36</v>
      </c>
      <c r="M567" s="29">
        <f t="shared" si="57"/>
        <v>501.95</v>
      </c>
      <c r="N567" s="26">
        <f t="shared" si="58"/>
        <v>8.5730145175064045</v>
      </c>
    </row>
    <row r="568" spans="1:14" x14ac:dyDescent="0.25">
      <c r="A568" s="21" t="s">
        <v>321</v>
      </c>
      <c r="B568" s="22" t="s">
        <v>320</v>
      </c>
      <c r="C568">
        <v>0</v>
      </c>
      <c r="D568" s="28">
        <v>0</v>
      </c>
      <c r="E568" s="21">
        <v>0</v>
      </c>
      <c r="F568" s="28">
        <v>0</v>
      </c>
      <c r="G568" s="24"/>
      <c r="H568" s="21">
        <f t="shared" si="56"/>
        <v>0</v>
      </c>
      <c r="I568" s="28">
        <f t="shared" si="56"/>
        <v>0</v>
      </c>
      <c r="J568" s="21">
        <v>0</v>
      </c>
      <c r="K568" s="28">
        <v>0</v>
      </c>
      <c r="L568" s="21">
        <f t="shared" si="57"/>
        <v>0</v>
      </c>
      <c r="M568" s="29">
        <f t="shared" si="57"/>
        <v>0</v>
      </c>
      <c r="N568" s="26"/>
    </row>
    <row r="569" spans="1:14" x14ac:dyDescent="0.25">
      <c r="A569" s="21" t="s">
        <v>323</v>
      </c>
      <c r="B569" s="22" t="s">
        <v>322</v>
      </c>
      <c r="C569">
        <f>VLOOKUP(A569,[2]v_02_2024!F:I,3,FALSE)</f>
        <v>2</v>
      </c>
      <c r="D569" s="28">
        <f>VLOOKUP(A569,[2]v_02_2024!F:I,4,FALSE)</f>
        <v>65.400000000000006</v>
      </c>
      <c r="E569" s="21">
        <v>0</v>
      </c>
      <c r="F569" s="28">
        <v>0</v>
      </c>
      <c r="G569" s="24">
        <f t="shared" si="55"/>
        <v>0</v>
      </c>
      <c r="H569" s="21">
        <f t="shared" si="56"/>
        <v>2</v>
      </c>
      <c r="I569" s="28">
        <f t="shared" si="56"/>
        <v>65.400000000000006</v>
      </c>
      <c r="J569" s="21">
        <f>VLOOKUP(A569,[2]v_02_2023!F:I,3,FALSE)</f>
        <v>2</v>
      </c>
      <c r="K569" s="28">
        <f>VLOOKUP(A569,[2]v_02_2023!F:I,4,FALSE)</f>
        <v>65.400000000000006</v>
      </c>
      <c r="L569" s="21">
        <f t="shared" si="57"/>
        <v>0</v>
      </c>
      <c r="M569" s="29">
        <f t="shared" si="57"/>
        <v>0</v>
      </c>
      <c r="N569" s="26">
        <f t="shared" si="58"/>
        <v>0</v>
      </c>
    </row>
    <row r="570" spans="1:14" x14ac:dyDescent="0.25">
      <c r="A570" s="21" t="s">
        <v>325</v>
      </c>
      <c r="B570" s="22" t="s">
        <v>324</v>
      </c>
      <c r="C570">
        <f>VLOOKUP(A570,[2]v_02_2024!F:I,3,FALSE)</f>
        <v>6</v>
      </c>
      <c r="D570" s="28">
        <f>VLOOKUP(A570,[2]v_02_2024!F:I,4,FALSE)</f>
        <v>159.9</v>
      </c>
      <c r="E570" s="21">
        <v>0</v>
      </c>
      <c r="F570" s="28">
        <v>0</v>
      </c>
      <c r="G570" s="24">
        <f t="shared" si="55"/>
        <v>0</v>
      </c>
      <c r="H570" s="21">
        <f t="shared" si="56"/>
        <v>6</v>
      </c>
      <c r="I570" s="28">
        <f t="shared" si="56"/>
        <v>159.9</v>
      </c>
      <c r="J570" s="21">
        <f>VLOOKUP(A570,[2]v_02_2023!F:I,3,FALSE)</f>
        <v>1</v>
      </c>
      <c r="K570" s="28">
        <f>VLOOKUP(A570,[2]v_02_2023!F:I,4,FALSE)</f>
        <v>28.61</v>
      </c>
      <c r="L570" s="21">
        <f t="shared" si="57"/>
        <v>5</v>
      </c>
      <c r="M570" s="29">
        <f t="shared" si="57"/>
        <v>131.29000000000002</v>
      </c>
      <c r="N570" s="26">
        <f t="shared" si="58"/>
        <v>4.588954910870326</v>
      </c>
    </row>
    <row r="571" spans="1:14" x14ac:dyDescent="0.25">
      <c r="A571" s="21" t="s">
        <v>327</v>
      </c>
      <c r="B571" s="22" t="s">
        <v>326</v>
      </c>
      <c r="C571">
        <f>VLOOKUP(A571,[2]v_02_2024!F:I,3,FALSE)</f>
        <v>3</v>
      </c>
      <c r="D571" s="28">
        <f>VLOOKUP(A571,[2]v_02_2024!F:I,4,FALSE)</f>
        <v>171.9</v>
      </c>
      <c r="E571" s="21">
        <v>0</v>
      </c>
      <c r="F571" s="28">
        <v>0</v>
      </c>
      <c r="G571" s="24">
        <f t="shared" si="55"/>
        <v>0</v>
      </c>
      <c r="H571" s="21">
        <f t="shared" si="56"/>
        <v>3</v>
      </c>
      <c r="I571" s="28">
        <f t="shared" si="56"/>
        <v>171.9</v>
      </c>
      <c r="J571" s="21">
        <v>0</v>
      </c>
      <c r="K571" s="28">
        <v>0</v>
      </c>
      <c r="L571" s="21">
        <f t="shared" si="57"/>
        <v>3</v>
      </c>
      <c r="M571" s="29">
        <f t="shared" si="57"/>
        <v>171.9</v>
      </c>
      <c r="N571" s="26"/>
    </row>
    <row r="572" spans="1:14" x14ac:dyDescent="0.25">
      <c r="A572" s="21" t="s">
        <v>329</v>
      </c>
      <c r="B572" s="22" t="s">
        <v>328</v>
      </c>
      <c r="C572">
        <f>VLOOKUP(A572,[2]v_02_2024!F:I,3,FALSE)</f>
        <v>10</v>
      </c>
      <c r="D572" s="28">
        <f>VLOOKUP(A572,[2]v_02_2024!F:I,4,FALSE)</f>
        <v>160.85</v>
      </c>
      <c r="E572" s="21">
        <v>0</v>
      </c>
      <c r="F572" s="28">
        <v>0</v>
      </c>
      <c r="G572" s="24">
        <f t="shared" si="55"/>
        <v>0</v>
      </c>
      <c r="H572" s="21">
        <f t="shared" si="56"/>
        <v>10</v>
      </c>
      <c r="I572" s="28">
        <f t="shared" si="56"/>
        <v>160.85</v>
      </c>
      <c r="J572" s="21">
        <f>VLOOKUP(A572,[2]v_02_2023!F:I,3,FALSE)</f>
        <v>181</v>
      </c>
      <c r="K572" s="28">
        <f>VLOOKUP(A572,[2]v_02_2023!F:I,4,FALSE)</f>
        <v>1913.17</v>
      </c>
      <c r="L572" s="21">
        <f t="shared" si="57"/>
        <v>-171</v>
      </c>
      <c r="M572" s="29">
        <f t="shared" si="57"/>
        <v>-1752.3200000000002</v>
      </c>
      <c r="N572" s="26">
        <f t="shared" si="58"/>
        <v>-0.91592487860461957</v>
      </c>
    </row>
    <row r="573" spans="1:14" x14ac:dyDescent="0.25">
      <c r="A573" s="21" t="s">
        <v>331</v>
      </c>
      <c r="B573" s="22" t="s">
        <v>330</v>
      </c>
      <c r="C573">
        <f>VLOOKUP(A573,[2]v_02_2024!F:I,3,FALSE)</f>
        <v>5</v>
      </c>
      <c r="D573" s="28">
        <f>VLOOKUP(A573,[2]v_02_2024!F:I,4,FALSE)</f>
        <v>107.37</v>
      </c>
      <c r="E573" s="21">
        <v>0</v>
      </c>
      <c r="F573" s="28">
        <v>0</v>
      </c>
      <c r="G573" s="24">
        <f t="shared" si="55"/>
        <v>0</v>
      </c>
      <c r="H573" s="21">
        <f t="shared" si="56"/>
        <v>5</v>
      </c>
      <c r="I573" s="28">
        <f t="shared" si="56"/>
        <v>107.37</v>
      </c>
      <c r="J573" s="21">
        <f>VLOOKUP(A573,[2]v_02_2023!F:I,3,FALSE)</f>
        <v>3</v>
      </c>
      <c r="K573" s="28">
        <f>VLOOKUP(A573,[2]v_02_2023!F:I,4,FALSE)</f>
        <v>72.06</v>
      </c>
      <c r="L573" s="21">
        <f t="shared" si="57"/>
        <v>2</v>
      </c>
      <c r="M573" s="29">
        <f t="shared" si="57"/>
        <v>35.31</v>
      </c>
      <c r="N573" s="26">
        <f t="shared" si="58"/>
        <v>0.49000832639467112</v>
      </c>
    </row>
    <row r="574" spans="1:14" x14ac:dyDescent="0.25">
      <c r="A574" s="21" t="s">
        <v>333</v>
      </c>
      <c r="B574" s="22" t="s">
        <v>332</v>
      </c>
      <c r="C574">
        <f>VLOOKUP(A574,[2]v_02_2024!F:I,3,FALSE)</f>
        <v>4</v>
      </c>
      <c r="D574" s="28">
        <f>VLOOKUP(A574,[2]v_02_2024!F:I,4,FALSE)</f>
        <v>421.36</v>
      </c>
      <c r="E574" s="21">
        <f>VLOOKUP(A574,[2]s_02_2024!E:G,2,FALSE)</f>
        <v>1</v>
      </c>
      <c r="F574" s="28">
        <f>VLOOKUP(A574,[2]s_02_2024!E:G,3,FALSE)</f>
        <v>129</v>
      </c>
      <c r="G574" s="24">
        <f t="shared" si="55"/>
        <v>0.23439203430481867</v>
      </c>
      <c r="H574" s="21">
        <f t="shared" si="56"/>
        <v>5</v>
      </c>
      <c r="I574" s="28">
        <f t="shared" si="56"/>
        <v>550.36</v>
      </c>
      <c r="J574" s="21">
        <f>VLOOKUP(A574,[2]v_02_2023!F:I,3,FALSE)</f>
        <v>15</v>
      </c>
      <c r="K574" s="28">
        <f>VLOOKUP(A574,[2]v_02_2023!F:I,4,FALSE)</f>
        <v>1322.86</v>
      </c>
      <c r="L574" s="21">
        <f t="shared" si="57"/>
        <v>-10</v>
      </c>
      <c r="M574" s="29">
        <f t="shared" si="57"/>
        <v>-772.49999999999989</v>
      </c>
      <c r="N574" s="26">
        <f t="shared" si="58"/>
        <v>-0.58396202168029876</v>
      </c>
    </row>
    <row r="575" spans="1:14" x14ac:dyDescent="0.25">
      <c r="A575" s="21" t="s">
        <v>335</v>
      </c>
      <c r="B575" s="22" t="s">
        <v>334</v>
      </c>
      <c r="C575">
        <f>VLOOKUP(A575,[2]v_02_2024!F:I,3,FALSE)</f>
        <v>4</v>
      </c>
      <c r="D575" s="28">
        <f>VLOOKUP(A575,[2]v_02_2024!F:I,4,FALSE)</f>
        <v>302.36</v>
      </c>
      <c r="E575" s="21">
        <v>0</v>
      </c>
      <c r="F575" s="28">
        <v>0</v>
      </c>
      <c r="G575" s="24">
        <f t="shared" si="55"/>
        <v>0</v>
      </c>
      <c r="H575" s="21">
        <f t="shared" si="56"/>
        <v>4</v>
      </c>
      <c r="I575" s="28">
        <f t="shared" si="56"/>
        <v>302.36</v>
      </c>
      <c r="J575" s="21">
        <f>VLOOKUP(A575,[2]v_02_2023!F:I,3,FALSE)</f>
        <v>10</v>
      </c>
      <c r="K575" s="28">
        <f>VLOOKUP(A575,[2]v_02_2023!F:I,4,FALSE)</f>
        <v>729.5</v>
      </c>
      <c r="L575" s="21">
        <f t="shared" si="57"/>
        <v>-6</v>
      </c>
      <c r="M575" s="29">
        <f t="shared" si="57"/>
        <v>-427.14</v>
      </c>
      <c r="N575" s="26">
        <f t="shared" si="58"/>
        <v>-0.58552433173406437</v>
      </c>
    </row>
    <row r="576" spans="1:14" x14ac:dyDescent="0.25">
      <c r="A576" s="21" t="s">
        <v>337</v>
      </c>
      <c r="B576" s="22" t="s">
        <v>336</v>
      </c>
      <c r="C576">
        <f>VLOOKUP(A576,[2]v_02_2024!F:I,3,FALSE)</f>
        <v>1</v>
      </c>
      <c r="D576" s="28">
        <f>VLOOKUP(A576,[2]v_02_2024!F:I,4,FALSE)</f>
        <v>54.86</v>
      </c>
      <c r="E576" s="21">
        <v>0</v>
      </c>
      <c r="F576" s="28">
        <v>0</v>
      </c>
      <c r="G576" s="24">
        <f t="shared" si="55"/>
        <v>0</v>
      </c>
      <c r="H576" s="21">
        <f t="shared" si="56"/>
        <v>1</v>
      </c>
      <c r="I576" s="28">
        <f t="shared" si="56"/>
        <v>54.86</v>
      </c>
      <c r="J576" s="21">
        <f>VLOOKUP(A576,[2]v_02_2023!F:I,3,FALSE)</f>
        <v>1</v>
      </c>
      <c r="K576" s="28">
        <f>VLOOKUP(A576,[2]v_02_2023!F:I,4,FALSE)</f>
        <v>57.3</v>
      </c>
      <c r="L576" s="21">
        <f t="shared" si="57"/>
        <v>0</v>
      </c>
      <c r="M576" s="29">
        <f t="shared" si="57"/>
        <v>-2.4399999999999977</v>
      </c>
      <c r="N576" s="26">
        <f t="shared" si="58"/>
        <v>-4.2582897033158776E-2</v>
      </c>
    </row>
    <row r="577" spans="1:14" x14ac:dyDescent="0.25">
      <c r="A577" s="21" t="s">
        <v>339</v>
      </c>
      <c r="B577" s="22" t="s">
        <v>338</v>
      </c>
      <c r="C577">
        <f>VLOOKUP(A577,[2]v_02_2024!F:I,3,FALSE)</f>
        <v>31</v>
      </c>
      <c r="D577" s="28">
        <f>VLOOKUP(A577,[2]v_02_2024!F:I,4,FALSE)</f>
        <v>734.95</v>
      </c>
      <c r="E577" s="21">
        <v>0</v>
      </c>
      <c r="F577" s="28">
        <v>0</v>
      </c>
      <c r="G577" s="24">
        <f t="shared" si="55"/>
        <v>0</v>
      </c>
      <c r="H577" s="21">
        <f t="shared" si="56"/>
        <v>31</v>
      </c>
      <c r="I577" s="28">
        <f t="shared" si="56"/>
        <v>734.95</v>
      </c>
      <c r="J577" s="21">
        <f>VLOOKUP(A577,[2]v_02_2023!F:I,3,FALSE)</f>
        <v>78</v>
      </c>
      <c r="K577" s="28">
        <f>VLOOKUP(A577,[2]v_02_2023!F:I,4,FALSE)</f>
        <v>1591.98</v>
      </c>
      <c r="L577" s="21">
        <f t="shared" si="57"/>
        <v>-47</v>
      </c>
      <c r="M577" s="29">
        <f t="shared" si="57"/>
        <v>-857.03</v>
      </c>
      <c r="N577" s="26">
        <f t="shared" si="58"/>
        <v>-0.53834219022852048</v>
      </c>
    </row>
    <row r="578" spans="1:14" x14ac:dyDescent="0.25">
      <c r="A578" s="21" t="s">
        <v>341</v>
      </c>
      <c r="B578" s="22" t="s">
        <v>340</v>
      </c>
      <c r="C578">
        <f>VLOOKUP(A578,[2]v_02_2024!F:I,3,FALSE)</f>
        <v>18</v>
      </c>
      <c r="D578" s="28">
        <f>VLOOKUP(A578,[2]v_02_2024!F:I,4,FALSE)</f>
        <v>440.56</v>
      </c>
      <c r="E578" s="21">
        <v>0</v>
      </c>
      <c r="F578" s="28">
        <v>0</v>
      </c>
      <c r="G578" s="24">
        <f t="shared" si="55"/>
        <v>0</v>
      </c>
      <c r="H578" s="21">
        <f t="shared" si="56"/>
        <v>18</v>
      </c>
      <c r="I578" s="28">
        <f t="shared" si="56"/>
        <v>440.56</v>
      </c>
      <c r="J578" s="21">
        <f>VLOOKUP(A578,[2]v_02_2023!F:I,3,FALSE)</f>
        <v>48</v>
      </c>
      <c r="K578" s="28">
        <f>VLOOKUP(A578,[2]v_02_2023!F:I,4,FALSE)</f>
        <v>1176.48</v>
      </c>
      <c r="L578" s="21">
        <f t="shared" si="57"/>
        <v>-30</v>
      </c>
      <c r="M578" s="29">
        <f t="shared" si="57"/>
        <v>-735.92000000000007</v>
      </c>
      <c r="N578" s="26">
        <f t="shared" si="58"/>
        <v>-0.62552699578403381</v>
      </c>
    </row>
    <row r="579" spans="1:14" x14ac:dyDescent="0.25">
      <c r="A579" s="21" t="s">
        <v>343</v>
      </c>
      <c r="B579" s="22" t="s">
        <v>342</v>
      </c>
      <c r="C579">
        <f>VLOOKUP(A579,[2]v_02_2024!F:I,3,FALSE)</f>
        <v>16</v>
      </c>
      <c r="D579" s="28">
        <f>VLOOKUP(A579,[2]v_02_2024!F:I,4,FALSE)</f>
        <v>278.51</v>
      </c>
      <c r="E579" s="21">
        <f>VLOOKUP(A579,[2]s_02_2024!E:G,2,FALSE)</f>
        <v>2</v>
      </c>
      <c r="F579" s="28">
        <f>VLOOKUP(A579,[2]s_02_2024!E:G,3,FALSE)</f>
        <v>70.210000000000008</v>
      </c>
      <c r="G579" s="24">
        <f t="shared" si="55"/>
        <v>0.20133631566873136</v>
      </c>
      <c r="H579" s="21">
        <f t="shared" si="56"/>
        <v>18</v>
      </c>
      <c r="I579" s="28">
        <f t="shared" si="56"/>
        <v>348.72</v>
      </c>
      <c r="J579" s="21">
        <f>VLOOKUP(A579,[2]v_02_2023!F:I,3,FALSE)</f>
        <v>16</v>
      </c>
      <c r="K579" s="28">
        <f>VLOOKUP(A579,[2]v_02_2023!F:I,4,FALSE)</f>
        <v>324.88</v>
      </c>
      <c r="L579" s="21">
        <f t="shared" si="57"/>
        <v>2</v>
      </c>
      <c r="M579" s="29">
        <f t="shared" si="57"/>
        <v>23.840000000000032</v>
      </c>
      <c r="N579" s="26">
        <f t="shared" si="58"/>
        <v>7.3380940655011176E-2</v>
      </c>
    </row>
    <row r="580" spans="1:14" x14ac:dyDescent="0.25">
      <c r="A580" s="21" t="s">
        <v>726</v>
      </c>
      <c r="B580" s="22" t="s">
        <v>727</v>
      </c>
      <c r="C580">
        <f>VLOOKUP(A580,[2]v_02_2024!F:I,3,FALSE)</f>
        <v>1</v>
      </c>
      <c r="D580" s="28">
        <f>VLOOKUP(A580,[2]v_02_2024!F:I,4,FALSE)</f>
        <v>138.52000000000001</v>
      </c>
      <c r="E580" s="21">
        <v>0</v>
      </c>
      <c r="F580" s="28">
        <v>0</v>
      </c>
      <c r="G580" s="24">
        <f t="shared" si="55"/>
        <v>0</v>
      </c>
      <c r="H580" s="21">
        <f t="shared" si="56"/>
        <v>1</v>
      </c>
      <c r="I580" s="28">
        <f t="shared" si="56"/>
        <v>138.52000000000001</v>
      </c>
      <c r="J580" s="21">
        <f>VLOOKUP(A580,[2]v_02_2023!F:I,3,FALSE)</f>
        <v>4</v>
      </c>
      <c r="K580" s="28">
        <f>VLOOKUP(A580,[2]v_02_2023!F:I,4,FALSE)</f>
        <v>488.52</v>
      </c>
      <c r="L580" s="21">
        <f t="shared" si="57"/>
        <v>-3</v>
      </c>
      <c r="M580" s="29">
        <f t="shared" si="57"/>
        <v>-350</v>
      </c>
      <c r="N580" s="26">
        <f t="shared" si="58"/>
        <v>-0.71644968476213877</v>
      </c>
    </row>
    <row r="581" spans="1:14" x14ac:dyDescent="0.25">
      <c r="A581" s="21" t="s">
        <v>345</v>
      </c>
      <c r="B581" s="22" t="s">
        <v>344</v>
      </c>
      <c r="C581">
        <f>VLOOKUP(A581,[2]v_02_2024!F:I,3,FALSE)</f>
        <v>2</v>
      </c>
      <c r="D581" s="28">
        <f>VLOOKUP(A581,[2]v_02_2024!F:I,4,FALSE)</f>
        <v>98.2</v>
      </c>
      <c r="E581" s="21">
        <v>0</v>
      </c>
      <c r="F581" s="28">
        <v>0</v>
      </c>
      <c r="G581" s="24">
        <f t="shared" si="55"/>
        <v>0</v>
      </c>
      <c r="H581" s="21">
        <f t="shared" si="56"/>
        <v>2</v>
      </c>
      <c r="I581" s="28">
        <f t="shared" si="56"/>
        <v>98.2</v>
      </c>
      <c r="J581" s="21">
        <f>VLOOKUP(A581,[2]v_02_2023!F:I,3,FALSE)</f>
        <v>1</v>
      </c>
      <c r="K581" s="28">
        <f>VLOOKUP(A581,[2]v_02_2023!F:I,4,FALSE)</f>
        <v>56.5</v>
      </c>
      <c r="L581" s="21">
        <f t="shared" si="57"/>
        <v>1</v>
      </c>
      <c r="M581" s="29">
        <f t="shared" si="57"/>
        <v>41.7</v>
      </c>
      <c r="N581" s="26">
        <f t="shared" si="58"/>
        <v>0.7380530973451328</v>
      </c>
    </row>
    <row r="582" spans="1:14" x14ac:dyDescent="0.25">
      <c r="A582" s="21" t="s">
        <v>347</v>
      </c>
      <c r="B582" s="22" t="s">
        <v>346</v>
      </c>
      <c r="C582">
        <f>VLOOKUP(A582,[2]v_02_2024!F:I,3,FALSE)</f>
        <v>0</v>
      </c>
      <c r="D582" s="28">
        <f>VLOOKUP(A582,[2]v_02_2024!F:I,4,FALSE)</f>
        <v>0</v>
      </c>
      <c r="E582" s="21">
        <v>0</v>
      </c>
      <c r="F582" s="28">
        <v>0</v>
      </c>
      <c r="G582" s="24"/>
      <c r="H582" s="21">
        <f t="shared" si="56"/>
        <v>0</v>
      </c>
      <c r="I582" s="28">
        <f t="shared" si="56"/>
        <v>0</v>
      </c>
      <c r="J582" s="21">
        <f>VLOOKUP(A582,[2]v_02_2023!F:I,3,FALSE)</f>
        <v>24</v>
      </c>
      <c r="K582" s="28">
        <f>VLOOKUP(A582,[2]v_02_2023!F:I,4,FALSE)</f>
        <v>519.37</v>
      </c>
      <c r="L582" s="21">
        <f t="shared" si="57"/>
        <v>-24</v>
      </c>
      <c r="M582" s="29">
        <f t="shared" si="57"/>
        <v>-519.37</v>
      </c>
      <c r="N582" s="26">
        <f t="shared" si="58"/>
        <v>-1</v>
      </c>
    </row>
    <row r="583" spans="1:14" x14ac:dyDescent="0.25">
      <c r="A583" s="21" t="s">
        <v>349</v>
      </c>
      <c r="B583" s="22" t="s">
        <v>348</v>
      </c>
      <c r="C583">
        <v>0</v>
      </c>
      <c r="D583" s="28">
        <v>0</v>
      </c>
      <c r="E583" s="21">
        <v>0</v>
      </c>
      <c r="F583" s="28">
        <v>0</v>
      </c>
      <c r="G583" s="24"/>
      <c r="H583" s="21">
        <f t="shared" si="56"/>
        <v>0</v>
      </c>
      <c r="I583" s="28">
        <f t="shared" si="56"/>
        <v>0</v>
      </c>
      <c r="J583" s="21">
        <v>0</v>
      </c>
      <c r="K583" s="28">
        <v>0</v>
      </c>
      <c r="L583" s="21">
        <f t="shared" si="57"/>
        <v>0</v>
      </c>
      <c r="M583" s="29">
        <f t="shared" si="57"/>
        <v>0</v>
      </c>
      <c r="N583" s="26"/>
    </row>
    <row r="584" spans="1:14" x14ac:dyDescent="0.25">
      <c r="A584" s="21" t="s">
        <v>351</v>
      </c>
      <c r="B584" s="22" t="s">
        <v>350</v>
      </c>
      <c r="C584">
        <f>VLOOKUP(A584,[2]v_02_2024!F:I,3,FALSE)</f>
        <v>5</v>
      </c>
      <c r="D584" s="28">
        <f>VLOOKUP(A584,[2]v_02_2024!F:I,4,FALSE)</f>
        <v>76.66</v>
      </c>
      <c r="E584" s="21">
        <v>0</v>
      </c>
      <c r="F584" s="28">
        <v>0</v>
      </c>
      <c r="G584" s="24">
        <f t="shared" si="55"/>
        <v>0</v>
      </c>
      <c r="H584" s="21">
        <f t="shared" si="56"/>
        <v>5</v>
      </c>
      <c r="I584" s="28">
        <f t="shared" si="56"/>
        <v>76.66</v>
      </c>
      <c r="J584" s="21">
        <f>VLOOKUP(A584,[2]v_02_2023!F:I,3,FALSE)</f>
        <v>1</v>
      </c>
      <c r="K584" s="28">
        <f>VLOOKUP(A584,[2]v_02_2023!F:I,4,FALSE)</f>
        <v>22.13</v>
      </c>
      <c r="L584" s="21">
        <f t="shared" si="57"/>
        <v>4</v>
      </c>
      <c r="M584" s="29">
        <f t="shared" si="57"/>
        <v>54.53</v>
      </c>
      <c r="N584" s="26">
        <f t="shared" si="58"/>
        <v>2.4640759150474469</v>
      </c>
    </row>
    <row r="585" spans="1:14" x14ac:dyDescent="0.25">
      <c r="A585" s="21" t="s">
        <v>357</v>
      </c>
      <c r="B585" s="22" t="s">
        <v>356</v>
      </c>
      <c r="C585">
        <v>0</v>
      </c>
      <c r="D585" s="28">
        <v>0</v>
      </c>
      <c r="E585" s="21">
        <v>0</v>
      </c>
      <c r="F585" s="28">
        <v>0</v>
      </c>
      <c r="G585" s="24"/>
      <c r="H585" s="21">
        <f t="shared" si="56"/>
        <v>0</v>
      </c>
      <c r="I585" s="28">
        <f t="shared" si="56"/>
        <v>0</v>
      </c>
      <c r="J585" s="21">
        <f>VLOOKUP(A585,[2]v_02_2023!F:I,3,FALSE)</f>
        <v>10</v>
      </c>
      <c r="K585" s="28">
        <f>VLOOKUP(A585,[2]v_02_2023!F:I,4,FALSE)</f>
        <v>729.5</v>
      </c>
      <c r="L585" s="21">
        <f t="shared" si="57"/>
        <v>-10</v>
      </c>
      <c r="M585" s="29">
        <f t="shared" si="57"/>
        <v>-729.5</v>
      </c>
      <c r="N585" s="26">
        <f t="shared" si="58"/>
        <v>-1</v>
      </c>
    </row>
    <row r="586" spans="1:14" x14ac:dyDescent="0.25">
      <c r="A586" s="21" t="s">
        <v>359</v>
      </c>
      <c r="B586" s="22" t="s">
        <v>358</v>
      </c>
      <c r="C586">
        <v>0</v>
      </c>
      <c r="D586" s="28">
        <v>0</v>
      </c>
      <c r="E586" s="21">
        <v>0</v>
      </c>
      <c r="F586" s="28">
        <v>0</v>
      </c>
      <c r="G586" s="24"/>
      <c r="H586" s="21">
        <f t="shared" si="56"/>
        <v>0</v>
      </c>
      <c r="I586" s="28">
        <f t="shared" si="56"/>
        <v>0</v>
      </c>
      <c r="J586" s="21">
        <v>0</v>
      </c>
      <c r="K586" s="28">
        <v>0</v>
      </c>
      <c r="L586" s="21">
        <f t="shared" si="57"/>
        <v>0</v>
      </c>
      <c r="M586" s="29">
        <f t="shared" si="57"/>
        <v>0</v>
      </c>
      <c r="N586" s="26"/>
    </row>
    <row r="587" spans="1:14" x14ac:dyDescent="0.25">
      <c r="A587" s="21" t="s">
        <v>361</v>
      </c>
      <c r="B587" s="22" t="s">
        <v>360</v>
      </c>
      <c r="C587">
        <f>VLOOKUP(A587,[2]v_02_2024!F:I,3,FALSE)</f>
        <v>46</v>
      </c>
      <c r="D587" s="28">
        <f>VLOOKUP(A587,[2]v_02_2024!F:I,4,FALSE)</f>
        <v>637.1</v>
      </c>
      <c r="E587" s="21">
        <f>VLOOKUP(A587,[2]s_02_2024!E:G,2,FALSE)</f>
        <v>5</v>
      </c>
      <c r="F587" s="28">
        <f>VLOOKUP(A587,[2]s_02_2024!E:G,3,FALSE)</f>
        <v>124.5</v>
      </c>
      <c r="G587" s="24">
        <f t="shared" si="55"/>
        <v>0.16347163865546219</v>
      </c>
      <c r="H587" s="21">
        <f t="shared" si="56"/>
        <v>51</v>
      </c>
      <c r="I587" s="28">
        <f t="shared" si="56"/>
        <v>761.6</v>
      </c>
      <c r="J587" s="21">
        <f>VLOOKUP(A587,[2]v_02_2023!F:I,3,FALSE)</f>
        <v>77</v>
      </c>
      <c r="K587" s="28">
        <f>VLOOKUP(A587,[2]v_02_2023!F:I,4,FALSE)</f>
        <v>944.27</v>
      </c>
      <c r="L587" s="21">
        <f t="shared" si="57"/>
        <v>-26</v>
      </c>
      <c r="M587" s="29">
        <f t="shared" si="57"/>
        <v>-182.66999999999996</v>
      </c>
      <c r="N587" s="26">
        <f t="shared" si="58"/>
        <v>-0.19345102566003364</v>
      </c>
    </row>
    <row r="588" spans="1:14" x14ac:dyDescent="0.25">
      <c r="A588" s="21" t="s">
        <v>363</v>
      </c>
      <c r="B588" s="22" t="s">
        <v>362</v>
      </c>
      <c r="C588">
        <f>VLOOKUP(A588,[2]v_02_2024!F:I,3,FALSE)</f>
        <v>1</v>
      </c>
      <c r="D588" s="28">
        <f>VLOOKUP(A588,[2]v_02_2024!F:I,4,FALSE)</f>
        <v>10.65</v>
      </c>
      <c r="E588" s="21">
        <v>0</v>
      </c>
      <c r="F588" s="28">
        <v>0</v>
      </c>
      <c r="G588" s="24">
        <f t="shared" si="55"/>
        <v>0</v>
      </c>
      <c r="H588" s="21">
        <f t="shared" si="56"/>
        <v>1</v>
      </c>
      <c r="I588" s="28">
        <f t="shared" si="56"/>
        <v>10.65</v>
      </c>
      <c r="J588" s="21">
        <v>0</v>
      </c>
      <c r="K588" s="28">
        <v>0</v>
      </c>
      <c r="L588" s="21">
        <f t="shared" si="57"/>
        <v>1</v>
      </c>
      <c r="M588" s="29">
        <f t="shared" si="57"/>
        <v>10.65</v>
      </c>
      <c r="N588" s="26"/>
    </row>
    <row r="589" spans="1:14" x14ac:dyDescent="0.25">
      <c r="A589" s="21" t="s">
        <v>365</v>
      </c>
      <c r="B589" s="22" t="s">
        <v>364</v>
      </c>
      <c r="C589">
        <f>VLOOKUP(A589,[2]v_02_2024!F:I,3,FALSE)</f>
        <v>2</v>
      </c>
      <c r="D589" s="28">
        <f>VLOOKUP(A589,[2]v_02_2024!F:I,4,FALSE)</f>
        <v>72.52</v>
      </c>
      <c r="E589" s="21">
        <v>0</v>
      </c>
      <c r="F589" s="28">
        <v>0</v>
      </c>
      <c r="G589" s="24">
        <f t="shared" si="55"/>
        <v>0</v>
      </c>
      <c r="H589" s="21">
        <f t="shared" si="56"/>
        <v>2</v>
      </c>
      <c r="I589" s="28">
        <f t="shared" si="56"/>
        <v>72.52</v>
      </c>
      <c r="J589" s="21">
        <f>VLOOKUP(A589,[2]v_02_2023!F:I,3,FALSE)</f>
        <v>13</v>
      </c>
      <c r="K589" s="28">
        <f>VLOOKUP(A589,[2]v_02_2023!F:I,4,FALSE)</f>
        <v>499.72</v>
      </c>
      <c r="L589" s="21">
        <f t="shared" si="57"/>
        <v>-11</v>
      </c>
      <c r="M589" s="29">
        <f t="shared" si="57"/>
        <v>-427.20000000000005</v>
      </c>
      <c r="N589" s="26">
        <f t="shared" si="58"/>
        <v>-0.85487873208997045</v>
      </c>
    </row>
    <row r="590" spans="1:14" x14ac:dyDescent="0.25">
      <c r="A590" s="21" t="s">
        <v>367</v>
      </c>
      <c r="B590" s="22" t="s">
        <v>366</v>
      </c>
      <c r="C590">
        <f>VLOOKUP(A590,[2]v_02_2024!F:I,3,FALSE)</f>
        <v>13</v>
      </c>
      <c r="D590" s="28">
        <f>VLOOKUP(A590,[2]v_02_2024!F:I,4,FALSE)</f>
        <v>356.43</v>
      </c>
      <c r="E590" s="21">
        <v>0</v>
      </c>
      <c r="F590" s="28">
        <v>0</v>
      </c>
      <c r="G590" s="24">
        <f t="shared" si="55"/>
        <v>0</v>
      </c>
      <c r="H590" s="21">
        <f t="shared" si="56"/>
        <v>13</v>
      </c>
      <c r="I590" s="28">
        <f t="shared" si="56"/>
        <v>356.43</v>
      </c>
      <c r="J590" s="21">
        <f>VLOOKUP(A590,[2]v_02_2023!F:I,3,FALSE)</f>
        <v>7</v>
      </c>
      <c r="K590" s="28">
        <f>VLOOKUP(A590,[2]v_02_2023!F:I,4,FALSE)</f>
        <v>169.11</v>
      </c>
      <c r="L590" s="21">
        <f t="shared" si="57"/>
        <v>6</v>
      </c>
      <c r="M590" s="29">
        <f t="shared" si="57"/>
        <v>187.32</v>
      </c>
      <c r="N590" s="26">
        <f t="shared" si="58"/>
        <v>1.1076813908107148</v>
      </c>
    </row>
    <row r="591" spans="1:14" x14ac:dyDescent="0.25">
      <c r="A591" s="21" t="s">
        <v>369</v>
      </c>
      <c r="B591" s="22" t="s">
        <v>368</v>
      </c>
      <c r="C591">
        <f>VLOOKUP(A591,[2]v_02_2024!F:I,3,FALSE)</f>
        <v>80</v>
      </c>
      <c r="D591" s="28">
        <f>VLOOKUP(A591,[2]v_02_2024!F:I,4,FALSE)</f>
        <v>882.01</v>
      </c>
      <c r="E591" s="21">
        <v>0</v>
      </c>
      <c r="F591" s="28">
        <v>0</v>
      </c>
      <c r="G591" s="24">
        <f t="shared" si="55"/>
        <v>0</v>
      </c>
      <c r="H591" s="21">
        <f t="shared" si="56"/>
        <v>80</v>
      </c>
      <c r="I591" s="28">
        <f t="shared" si="56"/>
        <v>882.01</v>
      </c>
      <c r="J591" s="21">
        <f>VLOOKUP(A591,[2]v_02_2023!F:I,3,FALSE)</f>
        <v>1038</v>
      </c>
      <c r="K591" s="28">
        <f>VLOOKUP(A591,[2]v_02_2023!F:I,4,FALSE)</f>
        <v>8418.18</v>
      </c>
      <c r="L591" s="21">
        <f t="shared" si="57"/>
        <v>-958</v>
      </c>
      <c r="M591" s="29">
        <f t="shared" si="57"/>
        <v>-7536.17</v>
      </c>
      <c r="N591" s="26">
        <f t="shared" si="58"/>
        <v>-0.8952255713230175</v>
      </c>
    </row>
    <row r="592" spans="1:14" x14ac:dyDescent="0.25">
      <c r="A592" s="21" t="s">
        <v>371</v>
      </c>
      <c r="B592" s="22" t="s">
        <v>370</v>
      </c>
      <c r="C592">
        <f>VLOOKUP(A592,[2]v_02_2024!F:I,3,FALSE)</f>
        <v>15</v>
      </c>
      <c r="D592" s="28">
        <f>VLOOKUP(A592,[2]v_02_2024!F:I,4,FALSE)</f>
        <v>480.69</v>
      </c>
      <c r="E592" s="21">
        <v>0</v>
      </c>
      <c r="F592" s="28">
        <v>0</v>
      </c>
      <c r="G592" s="24">
        <f t="shared" si="55"/>
        <v>0</v>
      </c>
      <c r="H592" s="21">
        <f t="shared" si="56"/>
        <v>15</v>
      </c>
      <c r="I592" s="28">
        <f t="shared" si="56"/>
        <v>480.69</v>
      </c>
      <c r="J592" s="21">
        <f>VLOOKUP(A592,[2]v_02_2023!F:I,3,FALSE)</f>
        <v>17</v>
      </c>
      <c r="K592" s="28">
        <f>VLOOKUP(A592,[2]v_02_2023!F:I,4,FALSE)</f>
        <v>555.9</v>
      </c>
      <c r="L592" s="21">
        <f t="shared" si="57"/>
        <v>-2</v>
      </c>
      <c r="M592" s="29">
        <f t="shared" si="57"/>
        <v>-75.20999999999998</v>
      </c>
      <c r="N592" s="26">
        <f t="shared" si="58"/>
        <v>-0.13529411764705879</v>
      </c>
    </row>
    <row r="593" spans="1:14" x14ac:dyDescent="0.25">
      <c r="A593" s="21" t="s">
        <v>373</v>
      </c>
      <c r="B593" s="22" t="s">
        <v>372</v>
      </c>
      <c r="C593">
        <v>0</v>
      </c>
      <c r="D593" s="28">
        <v>0</v>
      </c>
      <c r="E593" s="21">
        <v>0</v>
      </c>
      <c r="F593" s="28">
        <v>0</v>
      </c>
      <c r="G593" s="24"/>
      <c r="H593" s="21">
        <f t="shared" si="56"/>
        <v>0</v>
      </c>
      <c r="I593" s="28">
        <f t="shared" si="56"/>
        <v>0</v>
      </c>
      <c r="J593" s="21">
        <v>0</v>
      </c>
      <c r="K593" s="28">
        <v>0</v>
      </c>
      <c r="L593" s="21">
        <f t="shared" si="57"/>
        <v>0</v>
      </c>
      <c r="M593" s="29">
        <f t="shared" si="57"/>
        <v>0</v>
      </c>
      <c r="N593" s="26"/>
    </row>
    <row r="594" spans="1:14" x14ac:dyDescent="0.25">
      <c r="A594" s="21" t="s">
        <v>730</v>
      </c>
      <c r="B594" s="22" t="s">
        <v>731</v>
      </c>
      <c r="C594">
        <v>0</v>
      </c>
      <c r="D594" s="28">
        <v>0</v>
      </c>
      <c r="E594" s="21">
        <v>0</v>
      </c>
      <c r="F594" s="28">
        <v>0</v>
      </c>
      <c r="G594" s="24"/>
      <c r="H594" s="21">
        <f t="shared" si="56"/>
        <v>0</v>
      </c>
      <c r="I594" s="28">
        <f t="shared" si="56"/>
        <v>0</v>
      </c>
      <c r="J594" s="21">
        <v>0</v>
      </c>
      <c r="K594" s="28">
        <v>0</v>
      </c>
      <c r="L594" s="21">
        <f t="shared" si="57"/>
        <v>0</v>
      </c>
      <c r="M594" s="29">
        <f t="shared" si="57"/>
        <v>0</v>
      </c>
      <c r="N594" s="26"/>
    </row>
    <row r="595" spans="1:14" x14ac:dyDescent="0.25">
      <c r="A595" s="21" t="s">
        <v>375</v>
      </c>
      <c r="B595" s="22" t="s">
        <v>374</v>
      </c>
      <c r="C595">
        <f>VLOOKUP(A595,[2]v_02_2024!F:I,3,FALSE)</f>
        <v>9</v>
      </c>
      <c r="D595" s="28">
        <f>VLOOKUP(A595,[2]v_02_2024!F:I,4,FALSE)</f>
        <v>166.71</v>
      </c>
      <c r="E595" s="21">
        <v>0</v>
      </c>
      <c r="F595" s="28">
        <v>0</v>
      </c>
      <c r="G595" s="24">
        <f t="shared" si="55"/>
        <v>0</v>
      </c>
      <c r="H595" s="21">
        <f t="shared" si="56"/>
        <v>9</v>
      </c>
      <c r="I595" s="28">
        <f t="shared" si="56"/>
        <v>166.71</v>
      </c>
      <c r="J595" s="21">
        <f>VLOOKUP(A595,[2]v_02_2023!F:I,3,FALSE)</f>
        <v>69</v>
      </c>
      <c r="K595" s="28">
        <f>VLOOKUP(A595,[2]v_02_2023!F:I,4,FALSE)</f>
        <v>1125.3900000000001</v>
      </c>
      <c r="L595" s="21">
        <f t="shared" si="57"/>
        <v>-60</v>
      </c>
      <c r="M595" s="29">
        <f t="shared" si="57"/>
        <v>-958.68000000000006</v>
      </c>
      <c r="N595" s="26">
        <f t="shared" si="58"/>
        <v>-0.85186468690853834</v>
      </c>
    </row>
    <row r="596" spans="1:14" x14ac:dyDescent="0.25">
      <c r="A596" s="21" t="s">
        <v>377</v>
      </c>
      <c r="B596" s="22" t="s">
        <v>376</v>
      </c>
      <c r="C596">
        <f>VLOOKUP(A596,[2]v_02_2024!F:I,3,FALSE)</f>
        <v>8</v>
      </c>
      <c r="D596" s="28">
        <f>VLOOKUP(A596,[2]v_02_2024!F:I,4,FALSE)</f>
        <v>150.16</v>
      </c>
      <c r="E596" s="21">
        <v>0</v>
      </c>
      <c r="F596" s="28">
        <v>0</v>
      </c>
      <c r="G596" s="24">
        <f t="shared" si="55"/>
        <v>0</v>
      </c>
      <c r="H596" s="21">
        <f t="shared" si="56"/>
        <v>8</v>
      </c>
      <c r="I596" s="28">
        <f t="shared" si="56"/>
        <v>150.16</v>
      </c>
      <c r="J596" s="21">
        <f>VLOOKUP(A596,[2]v_02_2023!F:I,3,FALSE)</f>
        <v>13</v>
      </c>
      <c r="K596" s="28">
        <f>VLOOKUP(A596,[2]v_02_2023!F:I,4,FALSE)</f>
        <v>212.03</v>
      </c>
      <c r="L596" s="21">
        <f t="shared" si="57"/>
        <v>-5</v>
      </c>
      <c r="M596" s="29">
        <f t="shared" si="57"/>
        <v>-61.870000000000005</v>
      </c>
      <c r="N596" s="26">
        <f t="shared" si="58"/>
        <v>-0.29179833042493991</v>
      </c>
    </row>
    <row r="597" spans="1:14" x14ac:dyDescent="0.25">
      <c r="A597" s="21" t="s">
        <v>379</v>
      </c>
      <c r="B597" s="22" t="s">
        <v>378</v>
      </c>
      <c r="C597">
        <f>VLOOKUP(A597,[2]v_02_2024!F:I,3,FALSE)</f>
        <v>2</v>
      </c>
      <c r="D597" s="28">
        <f>VLOOKUP(A597,[2]v_02_2024!F:I,4,FALSE)</f>
        <v>37.54</v>
      </c>
      <c r="E597" s="21">
        <f>VLOOKUP(A597,[2]s_02_2024!E:G,2,FALSE)</f>
        <v>29</v>
      </c>
      <c r="F597" s="28">
        <f>VLOOKUP(A597,[2]s_02_2024!E:G,3,FALSE)</f>
        <v>577.09999999999968</v>
      </c>
      <c r="G597" s="24">
        <f t="shared" si="55"/>
        <v>0.93892359755303922</v>
      </c>
      <c r="H597" s="21">
        <f t="shared" si="56"/>
        <v>31</v>
      </c>
      <c r="I597" s="28">
        <f t="shared" si="56"/>
        <v>614.63999999999965</v>
      </c>
      <c r="J597" s="21">
        <f>VLOOKUP(A597,[2]v_02_2023!F:I,3,FALSE)</f>
        <v>54</v>
      </c>
      <c r="K597" s="28">
        <f>VLOOKUP(A597,[2]v_02_2023!F:I,4,FALSE)</f>
        <v>880.74</v>
      </c>
      <c r="L597" s="21">
        <f t="shared" si="57"/>
        <v>-23</v>
      </c>
      <c r="M597" s="29">
        <f t="shared" si="57"/>
        <v>-266.10000000000036</v>
      </c>
      <c r="N597" s="26">
        <f t="shared" si="58"/>
        <v>-0.30213229784045276</v>
      </c>
    </row>
    <row r="598" spans="1:14" x14ac:dyDescent="0.25">
      <c r="A598" s="21" t="s">
        <v>381</v>
      </c>
      <c r="B598" s="22" t="s">
        <v>380</v>
      </c>
      <c r="C598">
        <f>VLOOKUP(A598,[2]v_02_2024!F:I,3,FALSE)</f>
        <v>7</v>
      </c>
      <c r="D598" s="28">
        <f>VLOOKUP(A598,[2]v_02_2024!F:I,4,FALSE)</f>
        <v>265.66000000000003</v>
      </c>
      <c r="E598" s="21">
        <v>0</v>
      </c>
      <c r="F598" s="28">
        <v>0</v>
      </c>
      <c r="G598" s="24">
        <f t="shared" si="55"/>
        <v>0</v>
      </c>
      <c r="H598" s="21">
        <f t="shared" si="56"/>
        <v>7</v>
      </c>
      <c r="I598" s="28">
        <f t="shared" si="56"/>
        <v>265.66000000000003</v>
      </c>
      <c r="J598" s="21">
        <f>VLOOKUP(A598,[2]v_02_2023!F:I,3,FALSE)</f>
        <v>2</v>
      </c>
      <c r="K598" s="28">
        <f>VLOOKUP(A598,[2]v_02_2023!F:I,4,FALSE)</f>
        <v>78.63</v>
      </c>
      <c r="L598" s="21">
        <f t="shared" si="57"/>
        <v>5</v>
      </c>
      <c r="M598" s="29">
        <f t="shared" si="57"/>
        <v>187.03000000000003</v>
      </c>
      <c r="N598" s="26">
        <f t="shared" si="58"/>
        <v>2.3786086735342749</v>
      </c>
    </row>
    <row r="599" spans="1:14" x14ac:dyDescent="0.25">
      <c r="A599" s="21" t="s">
        <v>383</v>
      </c>
      <c r="B599" s="22" t="s">
        <v>382</v>
      </c>
      <c r="C599">
        <f>VLOOKUP(A599,[2]v_02_2024!F:I,3,FALSE)</f>
        <v>4</v>
      </c>
      <c r="D599" s="28">
        <f>VLOOKUP(A599,[2]v_02_2024!F:I,4,FALSE)</f>
        <v>52.1</v>
      </c>
      <c r="E599" s="21">
        <v>0</v>
      </c>
      <c r="F599" s="28">
        <v>0</v>
      </c>
      <c r="G599" s="24">
        <f t="shared" si="55"/>
        <v>0</v>
      </c>
      <c r="H599" s="21">
        <f t="shared" si="56"/>
        <v>4</v>
      </c>
      <c r="I599" s="28">
        <f t="shared" si="56"/>
        <v>52.1</v>
      </c>
      <c r="J599" s="21">
        <f>VLOOKUP(A599,[2]v_02_2023!F:I,3,FALSE)</f>
        <v>3</v>
      </c>
      <c r="K599" s="28">
        <f>VLOOKUP(A599,[2]v_02_2023!F:I,4,FALSE)</f>
        <v>48.93</v>
      </c>
      <c r="L599" s="21">
        <f t="shared" si="57"/>
        <v>1</v>
      </c>
      <c r="M599" s="29">
        <f t="shared" si="57"/>
        <v>3.1700000000000017</v>
      </c>
      <c r="N599" s="26">
        <f t="shared" si="58"/>
        <v>6.4786429593296585E-2</v>
      </c>
    </row>
    <row r="600" spans="1:14" x14ac:dyDescent="0.25">
      <c r="A600" s="21" t="s">
        <v>385</v>
      </c>
      <c r="B600" s="22" t="s">
        <v>384</v>
      </c>
      <c r="C600">
        <f>VLOOKUP(A600,[2]v_02_2024!F:I,3,FALSE)</f>
        <v>88</v>
      </c>
      <c r="D600" s="28">
        <f>VLOOKUP(A600,[2]v_02_2024!F:I,4,FALSE)</f>
        <v>1419.28</v>
      </c>
      <c r="E600" s="21">
        <f>VLOOKUP(A600,[2]s_02_2024!E:G,2,FALSE)</f>
        <v>9</v>
      </c>
      <c r="F600" s="28">
        <f>VLOOKUP(A600,[2]s_02_2024!E:G,3,FALSE)</f>
        <v>201.10000000000002</v>
      </c>
      <c r="G600" s="24">
        <f t="shared" si="55"/>
        <v>0.12410669102309335</v>
      </c>
      <c r="H600" s="21">
        <f t="shared" si="56"/>
        <v>97</v>
      </c>
      <c r="I600" s="28">
        <f t="shared" si="56"/>
        <v>1620.38</v>
      </c>
      <c r="J600" s="21">
        <f>VLOOKUP(A600,[2]v_02_2023!F:I,3,FALSE)</f>
        <v>47</v>
      </c>
      <c r="K600" s="28">
        <f>VLOOKUP(A600,[2]v_02_2023!F:I,4,FALSE)</f>
        <v>766.57</v>
      </c>
      <c r="L600" s="21">
        <f t="shared" si="57"/>
        <v>50</v>
      </c>
      <c r="M600" s="29">
        <f t="shared" si="57"/>
        <v>853.81000000000006</v>
      </c>
      <c r="N600" s="26">
        <f t="shared" si="58"/>
        <v>1.1138056537563432</v>
      </c>
    </row>
    <row r="601" spans="1:14" x14ac:dyDescent="0.25">
      <c r="A601" s="21" t="s">
        <v>387</v>
      </c>
      <c r="B601" s="22" t="s">
        <v>386</v>
      </c>
      <c r="C601">
        <f>VLOOKUP(A601,[2]v_02_2024!F:I,3,FALSE)</f>
        <v>4</v>
      </c>
      <c r="D601" s="28">
        <f>VLOOKUP(A601,[2]v_02_2024!F:I,4,FALSE)</f>
        <v>180</v>
      </c>
      <c r="E601" s="21">
        <v>0</v>
      </c>
      <c r="F601" s="28">
        <v>0</v>
      </c>
      <c r="G601" s="24">
        <f t="shared" si="55"/>
        <v>0</v>
      </c>
      <c r="H601" s="21">
        <f t="shared" si="56"/>
        <v>4</v>
      </c>
      <c r="I601" s="28">
        <f t="shared" si="56"/>
        <v>180</v>
      </c>
      <c r="J601" s="21">
        <v>0</v>
      </c>
      <c r="K601" s="28">
        <v>0</v>
      </c>
      <c r="L601" s="21">
        <f t="shared" si="57"/>
        <v>4</v>
      </c>
      <c r="M601" s="29">
        <f t="shared" si="57"/>
        <v>180</v>
      </c>
      <c r="N601" s="26"/>
    </row>
    <row r="602" spans="1:14" x14ac:dyDescent="0.25">
      <c r="A602" s="21" t="s">
        <v>389</v>
      </c>
      <c r="B602" s="22" t="s">
        <v>388</v>
      </c>
      <c r="C602">
        <f>VLOOKUP(A602,[2]v_02_2024!F:I,3,FALSE)</f>
        <v>9</v>
      </c>
      <c r="D602" s="28">
        <f>VLOOKUP(A602,[2]v_02_2024!F:I,4,FALSE)</f>
        <v>72.989999999999995</v>
      </c>
      <c r="E602" s="21">
        <v>0</v>
      </c>
      <c r="F602" s="28">
        <v>0</v>
      </c>
      <c r="G602" s="24">
        <f t="shared" si="55"/>
        <v>0</v>
      </c>
      <c r="H602" s="21">
        <f t="shared" si="56"/>
        <v>9</v>
      </c>
      <c r="I602" s="28">
        <f t="shared" si="56"/>
        <v>72.989999999999995</v>
      </c>
      <c r="J602" s="21">
        <f>VLOOKUP(A602,[2]v_02_2023!F:I,3,FALSE)</f>
        <v>30</v>
      </c>
      <c r="K602" s="28">
        <f>VLOOKUP(A602,[2]v_02_2023!F:I,4,FALSE)</f>
        <v>243.3</v>
      </c>
      <c r="L602" s="21">
        <f t="shared" si="57"/>
        <v>-21</v>
      </c>
      <c r="M602" s="29">
        <f t="shared" si="57"/>
        <v>-170.31</v>
      </c>
      <c r="N602" s="26">
        <f t="shared" si="58"/>
        <v>-0.7</v>
      </c>
    </row>
    <row r="603" spans="1:14" x14ac:dyDescent="0.25">
      <c r="A603" s="21" t="s">
        <v>391</v>
      </c>
      <c r="B603" s="22" t="s">
        <v>390</v>
      </c>
      <c r="C603">
        <f>VLOOKUP(A603,[2]v_02_2024!F:I,3,FALSE)</f>
        <v>83</v>
      </c>
      <c r="D603" s="28">
        <f>VLOOKUP(A603,[2]v_02_2024!F:I,4,FALSE)</f>
        <v>7189.97</v>
      </c>
      <c r="E603" s="21">
        <v>0</v>
      </c>
      <c r="F603" s="28">
        <v>0</v>
      </c>
      <c r="G603" s="24">
        <f t="shared" si="55"/>
        <v>0</v>
      </c>
      <c r="H603" s="21">
        <f t="shared" si="56"/>
        <v>83</v>
      </c>
      <c r="I603" s="28">
        <f t="shared" si="56"/>
        <v>7189.97</v>
      </c>
      <c r="J603" s="21">
        <f>VLOOKUP(A603,[2]v_02_2023!F:I,3,FALSE)</f>
        <v>9</v>
      </c>
      <c r="K603" s="28">
        <f>VLOOKUP(A603,[2]v_02_2023!F:I,4,FALSE)</f>
        <v>810.72</v>
      </c>
      <c r="L603" s="21">
        <f t="shared" si="57"/>
        <v>74</v>
      </c>
      <c r="M603" s="29">
        <f t="shared" si="57"/>
        <v>6379.25</v>
      </c>
      <c r="N603" s="26">
        <f t="shared" si="58"/>
        <v>7.868622952437339</v>
      </c>
    </row>
    <row r="604" spans="1:14" x14ac:dyDescent="0.25">
      <c r="A604" s="21" t="s">
        <v>393</v>
      </c>
      <c r="B604" s="22" t="s">
        <v>392</v>
      </c>
      <c r="C604">
        <f>VLOOKUP(A604,[2]v_02_2024!F:I,3,FALSE)</f>
        <v>9</v>
      </c>
      <c r="D604" s="28">
        <f>VLOOKUP(A604,[2]v_02_2024!F:I,4,FALSE)</f>
        <v>889.57</v>
      </c>
      <c r="E604" s="21">
        <v>0</v>
      </c>
      <c r="F604" s="28">
        <v>0</v>
      </c>
      <c r="G604" s="24">
        <f t="shared" si="55"/>
        <v>0</v>
      </c>
      <c r="H604" s="21">
        <f t="shared" si="56"/>
        <v>9</v>
      </c>
      <c r="I604" s="28">
        <f t="shared" si="56"/>
        <v>889.57</v>
      </c>
      <c r="J604" s="21">
        <f>VLOOKUP(A604,[2]v_02_2023!F:I,3,FALSE)</f>
        <v>32</v>
      </c>
      <c r="K604" s="28">
        <f>VLOOKUP(A604,[2]v_02_2023!F:I,4,FALSE)</f>
        <v>2620.48</v>
      </c>
      <c r="L604" s="21">
        <f t="shared" si="57"/>
        <v>-23</v>
      </c>
      <c r="M604" s="29">
        <f t="shared" si="57"/>
        <v>-1730.9099999999999</v>
      </c>
      <c r="N604" s="26">
        <f t="shared" si="58"/>
        <v>-0.66053165832213945</v>
      </c>
    </row>
    <row r="605" spans="1:14" x14ac:dyDescent="0.25">
      <c r="A605" s="21" t="s">
        <v>395</v>
      </c>
      <c r="B605" s="22" t="s">
        <v>394</v>
      </c>
      <c r="C605">
        <f>VLOOKUP(A605,[2]v_02_2024!F:I,3,FALSE)</f>
        <v>89</v>
      </c>
      <c r="D605" s="28">
        <f>VLOOKUP(A605,[2]v_02_2024!F:I,4,FALSE)</f>
        <v>981.68</v>
      </c>
      <c r="E605" s="21">
        <v>0</v>
      </c>
      <c r="F605" s="28">
        <v>0</v>
      </c>
      <c r="G605" s="24">
        <f t="shared" si="55"/>
        <v>0</v>
      </c>
      <c r="H605" s="21">
        <f t="shared" si="56"/>
        <v>89</v>
      </c>
      <c r="I605" s="28">
        <f t="shared" si="56"/>
        <v>981.68</v>
      </c>
      <c r="J605" s="21">
        <f>VLOOKUP(A605,[2]v_02_2023!F:I,3,FALSE)</f>
        <v>174</v>
      </c>
      <c r="K605" s="28">
        <f>VLOOKUP(A605,[2]v_02_2023!F:I,4,FALSE)</f>
        <v>1839.18</v>
      </c>
      <c r="L605" s="21">
        <f t="shared" si="57"/>
        <v>-85</v>
      </c>
      <c r="M605" s="29">
        <f t="shared" si="57"/>
        <v>-857.50000000000011</v>
      </c>
      <c r="N605" s="26">
        <f t="shared" si="58"/>
        <v>-0.46624038973890541</v>
      </c>
    </row>
    <row r="606" spans="1:14" x14ac:dyDescent="0.25">
      <c r="A606" s="21" t="s">
        <v>399</v>
      </c>
      <c r="B606" s="22" t="s">
        <v>398</v>
      </c>
      <c r="C606">
        <f>VLOOKUP(A606,[2]v_02_2024!F:I,3,FALSE)</f>
        <v>4</v>
      </c>
      <c r="D606" s="28">
        <f>VLOOKUP(A606,[2]v_02_2024!F:I,4,FALSE)</f>
        <v>163.6</v>
      </c>
      <c r="E606" s="21">
        <v>0</v>
      </c>
      <c r="F606" s="28">
        <v>0</v>
      </c>
      <c r="G606" s="24">
        <f t="shared" si="55"/>
        <v>0</v>
      </c>
      <c r="H606" s="21">
        <f t="shared" si="56"/>
        <v>4</v>
      </c>
      <c r="I606" s="28">
        <f t="shared" si="56"/>
        <v>163.6</v>
      </c>
      <c r="J606" s="21">
        <f>VLOOKUP(A606,[2]v_02_2023!F:I,3,FALSE)</f>
        <v>5</v>
      </c>
      <c r="K606" s="28">
        <f>VLOOKUP(A606,[2]v_02_2023!F:I,4,FALSE)</f>
        <v>184</v>
      </c>
      <c r="L606" s="21">
        <f t="shared" si="57"/>
        <v>-1</v>
      </c>
      <c r="M606" s="29">
        <f t="shared" si="57"/>
        <v>-20.400000000000006</v>
      </c>
      <c r="N606" s="26">
        <f t="shared" si="58"/>
        <v>-0.11086956521739133</v>
      </c>
    </row>
    <row r="607" spans="1:14" x14ac:dyDescent="0.25">
      <c r="A607" s="21" t="s">
        <v>732</v>
      </c>
      <c r="B607" s="22" t="s">
        <v>733</v>
      </c>
      <c r="C607">
        <v>0</v>
      </c>
      <c r="D607" s="28">
        <v>0</v>
      </c>
      <c r="E607" s="21">
        <v>0</v>
      </c>
      <c r="F607" s="28">
        <v>0</v>
      </c>
      <c r="G607" s="24"/>
      <c r="H607" s="21">
        <f t="shared" si="56"/>
        <v>0</v>
      </c>
      <c r="I607" s="28">
        <f t="shared" si="56"/>
        <v>0</v>
      </c>
      <c r="J607" s="21">
        <v>0</v>
      </c>
      <c r="K607" s="28">
        <v>0</v>
      </c>
      <c r="L607" s="21">
        <f t="shared" si="57"/>
        <v>0</v>
      </c>
      <c r="M607" s="29">
        <f t="shared" si="57"/>
        <v>0</v>
      </c>
      <c r="N607" s="26"/>
    </row>
    <row r="608" spans="1:14" x14ac:dyDescent="0.25">
      <c r="A608" s="21" t="s">
        <v>401</v>
      </c>
      <c r="B608" s="22" t="s">
        <v>400</v>
      </c>
      <c r="C608">
        <f>VLOOKUP(A608,[2]v_02_2024!F:I,3,FALSE)</f>
        <v>191</v>
      </c>
      <c r="D608" s="28">
        <f>VLOOKUP(A608,[2]v_02_2024!F:I,4,FALSE)</f>
        <v>3115.15</v>
      </c>
      <c r="E608" s="21">
        <v>0</v>
      </c>
      <c r="F608" s="28">
        <v>0</v>
      </c>
      <c r="G608" s="24">
        <f t="shared" si="55"/>
        <v>0</v>
      </c>
      <c r="H608" s="21">
        <f t="shared" si="56"/>
        <v>191</v>
      </c>
      <c r="I608" s="28">
        <f t="shared" si="56"/>
        <v>3115.15</v>
      </c>
      <c r="J608" s="21">
        <f>VLOOKUP(A608,[2]v_02_2023!F:I,3,FALSE)</f>
        <v>-2</v>
      </c>
      <c r="K608" s="28">
        <f>VLOOKUP(A608,[2]v_02_2023!F:I,4,FALSE)</f>
        <v>-32.619999999999997</v>
      </c>
      <c r="L608" s="21">
        <f t="shared" si="57"/>
        <v>193</v>
      </c>
      <c r="M608" s="29">
        <f t="shared" si="57"/>
        <v>3147.77</v>
      </c>
      <c r="N608" s="26">
        <f t="shared" si="58"/>
        <v>-96.498160637645626</v>
      </c>
    </row>
    <row r="609" spans="1:14" x14ac:dyDescent="0.25">
      <c r="A609" s="21" t="s">
        <v>403</v>
      </c>
      <c r="B609" s="22" t="s">
        <v>402</v>
      </c>
      <c r="C609">
        <f>VLOOKUP(A609,[2]v_02_2024!F:I,3,FALSE)</f>
        <v>8</v>
      </c>
      <c r="D609" s="28">
        <f>VLOOKUP(A609,[2]v_02_2024!F:I,4,FALSE)</f>
        <v>350.79</v>
      </c>
      <c r="E609" s="21">
        <v>0</v>
      </c>
      <c r="F609" s="28">
        <v>0</v>
      </c>
      <c r="G609" s="24">
        <f t="shared" si="55"/>
        <v>0</v>
      </c>
      <c r="H609" s="21">
        <f t="shared" si="56"/>
        <v>8</v>
      </c>
      <c r="I609" s="28">
        <f t="shared" si="56"/>
        <v>350.79</v>
      </c>
      <c r="J609" s="21">
        <f>VLOOKUP(A609,[2]v_02_2023!F:I,3,FALSE)</f>
        <v>6</v>
      </c>
      <c r="K609" s="28">
        <f>VLOOKUP(A609,[2]v_02_2023!F:I,4,FALSE)</f>
        <v>164.54</v>
      </c>
      <c r="L609" s="21">
        <f t="shared" si="57"/>
        <v>2</v>
      </c>
      <c r="M609" s="29">
        <f t="shared" si="57"/>
        <v>186.25000000000003</v>
      </c>
      <c r="N609" s="26">
        <f t="shared" si="58"/>
        <v>1.1319436003403429</v>
      </c>
    </row>
    <row r="610" spans="1:14" x14ac:dyDescent="0.25">
      <c r="A610" s="21" t="s">
        <v>405</v>
      </c>
      <c r="B610" s="22" t="s">
        <v>404</v>
      </c>
      <c r="C610">
        <f>VLOOKUP(A610,[2]v_02_2024!F:I,3,FALSE)</f>
        <v>3</v>
      </c>
      <c r="D610" s="28">
        <f>VLOOKUP(A610,[2]v_02_2024!F:I,4,FALSE)</f>
        <v>439.05</v>
      </c>
      <c r="E610" s="21">
        <v>0</v>
      </c>
      <c r="F610" s="28">
        <v>0</v>
      </c>
      <c r="G610" s="24">
        <f t="shared" si="55"/>
        <v>0</v>
      </c>
      <c r="H610" s="21">
        <f t="shared" si="56"/>
        <v>3</v>
      </c>
      <c r="I610" s="28">
        <f t="shared" si="56"/>
        <v>439.05</v>
      </c>
      <c r="J610" s="21">
        <f>VLOOKUP(A610,[2]v_02_2023!F:I,3,FALSE)</f>
        <v>1</v>
      </c>
      <c r="K610" s="28">
        <f>VLOOKUP(A610,[2]v_02_2023!F:I,4,FALSE)</f>
        <v>141.35</v>
      </c>
      <c r="L610" s="21">
        <f t="shared" si="57"/>
        <v>2</v>
      </c>
      <c r="M610" s="29">
        <f t="shared" si="57"/>
        <v>297.70000000000005</v>
      </c>
      <c r="N610" s="26">
        <f t="shared" si="58"/>
        <v>2.1061195613724801</v>
      </c>
    </row>
    <row r="611" spans="1:14" x14ac:dyDescent="0.25">
      <c r="A611" s="21" t="s">
        <v>407</v>
      </c>
      <c r="B611" s="22" t="s">
        <v>406</v>
      </c>
      <c r="C611">
        <f>VLOOKUP(A611,[2]v_02_2024!F:I,3,FALSE)</f>
        <v>410</v>
      </c>
      <c r="D611" s="28">
        <f>VLOOKUP(A611,[2]v_02_2024!F:I,4,FALSE)</f>
        <v>2011.5</v>
      </c>
      <c r="E611" s="21">
        <v>0</v>
      </c>
      <c r="F611" s="28">
        <v>0</v>
      </c>
      <c r="G611" s="24">
        <f t="shared" si="55"/>
        <v>0</v>
      </c>
      <c r="H611" s="21">
        <f t="shared" si="56"/>
        <v>410</v>
      </c>
      <c r="I611" s="28">
        <f t="shared" si="56"/>
        <v>2011.5</v>
      </c>
      <c r="J611" s="21">
        <f>VLOOKUP(A611,[2]v_02_2023!F:I,3,FALSE)</f>
        <v>395</v>
      </c>
      <c r="K611" s="28">
        <f>VLOOKUP(A611,[2]v_02_2023!F:I,4,FALSE)</f>
        <v>1615.55</v>
      </c>
      <c r="L611" s="21">
        <f t="shared" si="57"/>
        <v>15</v>
      </c>
      <c r="M611" s="29">
        <f t="shared" si="57"/>
        <v>395.95000000000005</v>
      </c>
      <c r="N611" s="26">
        <f t="shared" si="58"/>
        <v>0.24508681254062087</v>
      </c>
    </row>
    <row r="612" spans="1:14" x14ac:dyDescent="0.25">
      <c r="A612" s="21" t="s">
        <v>409</v>
      </c>
      <c r="B612" s="22" t="s">
        <v>408</v>
      </c>
      <c r="C612">
        <f>VLOOKUP(A612,[2]v_02_2024!F:I,3,FALSE)</f>
        <v>29</v>
      </c>
      <c r="D612" s="28">
        <f>VLOOKUP(A612,[2]v_02_2024!F:I,4,FALSE)</f>
        <v>171.8</v>
      </c>
      <c r="E612" s="21">
        <v>0</v>
      </c>
      <c r="F612" s="28">
        <v>0</v>
      </c>
      <c r="G612" s="24">
        <f t="shared" si="55"/>
        <v>0</v>
      </c>
      <c r="H612" s="21">
        <f t="shared" si="56"/>
        <v>29</v>
      </c>
      <c r="I612" s="28">
        <f t="shared" si="56"/>
        <v>171.8</v>
      </c>
      <c r="J612" s="21">
        <f>VLOOKUP(A612,[2]v_02_2023!F:I,3,FALSE)</f>
        <v>9</v>
      </c>
      <c r="K612" s="28">
        <f>VLOOKUP(A612,[2]v_02_2023!F:I,4,FALSE)</f>
        <v>36.18</v>
      </c>
      <c r="L612" s="21">
        <f t="shared" si="57"/>
        <v>20</v>
      </c>
      <c r="M612" s="29">
        <f t="shared" si="57"/>
        <v>135.62</v>
      </c>
      <c r="N612" s="26">
        <f t="shared" si="58"/>
        <v>3.7484798231066891</v>
      </c>
    </row>
    <row r="613" spans="1:14" x14ac:dyDescent="0.25">
      <c r="A613" s="21" t="s">
        <v>411</v>
      </c>
      <c r="B613" s="22" t="s">
        <v>410</v>
      </c>
      <c r="C613">
        <f>VLOOKUP(A613,[2]v_02_2024!F:I,3,FALSE)</f>
        <v>10</v>
      </c>
      <c r="D613" s="28">
        <f>VLOOKUP(A613,[2]v_02_2024!F:I,4,FALSE)</f>
        <v>47.53</v>
      </c>
      <c r="E613" s="21">
        <v>0</v>
      </c>
      <c r="F613" s="28">
        <v>0</v>
      </c>
      <c r="G613" s="24">
        <f t="shared" si="55"/>
        <v>0</v>
      </c>
      <c r="H613" s="21">
        <f t="shared" si="56"/>
        <v>10</v>
      </c>
      <c r="I613" s="28">
        <f t="shared" si="56"/>
        <v>47.53</v>
      </c>
      <c r="J613" s="21">
        <f>VLOOKUP(A613,[2]v_02_2023!F:I,3,FALSE)</f>
        <v>7</v>
      </c>
      <c r="K613" s="28">
        <f>VLOOKUP(A613,[2]v_02_2023!F:I,4,FALSE)</f>
        <v>45.85</v>
      </c>
      <c r="L613" s="21">
        <f t="shared" si="57"/>
        <v>3</v>
      </c>
      <c r="M613" s="29">
        <f t="shared" si="57"/>
        <v>1.6799999999999997</v>
      </c>
      <c r="N613" s="26">
        <f t="shared" si="58"/>
        <v>3.6641221374045796E-2</v>
      </c>
    </row>
    <row r="614" spans="1:14" x14ac:dyDescent="0.25">
      <c r="A614" s="21" t="s">
        <v>413</v>
      </c>
      <c r="B614" s="22" t="s">
        <v>412</v>
      </c>
      <c r="C614">
        <v>0</v>
      </c>
      <c r="D614" s="28">
        <v>0</v>
      </c>
      <c r="E614" s="21">
        <v>0</v>
      </c>
      <c r="F614" s="28">
        <v>0</v>
      </c>
      <c r="G614" s="24"/>
      <c r="H614" s="21">
        <f t="shared" si="56"/>
        <v>0</v>
      </c>
      <c r="I614" s="28">
        <f t="shared" si="56"/>
        <v>0</v>
      </c>
      <c r="J614" s="21">
        <v>0</v>
      </c>
      <c r="K614" s="28">
        <v>0</v>
      </c>
      <c r="L614" s="21">
        <f t="shared" si="57"/>
        <v>0</v>
      </c>
      <c r="M614" s="29">
        <f t="shared" si="57"/>
        <v>0</v>
      </c>
      <c r="N614" s="26"/>
    </row>
    <row r="615" spans="1:14" x14ac:dyDescent="0.25">
      <c r="A615" s="21" t="s">
        <v>415</v>
      </c>
      <c r="B615" s="22" t="s">
        <v>414</v>
      </c>
      <c r="C615">
        <f>VLOOKUP(A615,[2]v_02_2024!F:I,3,FALSE)</f>
        <v>165</v>
      </c>
      <c r="D615" s="28">
        <f>VLOOKUP(A615,[2]v_02_2024!F:I,4,FALSE)</f>
        <v>1835.74</v>
      </c>
      <c r="E615" s="21">
        <v>0</v>
      </c>
      <c r="F615" s="28">
        <v>0</v>
      </c>
      <c r="G615" s="24">
        <f t="shared" si="55"/>
        <v>0</v>
      </c>
      <c r="H615" s="21">
        <f t="shared" si="56"/>
        <v>165</v>
      </c>
      <c r="I615" s="28">
        <f t="shared" si="56"/>
        <v>1835.74</v>
      </c>
      <c r="J615" s="21">
        <f>VLOOKUP(A615,[2]v_02_2023!F:I,3,FALSE)</f>
        <v>46</v>
      </c>
      <c r="K615" s="28">
        <f>VLOOKUP(A615,[2]v_02_2023!F:I,4,FALSE)</f>
        <v>486.22</v>
      </c>
      <c r="L615" s="21">
        <f t="shared" si="57"/>
        <v>119</v>
      </c>
      <c r="M615" s="29">
        <f t="shared" si="57"/>
        <v>1349.52</v>
      </c>
      <c r="N615" s="26">
        <f t="shared" si="58"/>
        <v>2.7755337090206078</v>
      </c>
    </row>
    <row r="616" spans="1:14" x14ac:dyDescent="0.25">
      <c r="A616" s="21" t="s">
        <v>417</v>
      </c>
      <c r="B616" s="22" t="s">
        <v>416</v>
      </c>
      <c r="C616">
        <v>0</v>
      </c>
      <c r="D616" s="28">
        <v>0</v>
      </c>
      <c r="E616" s="21">
        <v>0</v>
      </c>
      <c r="F616" s="28">
        <v>0</v>
      </c>
      <c r="G616" s="24"/>
      <c r="H616" s="21">
        <f t="shared" si="56"/>
        <v>0</v>
      </c>
      <c r="I616" s="28">
        <f t="shared" si="56"/>
        <v>0</v>
      </c>
      <c r="J616" s="21">
        <v>0</v>
      </c>
      <c r="K616" s="28">
        <v>0</v>
      </c>
      <c r="L616" s="21">
        <f t="shared" si="57"/>
        <v>0</v>
      </c>
      <c r="M616" s="29">
        <f t="shared" si="57"/>
        <v>0</v>
      </c>
      <c r="N616" s="26"/>
    </row>
    <row r="617" spans="1:14" x14ac:dyDescent="0.25">
      <c r="A617" s="21" t="s">
        <v>419</v>
      </c>
      <c r="B617" s="22" t="s">
        <v>418</v>
      </c>
      <c r="C617">
        <f>VLOOKUP(A617,[2]v_02_2024!F:I,3,FALSE)</f>
        <v>188</v>
      </c>
      <c r="D617" s="28">
        <f>VLOOKUP(A617,[2]v_02_2024!F:I,4,FALSE)</f>
        <v>1742.62</v>
      </c>
      <c r="E617" s="21">
        <v>0</v>
      </c>
      <c r="F617" s="28">
        <v>0</v>
      </c>
      <c r="G617" s="24">
        <f t="shared" si="55"/>
        <v>0</v>
      </c>
      <c r="H617" s="21">
        <f t="shared" si="56"/>
        <v>188</v>
      </c>
      <c r="I617" s="28">
        <f t="shared" si="56"/>
        <v>1742.62</v>
      </c>
      <c r="J617" s="21">
        <v>0</v>
      </c>
      <c r="K617" s="28">
        <v>0</v>
      </c>
      <c r="L617" s="21">
        <f t="shared" si="57"/>
        <v>188</v>
      </c>
      <c r="M617" s="29">
        <f t="shared" si="57"/>
        <v>1742.62</v>
      </c>
      <c r="N617" s="26"/>
    </row>
    <row r="618" spans="1:14" x14ac:dyDescent="0.25">
      <c r="A618" s="21" t="s">
        <v>421</v>
      </c>
      <c r="B618" s="22" t="s">
        <v>420</v>
      </c>
      <c r="C618">
        <f>VLOOKUP(A618,[2]v_02_2024!F:I,3,FALSE)</f>
        <v>8</v>
      </c>
      <c r="D618" s="28">
        <f>VLOOKUP(A618,[2]v_02_2024!F:I,4,FALSE)</f>
        <v>327.2</v>
      </c>
      <c r="E618" s="21">
        <v>0</v>
      </c>
      <c r="F618" s="28">
        <v>0</v>
      </c>
      <c r="G618" s="24">
        <f t="shared" si="55"/>
        <v>0</v>
      </c>
      <c r="H618" s="21">
        <f t="shared" si="56"/>
        <v>8</v>
      </c>
      <c r="I618" s="28">
        <f t="shared" si="56"/>
        <v>327.2</v>
      </c>
      <c r="J618" s="21">
        <v>0</v>
      </c>
      <c r="K618" s="28">
        <v>0</v>
      </c>
      <c r="L618" s="21">
        <f t="shared" si="57"/>
        <v>8</v>
      </c>
      <c r="M618" s="29">
        <f t="shared" si="57"/>
        <v>327.2</v>
      </c>
      <c r="N618" s="26"/>
    </row>
    <row r="619" spans="1:14" x14ac:dyDescent="0.25">
      <c r="A619" s="21" t="s">
        <v>736</v>
      </c>
      <c r="B619" s="22" t="s">
        <v>737</v>
      </c>
      <c r="C619">
        <v>0</v>
      </c>
      <c r="D619" s="28">
        <v>0</v>
      </c>
      <c r="E619" s="21">
        <v>0</v>
      </c>
      <c r="F619" s="28">
        <v>0</v>
      </c>
      <c r="G619" s="24"/>
      <c r="H619" s="21">
        <f t="shared" si="56"/>
        <v>0</v>
      </c>
      <c r="I619" s="28">
        <f t="shared" si="56"/>
        <v>0</v>
      </c>
      <c r="J619" s="21">
        <v>0</v>
      </c>
      <c r="K619" s="28">
        <v>0</v>
      </c>
      <c r="L619" s="21">
        <f t="shared" si="57"/>
        <v>0</v>
      </c>
      <c r="M619" s="29">
        <f t="shared" si="57"/>
        <v>0</v>
      </c>
      <c r="N619" s="26"/>
    </row>
    <row r="620" spans="1:14" x14ac:dyDescent="0.25">
      <c r="A620" s="21" t="s">
        <v>423</v>
      </c>
      <c r="B620" s="22" t="s">
        <v>422</v>
      </c>
      <c r="C620">
        <f>VLOOKUP(A620,[2]v_02_2024!F:I,3,FALSE)</f>
        <v>41</v>
      </c>
      <c r="D620" s="28">
        <f>VLOOKUP(A620,[2]v_02_2024!F:I,4,FALSE)</f>
        <v>1665.99</v>
      </c>
      <c r="E620" s="21">
        <v>0</v>
      </c>
      <c r="F620" s="28">
        <v>0</v>
      </c>
      <c r="G620" s="24">
        <f t="shared" ref="G620:G645" si="59">F620/I620</f>
        <v>0</v>
      </c>
      <c r="H620" s="21">
        <f t="shared" ref="H620:I645" si="60">E620+C620</f>
        <v>41</v>
      </c>
      <c r="I620" s="28">
        <f t="shared" si="60"/>
        <v>1665.99</v>
      </c>
      <c r="J620" s="21">
        <v>0</v>
      </c>
      <c r="K620" s="28">
        <v>0</v>
      </c>
      <c r="L620" s="21">
        <f t="shared" ref="L620:M646" si="61">H620-J620</f>
        <v>41</v>
      </c>
      <c r="M620" s="29">
        <f t="shared" si="61"/>
        <v>1665.99</v>
      </c>
      <c r="N620" s="26"/>
    </row>
    <row r="621" spans="1:14" x14ac:dyDescent="0.25">
      <c r="A621" s="21" t="s">
        <v>738</v>
      </c>
      <c r="B621" s="22" t="s">
        <v>739</v>
      </c>
      <c r="C621">
        <v>0</v>
      </c>
      <c r="D621" s="28">
        <v>0</v>
      </c>
      <c r="E621" s="21">
        <v>0</v>
      </c>
      <c r="F621" s="28">
        <v>0</v>
      </c>
      <c r="G621" s="24"/>
      <c r="H621" s="21">
        <f t="shared" si="60"/>
        <v>0</v>
      </c>
      <c r="I621" s="28">
        <f t="shared" si="60"/>
        <v>0</v>
      </c>
      <c r="J621" s="21">
        <v>0</v>
      </c>
      <c r="K621" s="28">
        <v>0</v>
      </c>
      <c r="L621" s="21">
        <f t="shared" si="61"/>
        <v>0</v>
      </c>
      <c r="M621" s="29">
        <f t="shared" si="61"/>
        <v>0</v>
      </c>
      <c r="N621" s="26"/>
    </row>
    <row r="622" spans="1:14" x14ac:dyDescent="0.25">
      <c r="A622" s="21" t="s">
        <v>425</v>
      </c>
      <c r="B622" s="22" t="s">
        <v>424</v>
      </c>
      <c r="C622">
        <f>VLOOKUP(A622,[2]v_02_2024!F:I,3,FALSE)</f>
        <v>1</v>
      </c>
      <c r="D622" s="28">
        <f>VLOOKUP(A622,[2]v_02_2024!F:I,4,FALSE)</f>
        <v>13.85</v>
      </c>
      <c r="E622" s="21">
        <v>0</v>
      </c>
      <c r="F622" s="28">
        <v>0</v>
      </c>
      <c r="G622" s="24">
        <f t="shared" si="59"/>
        <v>0</v>
      </c>
      <c r="H622" s="21">
        <f t="shared" si="60"/>
        <v>1</v>
      </c>
      <c r="I622" s="28">
        <f t="shared" si="60"/>
        <v>13.85</v>
      </c>
      <c r="J622" s="21">
        <v>0</v>
      </c>
      <c r="K622" s="28">
        <v>0</v>
      </c>
      <c r="L622" s="21">
        <f t="shared" si="61"/>
        <v>1</v>
      </c>
      <c r="M622" s="29">
        <f t="shared" si="61"/>
        <v>13.85</v>
      </c>
      <c r="N622" s="26"/>
    </row>
    <row r="623" spans="1:14" x14ac:dyDescent="0.25">
      <c r="A623" s="21" t="s">
        <v>427</v>
      </c>
      <c r="B623" s="22" t="s">
        <v>426</v>
      </c>
      <c r="C623">
        <f>VLOOKUP(A623,[2]v_02_2024!F:I,3,FALSE)</f>
        <v>12</v>
      </c>
      <c r="D623" s="28">
        <f>VLOOKUP(A623,[2]v_02_2024!F:I,4,FALSE)</f>
        <v>349.1</v>
      </c>
      <c r="E623" s="21">
        <v>0</v>
      </c>
      <c r="F623" s="28">
        <v>0</v>
      </c>
      <c r="G623" s="24">
        <f t="shared" si="59"/>
        <v>0</v>
      </c>
      <c r="H623" s="21">
        <f t="shared" si="60"/>
        <v>12</v>
      </c>
      <c r="I623" s="28">
        <f t="shared" si="60"/>
        <v>349.1</v>
      </c>
      <c r="J623" s="21">
        <v>0</v>
      </c>
      <c r="K623" s="28">
        <v>0</v>
      </c>
      <c r="L623" s="21">
        <f t="shared" si="61"/>
        <v>12</v>
      </c>
      <c r="M623" s="29">
        <f t="shared" si="61"/>
        <v>349.1</v>
      </c>
      <c r="N623" s="26"/>
    </row>
    <row r="624" spans="1:14" x14ac:dyDescent="0.25">
      <c r="A624" s="21" t="s">
        <v>431</v>
      </c>
      <c r="B624" s="22" t="s">
        <v>430</v>
      </c>
      <c r="C624">
        <f>VLOOKUP(A624,[2]v_02_2024!F:I,3,FALSE)</f>
        <v>4</v>
      </c>
      <c r="D624" s="28">
        <f>VLOOKUP(A624,[2]v_02_2024!F:I,4,FALSE)</f>
        <v>114.44</v>
      </c>
      <c r="E624" s="21">
        <v>0</v>
      </c>
      <c r="F624" s="28">
        <v>0</v>
      </c>
      <c r="G624" s="24">
        <f t="shared" si="59"/>
        <v>0</v>
      </c>
      <c r="H624" s="21">
        <f t="shared" si="60"/>
        <v>4</v>
      </c>
      <c r="I624" s="28">
        <f t="shared" si="60"/>
        <v>114.44</v>
      </c>
      <c r="J624" s="21">
        <v>0</v>
      </c>
      <c r="K624" s="28">
        <v>0</v>
      </c>
      <c r="L624" s="21">
        <f t="shared" si="61"/>
        <v>4</v>
      </c>
      <c r="M624" s="29">
        <f t="shared" si="61"/>
        <v>114.44</v>
      </c>
      <c r="N624" s="26"/>
    </row>
    <row r="625" spans="1:14" x14ac:dyDescent="0.25">
      <c r="A625" s="21" t="s">
        <v>433</v>
      </c>
      <c r="B625" s="22" t="s">
        <v>432</v>
      </c>
      <c r="C625">
        <v>0</v>
      </c>
      <c r="D625" s="28">
        <v>0</v>
      </c>
      <c r="E625" s="21">
        <v>0</v>
      </c>
      <c r="F625" s="28">
        <v>0</v>
      </c>
      <c r="G625" s="24"/>
      <c r="H625" s="21">
        <f t="shared" si="60"/>
        <v>0</v>
      </c>
      <c r="I625" s="28">
        <f t="shared" si="60"/>
        <v>0</v>
      </c>
      <c r="J625" s="21">
        <v>0</v>
      </c>
      <c r="K625" s="28">
        <v>0</v>
      </c>
      <c r="L625" s="21">
        <f t="shared" si="61"/>
        <v>0</v>
      </c>
      <c r="M625" s="29">
        <f t="shared" si="61"/>
        <v>0</v>
      </c>
      <c r="N625" s="26"/>
    </row>
    <row r="626" spans="1:14" x14ac:dyDescent="0.25">
      <c r="A626" s="21" t="s">
        <v>437</v>
      </c>
      <c r="B626" s="22" t="s">
        <v>436</v>
      </c>
      <c r="C626">
        <f>VLOOKUP(A626,[2]v_02_2024!F:I,3,FALSE)</f>
        <v>4</v>
      </c>
      <c r="D626" s="28">
        <f>VLOOKUP(A626,[2]v_02_2024!F:I,4,FALSE)</f>
        <v>75.5</v>
      </c>
      <c r="E626" s="21">
        <v>0</v>
      </c>
      <c r="F626" s="28">
        <v>0</v>
      </c>
      <c r="G626" s="24">
        <f t="shared" si="59"/>
        <v>0</v>
      </c>
      <c r="H626" s="21">
        <f t="shared" si="60"/>
        <v>4</v>
      </c>
      <c r="I626" s="28">
        <f t="shared" si="60"/>
        <v>75.5</v>
      </c>
      <c r="J626" s="21">
        <v>0</v>
      </c>
      <c r="K626" s="28">
        <v>0</v>
      </c>
      <c r="L626" s="21">
        <f t="shared" si="61"/>
        <v>4</v>
      </c>
      <c r="M626" s="29">
        <f t="shared" si="61"/>
        <v>75.5</v>
      </c>
      <c r="N626" s="26"/>
    </row>
    <row r="627" spans="1:14" x14ac:dyDescent="0.25">
      <c r="A627" s="21" t="s">
        <v>740</v>
      </c>
      <c r="B627" s="22" t="s">
        <v>741</v>
      </c>
      <c r="C627">
        <v>0</v>
      </c>
      <c r="D627" s="28">
        <v>0</v>
      </c>
      <c r="E627" s="21">
        <v>0</v>
      </c>
      <c r="F627" s="28">
        <v>0</v>
      </c>
      <c r="G627" s="24"/>
      <c r="H627" s="21">
        <f t="shared" si="60"/>
        <v>0</v>
      </c>
      <c r="I627" s="28">
        <f t="shared" si="60"/>
        <v>0</v>
      </c>
      <c r="J627" s="21">
        <v>0</v>
      </c>
      <c r="K627" s="28">
        <v>0</v>
      </c>
      <c r="L627" s="21">
        <f t="shared" si="61"/>
        <v>0</v>
      </c>
      <c r="M627" s="29">
        <f t="shared" si="61"/>
        <v>0</v>
      </c>
      <c r="N627" s="26"/>
    </row>
    <row r="628" spans="1:14" x14ac:dyDescent="0.25">
      <c r="A628" s="21" t="s">
        <v>439</v>
      </c>
      <c r="B628" s="22" t="s">
        <v>438</v>
      </c>
      <c r="C628">
        <f>VLOOKUP(A628,[2]v_02_2024!F:I,3,FALSE)</f>
        <v>1</v>
      </c>
      <c r="D628" s="28">
        <f>VLOOKUP(A628,[2]v_02_2024!F:I,4,FALSE)</f>
        <v>9.42</v>
      </c>
      <c r="E628" s="21">
        <v>0</v>
      </c>
      <c r="F628" s="28">
        <v>0</v>
      </c>
      <c r="G628" s="24">
        <f t="shared" si="59"/>
        <v>0</v>
      </c>
      <c r="H628" s="21">
        <f t="shared" si="60"/>
        <v>1</v>
      </c>
      <c r="I628" s="28">
        <f t="shared" si="60"/>
        <v>9.42</v>
      </c>
      <c r="J628" s="21">
        <v>0</v>
      </c>
      <c r="K628" s="28">
        <v>0</v>
      </c>
      <c r="L628" s="21">
        <f t="shared" si="61"/>
        <v>1</v>
      </c>
      <c r="M628" s="29">
        <f t="shared" si="61"/>
        <v>9.42</v>
      </c>
      <c r="N628" s="26"/>
    </row>
    <row r="629" spans="1:14" x14ac:dyDescent="0.25">
      <c r="A629" s="21" t="s">
        <v>742</v>
      </c>
      <c r="B629" s="22" t="s">
        <v>743</v>
      </c>
      <c r="C629">
        <v>0</v>
      </c>
      <c r="D629" s="28">
        <v>0</v>
      </c>
      <c r="E629" s="21">
        <v>0</v>
      </c>
      <c r="F629" s="28">
        <v>0</v>
      </c>
      <c r="G629" s="24"/>
      <c r="H629" s="21">
        <f t="shared" si="60"/>
        <v>0</v>
      </c>
      <c r="I629" s="28">
        <f t="shared" si="60"/>
        <v>0</v>
      </c>
      <c r="J629" s="21">
        <v>0</v>
      </c>
      <c r="K629" s="28">
        <v>0</v>
      </c>
      <c r="L629" s="21">
        <f t="shared" si="61"/>
        <v>0</v>
      </c>
      <c r="M629" s="29">
        <f t="shared" si="61"/>
        <v>0</v>
      </c>
      <c r="N629" s="26"/>
    </row>
    <row r="630" spans="1:14" x14ac:dyDescent="0.25">
      <c r="A630" s="21" t="s">
        <v>441</v>
      </c>
      <c r="B630" s="22" t="s">
        <v>440</v>
      </c>
      <c r="C630">
        <v>0</v>
      </c>
      <c r="D630" s="28">
        <v>0</v>
      </c>
      <c r="E630" s="21">
        <v>0</v>
      </c>
      <c r="F630" s="28">
        <v>0</v>
      </c>
      <c r="G630" s="24"/>
      <c r="H630" s="21">
        <f t="shared" si="60"/>
        <v>0</v>
      </c>
      <c r="I630" s="28">
        <f t="shared" si="60"/>
        <v>0</v>
      </c>
      <c r="J630" s="21">
        <v>0</v>
      </c>
      <c r="K630" s="28">
        <v>0</v>
      </c>
      <c r="L630" s="21">
        <f t="shared" si="61"/>
        <v>0</v>
      </c>
      <c r="M630" s="29">
        <f t="shared" si="61"/>
        <v>0</v>
      </c>
      <c r="N630" s="26"/>
    </row>
    <row r="631" spans="1:14" x14ac:dyDescent="0.25">
      <c r="A631" s="21" t="s">
        <v>443</v>
      </c>
      <c r="B631" s="22" t="s">
        <v>442</v>
      </c>
      <c r="C631">
        <v>0</v>
      </c>
      <c r="D631" s="28">
        <v>0</v>
      </c>
      <c r="E631" s="21">
        <v>0</v>
      </c>
      <c r="F631" s="28">
        <v>0</v>
      </c>
      <c r="G631" s="24"/>
      <c r="H631" s="21">
        <f t="shared" si="60"/>
        <v>0</v>
      </c>
      <c r="I631" s="28">
        <f t="shared" si="60"/>
        <v>0</v>
      </c>
      <c r="J631" s="21">
        <v>0</v>
      </c>
      <c r="K631" s="28">
        <v>0</v>
      </c>
      <c r="L631" s="21">
        <f t="shared" si="61"/>
        <v>0</v>
      </c>
      <c r="M631" s="29">
        <f t="shared" si="61"/>
        <v>0</v>
      </c>
      <c r="N631" s="26"/>
    </row>
    <row r="632" spans="1:14" x14ac:dyDescent="0.25">
      <c r="A632" s="21" t="s">
        <v>445</v>
      </c>
      <c r="B632" s="22" t="s">
        <v>444</v>
      </c>
      <c r="C632">
        <f>VLOOKUP(A632,[2]v_02_2024!F:I,3,FALSE)</f>
        <v>203</v>
      </c>
      <c r="D632" s="28">
        <f>VLOOKUP(A632,[2]v_02_2024!F:I,4,FALSE)</f>
        <v>4050.65</v>
      </c>
      <c r="E632" s="21">
        <v>0</v>
      </c>
      <c r="F632" s="28">
        <v>0</v>
      </c>
      <c r="G632" s="24">
        <f t="shared" si="59"/>
        <v>0</v>
      </c>
      <c r="H632" s="21">
        <f t="shared" si="60"/>
        <v>203</v>
      </c>
      <c r="I632" s="28">
        <f t="shared" si="60"/>
        <v>4050.65</v>
      </c>
      <c r="J632" s="21">
        <v>0</v>
      </c>
      <c r="K632" s="28">
        <v>0</v>
      </c>
      <c r="L632" s="21">
        <f t="shared" si="61"/>
        <v>203</v>
      </c>
      <c r="M632" s="29">
        <f t="shared" si="61"/>
        <v>4050.65</v>
      </c>
      <c r="N632" s="26"/>
    </row>
    <row r="633" spans="1:14" x14ac:dyDescent="0.25">
      <c r="A633" s="21" t="s">
        <v>447</v>
      </c>
      <c r="B633" s="22" t="s">
        <v>446</v>
      </c>
      <c r="C633">
        <f>VLOOKUP(A633,[2]v_02_2024!F:I,3,FALSE)</f>
        <v>26</v>
      </c>
      <c r="D633" s="28">
        <f>VLOOKUP(A633,[2]v_02_2024!F:I,4,FALSE)</f>
        <v>136.34</v>
      </c>
      <c r="E633" s="21">
        <v>0</v>
      </c>
      <c r="F633" s="28">
        <v>0</v>
      </c>
      <c r="G633" s="24">
        <f t="shared" si="59"/>
        <v>0</v>
      </c>
      <c r="H633" s="21">
        <f t="shared" si="60"/>
        <v>26</v>
      </c>
      <c r="I633" s="28">
        <f t="shared" si="60"/>
        <v>136.34</v>
      </c>
      <c r="J633" s="21">
        <v>0</v>
      </c>
      <c r="K633" s="28">
        <v>0</v>
      </c>
      <c r="L633" s="21">
        <f t="shared" si="61"/>
        <v>26</v>
      </c>
      <c r="M633" s="29">
        <f t="shared" si="61"/>
        <v>136.34</v>
      </c>
      <c r="N633" s="26"/>
    </row>
    <row r="634" spans="1:14" x14ac:dyDescent="0.25">
      <c r="A634" s="21" t="s">
        <v>449</v>
      </c>
      <c r="B634" s="22" t="s">
        <v>448</v>
      </c>
      <c r="C634">
        <f>VLOOKUP(A634,[2]v_02_2024!F:I,3,FALSE)</f>
        <v>23</v>
      </c>
      <c r="D634" s="28">
        <f>VLOOKUP(A634,[2]v_02_2024!F:I,4,FALSE)</f>
        <v>150.65</v>
      </c>
      <c r="E634" s="21">
        <v>0</v>
      </c>
      <c r="F634" s="28">
        <v>0</v>
      </c>
      <c r="G634" s="24">
        <f t="shared" si="59"/>
        <v>0</v>
      </c>
      <c r="H634" s="21">
        <f t="shared" si="60"/>
        <v>23</v>
      </c>
      <c r="I634" s="28">
        <f t="shared" si="60"/>
        <v>150.65</v>
      </c>
      <c r="J634" s="21">
        <v>0</v>
      </c>
      <c r="K634" s="28">
        <v>0</v>
      </c>
      <c r="L634" s="21">
        <f t="shared" si="61"/>
        <v>23</v>
      </c>
      <c r="M634" s="29">
        <f t="shared" si="61"/>
        <v>150.65</v>
      </c>
      <c r="N634" s="26"/>
    </row>
    <row r="635" spans="1:14" x14ac:dyDescent="0.25">
      <c r="A635" s="21" t="s">
        <v>451</v>
      </c>
      <c r="B635" s="22" t="s">
        <v>450</v>
      </c>
      <c r="C635">
        <f>VLOOKUP(A635,[2]v_02_2024!F:I,3,FALSE)</f>
        <v>277</v>
      </c>
      <c r="D635" s="28">
        <f>VLOOKUP(A635,[2]v_02_2024!F:I,4,FALSE)</f>
        <v>1566.85</v>
      </c>
      <c r="E635" s="21">
        <v>0</v>
      </c>
      <c r="F635" s="28">
        <v>0</v>
      </c>
      <c r="G635" s="24">
        <f t="shared" si="59"/>
        <v>0</v>
      </c>
      <c r="H635" s="21">
        <f t="shared" si="60"/>
        <v>277</v>
      </c>
      <c r="I635" s="28">
        <f t="shared" si="60"/>
        <v>1566.85</v>
      </c>
      <c r="J635" s="21">
        <v>0</v>
      </c>
      <c r="K635" s="28">
        <v>0</v>
      </c>
      <c r="L635" s="21">
        <f t="shared" si="61"/>
        <v>277</v>
      </c>
      <c r="M635" s="29">
        <f t="shared" si="61"/>
        <v>1566.85</v>
      </c>
      <c r="N635" s="26"/>
    </row>
    <row r="636" spans="1:14" x14ac:dyDescent="0.25">
      <c r="A636" s="21" t="s">
        <v>453</v>
      </c>
      <c r="B636" s="22" t="s">
        <v>452</v>
      </c>
      <c r="C636">
        <f>VLOOKUP(A636,[2]v_02_2024!F:I,3,FALSE)</f>
        <v>253</v>
      </c>
      <c r="D636" s="28">
        <f>VLOOKUP(A636,[2]v_02_2024!F:I,4,FALSE)</f>
        <v>6394.47</v>
      </c>
      <c r="E636" s="21">
        <v>0</v>
      </c>
      <c r="F636" s="28">
        <v>0</v>
      </c>
      <c r="G636" s="24">
        <f t="shared" si="59"/>
        <v>0</v>
      </c>
      <c r="H636" s="21">
        <f t="shared" si="60"/>
        <v>253</v>
      </c>
      <c r="I636" s="28">
        <f t="shared" si="60"/>
        <v>6394.47</v>
      </c>
      <c r="J636" s="21">
        <v>0</v>
      </c>
      <c r="K636" s="28">
        <v>0</v>
      </c>
      <c r="L636" s="21">
        <f t="shared" si="61"/>
        <v>253</v>
      </c>
      <c r="M636" s="29">
        <f t="shared" si="61"/>
        <v>6394.47</v>
      </c>
      <c r="N636" s="26"/>
    </row>
    <row r="637" spans="1:14" x14ac:dyDescent="0.25">
      <c r="A637" s="21" t="s">
        <v>455</v>
      </c>
      <c r="B637" s="22" t="s">
        <v>454</v>
      </c>
      <c r="C637">
        <f>VLOOKUP(A637,[2]v_02_2024!F:I,3,FALSE)</f>
        <v>354</v>
      </c>
      <c r="D637" s="28">
        <f>VLOOKUP(A637,[2]v_02_2024!F:I,4,FALSE)</f>
        <v>4902.8999999999996</v>
      </c>
      <c r="E637" s="21">
        <v>0</v>
      </c>
      <c r="F637" s="28">
        <v>0</v>
      </c>
      <c r="G637" s="24">
        <f t="shared" si="59"/>
        <v>0</v>
      </c>
      <c r="H637" s="21">
        <f t="shared" si="60"/>
        <v>354</v>
      </c>
      <c r="I637" s="28">
        <f t="shared" si="60"/>
        <v>4902.8999999999996</v>
      </c>
      <c r="J637" s="21">
        <v>0</v>
      </c>
      <c r="K637" s="28">
        <v>0</v>
      </c>
      <c r="L637" s="21">
        <f t="shared" si="61"/>
        <v>354</v>
      </c>
      <c r="M637" s="29">
        <f t="shared" si="61"/>
        <v>4902.8999999999996</v>
      </c>
      <c r="N637" s="26"/>
    </row>
    <row r="638" spans="1:14" x14ac:dyDescent="0.25">
      <c r="A638" s="21" t="s">
        <v>457</v>
      </c>
      <c r="B638" s="22" t="s">
        <v>456</v>
      </c>
      <c r="C638">
        <f>VLOOKUP(A638,[2]v_02_2024!F:I,3,FALSE)</f>
        <v>3</v>
      </c>
      <c r="D638" s="28">
        <f>VLOOKUP(A638,[2]v_02_2024!F:I,4,FALSE)</f>
        <v>185.15</v>
      </c>
      <c r="E638" s="21">
        <v>0</v>
      </c>
      <c r="F638" s="28">
        <v>0</v>
      </c>
      <c r="G638" s="24">
        <f t="shared" si="59"/>
        <v>0</v>
      </c>
      <c r="H638" s="21">
        <f t="shared" si="60"/>
        <v>3</v>
      </c>
      <c r="I638" s="28">
        <f t="shared" si="60"/>
        <v>185.15</v>
      </c>
      <c r="J638" s="21">
        <v>0</v>
      </c>
      <c r="K638" s="28">
        <v>0</v>
      </c>
      <c r="L638" s="21">
        <f t="shared" si="61"/>
        <v>3</v>
      </c>
      <c r="M638" s="29">
        <f t="shared" si="61"/>
        <v>185.15</v>
      </c>
      <c r="N638" s="26"/>
    </row>
    <row r="639" spans="1:14" x14ac:dyDescent="0.25">
      <c r="A639" s="21" t="s">
        <v>459</v>
      </c>
      <c r="B639" s="22" t="s">
        <v>458</v>
      </c>
      <c r="C639">
        <f>VLOOKUP(A639,[2]v_02_2024!F:I,3,FALSE)</f>
        <v>3</v>
      </c>
      <c r="D639" s="28">
        <f>VLOOKUP(A639,[2]v_02_2024!F:I,4,FALSE)</f>
        <v>122.7</v>
      </c>
      <c r="E639" s="21">
        <v>0</v>
      </c>
      <c r="F639" s="28">
        <v>0</v>
      </c>
      <c r="G639" s="24">
        <f t="shared" si="59"/>
        <v>0</v>
      </c>
      <c r="H639" s="21">
        <f t="shared" si="60"/>
        <v>3</v>
      </c>
      <c r="I639" s="28">
        <f t="shared" si="60"/>
        <v>122.7</v>
      </c>
      <c r="J639" s="21">
        <v>0</v>
      </c>
      <c r="K639" s="28">
        <v>0</v>
      </c>
      <c r="L639" s="21">
        <f t="shared" si="61"/>
        <v>3</v>
      </c>
      <c r="M639" s="29">
        <f t="shared" si="61"/>
        <v>122.7</v>
      </c>
      <c r="N639" s="26"/>
    </row>
    <row r="640" spans="1:14" x14ac:dyDescent="0.25">
      <c r="A640" s="21" t="s">
        <v>744</v>
      </c>
      <c r="B640" s="22" t="s">
        <v>745</v>
      </c>
      <c r="C640">
        <f>VLOOKUP(A640,[2]v_02_2024!F:I,3,FALSE)</f>
        <v>4</v>
      </c>
      <c r="D640" s="28">
        <f>VLOOKUP(A640,[2]v_02_2024!F:I,4,FALSE)</f>
        <v>228.9</v>
      </c>
      <c r="E640" s="21">
        <v>0</v>
      </c>
      <c r="F640" s="28">
        <v>0</v>
      </c>
      <c r="G640" s="24">
        <f t="shared" si="59"/>
        <v>0</v>
      </c>
      <c r="H640" s="21">
        <f t="shared" si="60"/>
        <v>4</v>
      </c>
      <c r="I640" s="28">
        <f t="shared" si="60"/>
        <v>228.9</v>
      </c>
      <c r="J640" s="21">
        <v>0</v>
      </c>
      <c r="K640" s="28">
        <v>0</v>
      </c>
      <c r="L640" s="21">
        <f t="shared" si="61"/>
        <v>4</v>
      </c>
      <c r="M640" s="29">
        <f t="shared" si="61"/>
        <v>228.9</v>
      </c>
      <c r="N640" s="26"/>
    </row>
    <row r="641" spans="1:14" x14ac:dyDescent="0.25">
      <c r="A641" s="21" t="s">
        <v>461</v>
      </c>
      <c r="B641" s="22" t="s">
        <v>460</v>
      </c>
      <c r="C641">
        <f>VLOOKUP(A641,[2]v_02_2024!F:I,3,FALSE)</f>
        <v>0</v>
      </c>
      <c r="D641" s="28">
        <f>VLOOKUP(A641,[2]v_02_2024!F:I,4,FALSE)</f>
        <v>0</v>
      </c>
      <c r="E641" s="21">
        <f>VLOOKUP(A641,[2]s_02_2024!E:G,2,FALSE)</f>
        <v>25</v>
      </c>
      <c r="F641" s="28">
        <f>VLOOKUP(A641,[2]s_02_2024!E:G,3,FALSE)</f>
        <v>537.5</v>
      </c>
      <c r="G641" s="24">
        <f t="shared" si="59"/>
        <v>1</v>
      </c>
      <c r="H641" s="21">
        <f t="shared" si="60"/>
        <v>25</v>
      </c>
      <c r="I641" s="28">
        <f t="shared" si="60"/>
        <v>537.5</v>
      </c>
      <c r="J641" s="21">
        <v>0</v>
      </c>
      <c r="K641" s="28">
        <v>0</v>
      </c>
      <c r="L641" s="21">
        <f t="shared" si="61"/>
        <v>25</v>
      </c>
      <c r="M641" s="29">
        <f t="shared" si="61"/>
        <v>537.5</v>
      </c>
      <c r="N641" s="26"/>
    </row>
    <row r="642" spans="1:14" x14ac:dyDescent="0.25">
      <c r="A642" s="21" t="s">
        <v>463</v>
      </c>
      <c r="B642" s="22" t="s">
        <v>462</v>
      </c>
      <c r="C642">
        <f>VLOOKUP(A642,[2]v_02_2024!F:I,3,FALSE)</f>
        <v>50</v>
      </c>
      <c r="D642" s="28">
        <f>VLOOKUP(A642,[2]v_02_2024!F:I,4,FALSE)</f>
        <v>815.5</v>
      </c>
      <c r="E642" s="21">
        <f>VLOOKUP(A642,[2]s_02_2024!E:G,2,FALSE)</f>
        <v>29</v>
      </c>
      <c r="F642" s="28">
        <f>VLOOKUP(A642,[2]s_02_2024!E:G,3,FALSE)</f>
        <v>682.09999999999968</v>
      </c>
      <c r="G642" s="24">
        <f t="shared" si="59"/>
        <v>0.45546207264957256</v>
      </c>
      <c r="H642" s="21">
        <f t="shared" si="60"/>
        <v>79</v>
      </c>
      <c r="I642" s="28">
        <f t="shared" si="60"/>
        <v>1497.5999999999997</v>
      </c>
      <c r="J642" s="21">
        <v>0</v>
      </c>
      <c r="K642" s="28">
        <v>0</v>
      </c>
      <c r="L642" s="21">
        <f t="shared" si="61"/>
        <v>79</v>
      </c>
      <c r="M642" s="29">
        <f t="shared" si="61"/>
        <v>1497.5999999999997</v>
      </c>
      <c r="N642" s="26"/>
    </row>
    <row r="643" spans="1:14" x14ac:dyDescent="0.25">
      <c r="A643" s="21" t="s">
        <v>465</v>
      </c>
      <c r="B643" s="22" t="s">
        <v>464</v>
      </c>
      <c r="C643">
        <f>VLOOKUP(A643,[2]v_02_2024!F:I,3,FALSE)</f>
        <v>-3</v>
      </c>
      <c r="D643" s="28">
        <f>VLOOKUP(A643,[2]v_02_2024!F:I,4,FALSE)</f>
        <v>-48.93</v>
      </c>
      <c r="E643" s="21">
        <f>VLOOKUP(A643,[2]s_02_2024!E:G,2,FALSE)</f>
        <v>56</v>
      </c>
      <c r="F643" s="28">
        <f>VLOOKUP(A643,[2]s_02_2024!E:G,3,FALSE)</f>
        <v>1299.4000000000003</v>
      </c>
      <c r="G643" s="24">
        <f t="shared" si="59"/>
        <v>1.0391292873879421</v>
      </c>
      <c r="H643" s="21">
        <f t="shared" si="60"/>
        <v>53</v>
      </c>
      <c r="I643" s="28">
        <f t="shared" si="60"/>
        <v>1250.4700000000003</v>
      </c>
      <c r="J643" s="21">
        <v>0</v>
      </c>
      <c r="K643" s="28">
        <v>0</v>
      </c>
      <c r="L643" s="21">
        <f t="shared" si="61"/>
        <v>53</v>
      </c>
      <c r="M643" s="29">
        <f t="shared" si="61"/>
        <v>1250.4700000000003</v>
      </c>
      <c r="N643" s="26"/>
    </row>
    <row r="644" spans="1:14" x14ac:dyDescent="0.25">
      <c r="A644" s="21" t="s">
        <v>467</v>
      </c>
      <c r="B644" s="22" t="s">
        <v>466</v>
      </c>
      <c r="C644">
        <f>VLOOKUP(A644,[2]v_02_2024!F:I,3,FALSE)</f>
        <v>48</v>
      </c>
      <c r="D644" s="28">
        <f>VLOOKUP(A644,[2]v_02_2024!F:I,4,FALSE)</f>
        <v>2356.8000000000002</v>
      </c>
      <c r="E644" s="21">
        <v>0</v>
      </c>
      <c r="F644" s="28">
        <v>0</v>
      </c>
      <c r="G644" s="24">
        <f t="shared" si="59"/>
        <v>0</v>
      </c>
      <c r="H644" s="21">
        <f t="shared" si="60"/>
        <v>48</v>
      </c>
      <c r="I644" s="28">
        <f t="shared" si="60"/>
        <v>2356.8000000000002</v>
      </c>
      <c r="J644" s="21">
        <v>0</v>
      </c>
      <c r="K644" s="28">
        <v>0</v>
      </c>
      <c r="L644" s="21">
        <f t="shared" si="61"/>
        <v>48</v>
      </c>
      <c r="M644" s="29">
        <f t="shared" si="61"/>
        <v>2356.8000000000002</v>
      </c>
      <c r="N644" s="26"/>
    </row>
    <row r="645" spans="1:14" x14ac:dyDescent="0.25">
      <c r="A645" s="30" t="s">
        <v>469</v>
      </c>
      <c r="B645" s="22" t="s">
        <v>468</v>
      </c>
      <c r="C645">
        <f>VLOOKUP(A645,[2]v_02_2024!F:I,3,FALSE)</f>
        <v>382</v>
      </c>
      <c r="D645" s="28">
        <f>VLOOKUP(A645,[2]v_02_2024!F:I,4,FALSE)</f>
        <v>9465.85</v>
      </c>
      <c r="E645" s="21">
        <v>0</v>
      </c>
      <c r="F645" s="28">
        <v>0</v>
      </c>
      <c r="G645" s="24">
        <f t="shared" si="59"/>
        <v>0</v>
      </c>
      <c r="H645" s="21">
        <f t="shared" si="60"/>
        <v>382</v>
      </c>
      <c r="I645" s="28">
        <f t="shared" si="60"/>
        <v>9465.85</v>
      </c>
      <c r="J645" s="21">
        <v>0</v>
      </c>
      <c r="K645" s="28">
        <v>0</v>
      </c>
      <c r="L645" s="21">
        <f t="shared" si="61"/>
        <v>382</v>
      </c>
      <c r="M645" s="29">
        <f t="shared" si="61"/>
        <v>9465.85</v>
      </c>
      <c r="N645" s="26"/>
    </row>
    <row r="646" spans="1:14" x14ac:dyDescent="0.25">
      <c r="A646" t="s">
        <v>473</v>
      </c>
      <c r="B646" s="22" t="s">
        <v>472</v>
      </c>
      <c r="C646">
        <v>0</v>
      </c>
      <c r="D646" s="28">
        <v>0</v>
      </c>
      <c r="E646" s="21">
        <v>0</v>
      </c>
      <c r="F646" s="28">
        <v>0</v>
      </c>
      <c r="G646" s="24"/>
      <c r="H646" s="21">
        <f t="shared" ref="H646:I661" si="62">E646+C646</f>
        <v>0</v>
      </c>
      <c r="I646" s="28">
        <f t="shared" si="62"/>
        <v>0</v>
      </c>
      <c r="J646" s="21">
        <v>0</v>
      </c>
      <c r="K646" s="28">
        <v>0</v>
      </c>
      <c r="L646" s="21">
        <f t="shared" si="61"/>
        <v>0</v>
      </c>
      <c r="M646" s="29">
        <f t="shared" si="61"/>
        <v>0</v>
      </c>
      <c r="N646" s="26"/>
    </row>
    <row r="647" spans="1:14" x14ac:dyDescent="0.25">
      <c r="A647" t="s">
        <v>17</v>
      </c>
      <c r="B647" s="22" t="s">
        <v>16</v>
      </c>
      <c r="C647">
        <v>0</v>
      </c>
      <c r="D647" s="28">
        <v>0</v>
      </c>
      <c r="E647" s="21">
        <v>0</v>
      </c>
      <c r="F647" s="28">
        <v>0</v>
      </c>
      <c r="G647" s="24"/>
      <c r="H647" s="21">
        <f t="shared" si="62"/>
        <v>0</v>
      </c>
      <c r="I647" s="28">
        <f t="shared" si="62"/>
        <v>0</v>
      </c>
      <c r="J647" s="21">
        <f>VLOOKUP(A647,[2]v_02_2023!F:I,3,FALSE)</f>
        <v>1</v>
      </c>
      <c r="K647" s="28">
        <f>VLOOKUP(A647,[2]v_02_2023!F:I,4,FALSE)</f>
        <v>19.87</v>
      </c>
      <c r="L647" s="21">
        <f t="shared" ref="L647:M710" si="63">H647-J647</f>
        <v>-1</v>
      </c>
      <c r="M647" s="29">
        <f t="shared" si="63"/>
        <v>-19.87</v>
      </c>
      <c r="N647" s="26">
        <f t="shared" ref="N647:N709" si="64">M647/K647</f>
        <v>-1</v>
      </c>
    </row>
    <row r="648" spans="1:14" x14ac:dyDescent="0.25">
      <c r="A648" t="s">
        <v>572</v>
      </c>
      <c r="B648" s="22" t="s">
        <v>573</v>
      </c>
      <c r="C648">
        <v>0</v>
      </c>
      <c r="D648" s="28">
        <v>0</v>
      </c>
      <c r="E648" s="21">
        <v>0</v>
      </c>
      <c r="F648" s="28">
        <v>0</v>
      </c>
      <c r="G648" s="24"/>
      <c r="H648" s="21">
        <f t="shared" si="62"/>
        <v>0</v>
      </c>
      <c r="I648" s="28">
        <f t="shared" si="62"/>
        <v>0</v>
      </c>
      <c r="J648" s="21">
        <v>0</v>
      </c>
      <c r="K648" s="28">
        <v>0</v>
      </c>
      <c r="L648" s="21">
        <f t="shared" si="63"/>
        <v>0</v>
      </c>
      <c r="M648" s="29">
        <f t="shared" si="63"/>
        <v>0</v>
      </c>
      <c r="N648" s="26"/>
    </row>
    <row r="649" spans="1:14" x14ac:dyDescent="0.25">
      <c r="A649" t="s">
        <v>582</v>
      </c>
      <c r="B649" s="22" t="s">
        <v>583</v>
      </c>
      <c r="C649">
        <v>0</v>
      </c>
      <c r="D649" s="28">
        <v>0</v>
      </c>
      <c r="E649" s="21">
        <v>0</v>
      </c>
      <c r="F649" s="28">
        <v>0</v>
      </c>
      <c r="G649" s="24"/>
      <c r="H649" s="21">
        <f t="shared" si="62"/>
        <v>0</v>
      </c>
      <c r="I649" s="28">
        <f t="shared" si="62"/>
        <v>0</v>
      </c>
      <c r="J649" s="21">
        <v>0</v>
      </c>
      <c r="K649" s="28">
        <v>0</v>
      </c>
      <c r="L649" s="21">
        <f t="shared" si="63"/>
        <v>0</v>
      </c>
      <c r="M649" s="29">
        <f t="shared" si="63"/>
        <v>0</v>
      </c>
      <c r="N649" s="26"/>
    </row>
    <row r="650" spans="1:14" x14ac:dyDescent="0.25">
      <c r="A650" t="s">
        <v>584</v>
      </c>
      <c r="B650" s="22" t="s">
        <v>585</v>
      </c>
      <c r="C650">
        <v>0</v>
      </c>
      <c r="D650" s="28">
        <v>0</v>
      </c>
      <c r="E650" s="21">
        <v>0</v>
      </c>
      <c r="F650" s="28">
        <v>0</v>
      </c>
      <c r="G650" s="24"/>
      <c r="H650" s="21">
        <f t="shared" si="62"/>
        <v>0</v>
      </c>
      <c r="I650" s="28">
        <f t="shared" si="62"/>
        <v>0</v>
      </c>
      <c r="J650" s="21">
        <v>0</v>
      </c>
      <c r="K650" s="28">
        <v>0</v>
      </c>
      <c r="L650" s="21">
        <f t="shared" si="63"/>
        <v>0</v>
      </c>
      <c r="M650" s="29">
        <f t="shared" si="63"/>
        <v>0</v>
      </c>
      <c r="N650" s="26"/>
    </row>
    <row r="651" spans="1:14" x14ac:dyDescent="0.25">
      <c r="A651" t="s">
        <v>586</v>
      </c>
      <c r="B651" s="22" t="s">
        <v>587</v>
      </c>
      <c r="C651">
        <v>0</v>
      </c>
      <c r="D651" s="28">
        <v>0</v>
      </c>
      <c r="E651" s="21">
        <v>0</v>
      </c>
      <c r="F651" s="28">
        <v>0</v>
      </c>
      <c r="G651" s="24"/>
      <c r="H651" s="21">
        <f t="shared" si="62"/>
        <v>0</v>
      </c>
      <c r="I651" s="28">
        <f t="shared" si="62"/>
        <v>0</v>
      </c>
      <c r="J651" s="21">
        <f>VLOOKUP(A651,[2]v_02_2023!F:I,3,FALSE)</f>
        <v>1</v>
      </c>
      <c r="K651" s="28">
        <f>VLOOKUP(A651,[2]v_02_2023!F:I,4,FALSE)</f>
        <v>20.41</v>
      </c>
      <c r="L651" s="21">
        <f t="shared" si="63"/>
        <v>-1</v>
      </c>
      <c r="M651" s="29">
        <f t="shared" si="63"/>
        <v>-20.41</v>
      </c>
      <c r="N651" s="26">
        <f t="shared" si="64"/>
        <v>-1</v>
      </c>
    </row>
    <row r="652" spans="1:14" x14ac:dyDescent="0.25">
      <c r="A652" t="s">
        <v>588</v>
      </c>
      <c r="B652" s="22" t="s">
        <v>589</v>
      </c>
      <c r="C652">
        <v>0</v>
      </c>
      <c r="D652" s="28">
        <v>0</v>
      </c>
      <c r="E652" s="21">
        <v>0</v>
      </c>
      <c r="F652" s="28">
        <v>0</v>
      </c>
      <c r="G652" s="24"/>
      <c r="H652" s="21">
        <f t="shared" si="62"/>
        <v>0</v>
      </c>
      <c r="I652" s="28">
        <f t="shared" si="62"/>
        <v>0</v>
      </c>
      <c r="J652" s="21">
        <f>VLOOKUP(A652,[2]v_02_2023!F:I,3,FALSE)</f>
        <v>34</v>
      </c>
      <c r="K652" s="28">
        <f>VLOOKUP(A652,[2]v_02_2023!F:I,4,FALSE)</f>
        <v>192.44</v>
      </c>
      <c r="L652" s="21">
        <f t="shared" si="63"/>
        <v>-34</v>
      </c>
      <c r="M652" s="29">
        <f t="shared" si="63"/>
        <v>-192.44</v>
      </c>
      <c r="N652" s="26">
        <f t="shared" si="64"/>
        <v>-1</v>
      </c>
    </row>
    <row r="653" spans="1:14" x14ac:dyDescent="0.25">
      <c r="A653" t="s">
        <v>29</v>
      </c>
      <c r="B653" s="22" t="s">
        <v>28</v>
      </c>
      <c r="C653">
        <v>0</v>
      </c>
      <c r="D653" s="28">
        <v>0</v>
      </c>
      <c r="E653" s="21">
        <v>0</v>
      </c>
      <c r="F653" s="28">
        <v>0</v>
      </c>
      <c r="G653" s="24"/>
      <c r="H653" s="21">
        <f t="shared" si="62"/>
        <v>0</v>
      </c>
      <c r="I653" s="28">
        <f t="shared" si="62"/>
        <v>0</v>
      </c>
      <c r="J653" s="21">
        <v>0</v>
      </c>
      <c r="K653" s="28">
        <v>0</v>
      </c>
      <c r="L653" s="21">
        <f t="shared" si="63"/>
        <v>0</v>
      </c>
      <c r="M653" s="29">
        <f t="shared" si="63"/>
        <v>0</v>
      </c>
      <c r="N653" s="26"/>
    </row>
    <row r="654" spans="1:14" x14ac:dyDescent="0.25">
      <c r="A654" t="s">
        <v>594</v>
      </c>
      <c r="B654" s="22" t="s">
        <v>595</v>
      </c>
      <c r="C654">
        <v>0</v>
      </c>
      <c r="D654" s="28">
        <v>0</v>
      </c>
      <c r="E654" s="21">
        <v>0</v>
      </c>
      <c r="F654" s="28">
        <v>0</v>
      </c>
      <c r="G654" s="24"/>
      <c r="H654" s="21">
        <f t="shared" si="62"/>
        <v>0</v>
      </c>
      <c r="I654" s="28">
        <f t="shared" si="62"/>
        <v>0</v>
      </c>
      <c r="J654" s="21">
        <v>0</v>
      </c>
      <c r="K654" s="28">
        <v>0</v>
      </c>
      <c r="L654" s="21">
        <f t="shared" si="63"/>
        <v>0</v>
      </c>
      <c r="M654" s="29">
        <f t="shared" si="63"/>
        <v>0</v>
      </c>
      <c r="N654" s="26"/>
    </row>
    <row r="655" spans="1:14" x14ac:dyDescent="0.25">
      <c r="A655" t="s">
        <v>598</v>
      </c>
      <c r="B655" s="22" t="s">
        <v>599</v>
      </c>
      <c r="C655">
        <v>0</v>
      </c>
      <c r="D655" s="28">
        <v>0</v>
      </c>
      <c r="E655" s="21">
        <v>0</v>
      </c>
      <c r="F655" s="28">
        <v>0</v>
      </c>
      <c r="G655" s="24"/>
      <c r="H655" s="21">
        <f t="shared" si="62"/>
        <v>0</v>
      </c>
      <c r="I655" s="28">
        <f t="shared" si="62"/>
        <v>0</v>
      </c>
      <c r="J655" s="21">
        <f>VLOOKUP(A655,[2]v_02_2023!F:I,3,FALSE)</f>
        <v>0</v>
      </c>
      <c r="K655" s="28">
        <f>VLOOKUP(A655,[2]v_02_2023!F:I,4,FALSE)</f>
        <v>0</v>
      </c>
      <c r="L655" s="21">
        <f t="shared" si="63"/>
        <v>0</v>
      </c>
      <c r="M655" s="29">
        <f t="shared" si="63"/>
        <v>0</v>
      </c>
      <c r="N655" s="26"/>
    </row>
    <row r="656" spans="1:14" x14ac:dyDescent="0.25">
      <c r="A656" t="s">
        <v>600</v>
      </c>
      <c r="B656" s="22" t="s">
        <v>601</v>
      </c>
      <c r="C656">
        <v>0</v>
      </c>
      <c r="D656" s="28">
        <v>0</v>
      </c>
      <c r="E656" s="21">
        <v>0</v>
      </c>
      <c r="F656" s="28">
        <v>0</v>
      </c>
      <c r="G656" s="24"/>
      <c r="H656" s="21">
        <f t="shared" si="62"/>
        <v>0</v>
      </c>
      <c r="I656" s="28">
        <f t="shared" si="62"/>
        <v>0</v>
      </c>
      <c r="J656" s="21">
        <v>0</v>
      </c>
      <c r="K656" s="28">
        <v>0</v>
      </c>
      <c r="L656" s="21">
        <f t="shared" si="63"/>
        <v>0</v>
      </c>
      <c r="M656" s="29">
        <f t="shared" si="63"/>
        <v>0</v>
      </c>
      <c r="N656" s="26"/>
    </row>
    <row r="657" spans="1:14" x14ac:dyDescent="0.25">
      <c r="A657" t="s">
        <v>608</v>
      </c>
      <c r="B657" s="22" t="s">
        <v>609</v>
      </c>
      <c r="C657">
        <v>0</v>
      </c>
      <c r="D657" s="28">
        <v>0</v>
      </c>
      <c r="E657" s="21">
        <v>0</v>
      </c>
      <c r="F657" s="28">
        <v>0</v>
      </c>
      <c r="G657" s="24"/>
      <c r="H657" s="21">
        <f t="shared" si="62"/>
        <v>0</v>
      </c>
      <c r="I657" s="28">
        <f t="shared" si="62"/>
        <v>0</v>
      </c>
      <c r="J657" s="21">
        <f>VLOOKUP(A657,[2]v_02_2023!F:I,3,FALSE)</f>
        <v>-1</v>
      </c>
      <c r="K657" s="28">
        <f>VLOOKUP(A657,[2]v_02_2023!F:I,4,FALSE)</f>
        <v>-17.09</v>
      </c>
      <c r="L657" s="21">
        <f t="shared" si="63"/>
        <v>1</v>
      </c>
      <c r="M657" s="29">
        <f t="shared" si="63"/>
        <v>17.09</v>
      </c>
      <c r="N657" s="26">
        <f t="shared" si="64"/>
        <v>-1</v>
      </c>
    </row>
    <row r="658" spans="1:14" x14ac:dyDescent="0.25">
      <c r="A658" t="s">
        <v>610</v>
      </c>
      <c r="B658" s="22" t="s">
        <v>611</v>
      </c>
      <c r="C658">
        <v>0</v>
      </c>
      <c r="D658" s="28">
        <v>0</v>
      </c>
      <c r="E658" s="21">
        <v>0</v>
      </c>
      <c r="F658" s="28">
        <v>0</v>
      </c>
      <c r="G658" s="24"/>
      <c r="H658" s="21">
        <f t="shared" si="62"/>
        <v>0</v>
      </c>
      <c r="I658" s="28">
        <f t="shared" si="62"/>
        <v>0</v>
      </c>
      <c r="J658" s="21">
        <f>VLOOKUP(A658,[2]v_02_2023!F:I,3,FALSE)</f>
        <v>12</v>
      </c>
      <c r="K658" s="28">
        <f>VLOOKUP(A658,[2]v_02_2023!F:I,4,FALSE)</f>
        <v>98.96</v>
      </c>
      <c r="L658" s="21">
        <f t="shared" si="63"/>
        <v>-12</v>
      </c>
      <c r="M658" s="29">
        <f t="shared" si="63"/>
        <v>-98.96</v>
      </c>
      <c r="N658" s="26">
        <f t="shared" si="64"/>
        <v>-1</v>
      </c>
    </row>
    <row r="659" spans="1:14" x14ac:dyDescent="0.25">
      <c r="A659" t="s">
        <v>612</v>
      </c>
      <c r="B659" s="22" t="s">
        <v>613</v>
      </c>
      <c r="C659">
        <v>0</v>
      </c>
      <c r="D659" s="28">
        <v>0</v>
      </c>
      <c r="E659" s="21">
        <v>0</v>
      </c>
      <c r="F659" s="28">
        <v>0</v>
      </c>
      <c r="G659" s="24"/>
      <c r="H659" s="21">
        <f t="shared" si="62"/>
        <v>0</v>
      </c>
      <c r="I659" s="28">
        <f t="shared" si="62"/>
        <v>0</v>
      </c>
      <c r="J659" s="21">
        <f>VLOOKUP(A659,[2]v_02_2023!F:I,3,FALSE)</f>
        <v>1</v>
      </c>
      <c r="K659" s="28">
        <f>VLOOKUP(A659,[2]v_02_2023!F:I,4,FALSE)</f>
        <v>18.29</v>
      </c>
      <c r="L659" s="21">
        <f t="shared" si="63"/>
        <v>-1</v>
      </c>
      <c r="M659" s="29">
        <f t="shared" si="63"/>
        <v>-18.29</v>
      </c>
      <c r="N659" s="26">
        <f t="shared" si="64"/>
        <v>-1</v>
      </c>
    </row>
    <row r="660" spans="1:14" x14ac:dyDescent="0.25">
      <c r="A660" t="s">
        <v>618</v>
      </c>
      <c r="B660" s="22" t="s">
        <v>619</v>
      </c>
      <c r="C660">
        <v>0</v>
      </c>
      <c r="D660" s="28">
        <v>0</v>
      </c>
      <c r="E660" s="21">
        <v>0</v>
      </c>
      <c r="F660" s="28">
        <v>0</v>
      </c>
      <c r="G660" s="24"/>
      <c r="H660" s="21">
        <f t="shared" si="62"/>
        <v>0</v>
      </c>
      <c r="I660" s="28">
        <f t="shared" si="62"/>
        <v>0</v>
      </c>
      <c r="J660" s="21">
        <v>0</v>
      </c>
      <c r="K660" s="28">
        <v>0</v>
      </c>
      <c r="L660" s="21">
        <f t="shared" si="63"/>
        <v>0</v>
      </c>
      <c r="M660" s="29">
        <f t="shared" si="63"/>
        <v>0</v>
      </c>
      <c r="N660" s="26"/>
    </row>
    <row r="661" spans="1:14" x14ac:dyDescent="0.25">
      <c r="A661" t="s">
        <v>620</v>
      </c>
      <c r="B661" s="22" t="s">
        <v>621</v>
      </c>
      <c r="C661">
        <v>0</v>
      </c>
      <c r="D661" s="28">
        <v>0</v>
      </c>
      <c r="E661" s="21">
        <v>0</v>
      </c>
      <c r="F661" s="28">
        <v>0</v>
      </c>
      <c r="G661" s="24"/>
      <c r="H661" s="21">
        <f t="shared" si="62"/>
        <v>0</v>
      </c>
      <c r="I661" s="28">
        <f t="shared" si="62"/>
        <v>0</v>
      </c>
      <c r="J661" s="21">
        <v>0</v>
      </c>
      <c r="K661" s="28">
        <v>0</v>
      </c>
      <c r="L661" s="21">
        <f t="shared" si="63"/>
        <v>0</v>
      </c>
      <c r="M661" s="29">
        <f t="shared" si="63"/>
        <v>0</v>
      </c>
      <c r="N661" s="26"/>
    </row>
    <row r="662" spans="1:14" x14ac:dyDescent="0.25">
      <c r="A662" t="s">
        <v>624</v>
      </c>
      <c r="B662" s="22" t="s">
        <v>625</v>
      </c>
      <c r="C662">
        <v>0</v>
      </c>
      <c r="D662" s="28">
        <v>0</v>
      </c>
      <c r="E662" s="21">
        <v>0</v>
      </c>
      <c r="F662" s="28">
        <v>0</v>
      </c>
      <c r="G662" s="24"/>
      <c r="H662" s="21">
        <f t="shared" ref="H662:I716" si="65">E662+C662</f>
        <v>0</v>
      </c>
      <c r="I662" s="28">
        <f t="shared" si="65"/>
        <v>0</v>
      </c>
      <c r="J662" s="21">
        <f>VLOOKUP(A662,[2]v_02_2023!F:I,3,FALSE)</f>
        <v>18</v>
      </c>
      <c r="K662" s="28">
        <f>VLOOKUP(A662,[2]v_02_2023!F:I,4,FALSE)</f>
        <v>166.49</v>
      </c>
      <c r="L662" s="21">
        <f t="shared" si="63"/>
        <v>-18</v>
      </c>
      <c r="M662" s="29">
        <f t="shared" si="63"/>
        <v>-166.49</v>
      </c>
      <c r="N662" s="26">
        <f t="shared" si="64"/>
        <v>-1</v>
      </c>
    </row>
    <row r="663" spans="1:14" x14ac:dyDescent="0.25">
      <c r="A663" t="s">
        <v>626</v>
      </c>
      <c r="B663" s="22" t="s">
        <v>627</v>
      </c>
      <c r="C663">
        <v>0</v>
      </c>
      <c r="D663" s="28">
        <v>0</v>
      </c>
      <c r="E663" s="21">
        <v>0</v>
      </c>
      <c r="F663" s="28">
        <v>0</v>
      </c>
      <c r="G663" s="24"/>
      <c r="H663" s="21">
        <f t="shared" si="65"/>
        <v>0</v>
      </c>
      <c r="I663" s="28">
        <f t="shared" si="65"/>
        <v>0</v>
      </c>
      <c r="J663" s="21">
        <f>VLOOKUP(A663,[2]v_02_2023!F:I,3,FALSE)</f>
        <v>9</v>
      </c>
      <c r="K663" s="28">
        <f>VLOOKUP(A663,[2]v_02_2023!F:I,4,FALSE)</f>
        <v>83.45</v>
      </c>
      <c r="L663" s="21">
        <f t="shared" si="63"/>
        <v>-9</v>
      </c>
      <c r="M663" s="29">
        <f t="shared" si="63"/>
        <v>-83.45</v>
      </c>
      <c r="N663" s="26">
        <f t="shared" si="64"/>
        <v>-1</v>
      </c>
    </row>
    <row r="664" spans="1:14" x14ac:dyDescent="0.25">
      <c r="A664" t="s">
        <v>628</v>
      </c>
      <c r="B664" s="22" t="s">
        <v>629</v>
      </c>
      <c r="C664">
        <v>0</v>
      </c>
      <c r="D664" s="28">
        <v>0</v>
      </c>
      <c r="E664" s="21">
        <v>0</v>
      </c>
      <c r="F664" s="28">
        <v>0</v>
      </c>
      <c r="G664" s="24"/>
      <c r="H664" s="21">
        <f t="shared" si="65"/>
        <v>0</v>
      </c>
      <c r="I664" s="28">
        <f t="shared" si="65"/>
        <v>0</v>
      </c>
      <c r="J664" s="21">
        <v>0</v>
      </c>
      <c r="K664" s="28">
        <v>0</v>
      </c>
      <c r="L664" s="21">
        <f t="shared" si="63"/>
        <v>0</v>
      </c>
      <c r="M664" s="29">
        <f t="shared" si="63"/>
        <v>0</v>
      </c>
      <c r="N664" s="26"/>
    </row>
    <row r="665" spans="1:14" x14ac:dyDescent="0.25">
      <c r="A665" t="s">
        <v>632</v>
      </c>
      <c r="B665" s="22" t="s">
        <v>633</v>
      </c>
      <c r="C665">
        <v>0</v>
      </c>
      <c r="D665" s="28">
        <v>0</v>
      </c>
      <c r="E665" s="21">
        <v>0</v>
      </c>
      <c r="F665" s="28">
        <v>0</v>
      </c>
      <c r="G665" s="24"/>
      <c r="H665" s="21">
        <f t="shared" si="65"/>
        <v>0</v>
      </c>
      <c r="I665" s="28">
        <f t="shared" si="65"/>
        <v>0</v>
      </c>
      <c r="J665" s="21">
        <v>0</v>
      </c>
      <c r="K665" s="28">
        <v>0</v>
      </c>
      <c r="L665" s="21">
        <f t="shared" si="63"/>
        <v>0</v>
      </c>
      <c r="M665" s="29">
        <f t="shared" si="63"/>
        <v>0</v>
      </c>
      <c r="N665" s="26"/>
    </row>
    <row r="666" spans="1:14" x14ac:dyDescent="0.25">
      <c r="A666" t="s">
        <v>634</v>
      </c>
      <c r="B666" s="22" t="s">
        <v>635</v>
      </c>
      <c r="C666">
        <v>0</v>
      </c>
      <c r="D666" s="28">
        <v>0</v>
      </c>
      <c r="E666" s="21">
        <v>0</v>
      </c>
      <c r="F666" s="28">
        <v>0</v>
      </c>
      <c r="G666" s="24"/>
      <c r="H666" s="21">
        <f t="shared" si="65"/>
        <v>0</v>
      </c>
      <c r="I666" s="28">
        <f t="shared" si="65"/>
        <v>0</v>
      </c>
      <c r="J666" s="21">
        <v>0</v>
      </c>
      <c r="K666" s="28">
        <v>0</v>
      </c>
      <c r="L666" s="21">
        <f t="shared" si="63"/>
        <v>0</v>
      </c>
      <c r="M666" s="29">
        <f t="shared" si="63"/>
        <v>0</v>
      </c>
      <c r="N666" s="26"/>
    </row>
    <row r="667" spans="1:14" x14ac:dyDescent="0.25">
      <c r="A667" t="s">
        <v>65</v>
      </c>
      <c r="B667" s="22" t="s">
        <v>64</v>
      </c>
      <c r="C667">
        <v>0</v>
      </c>
      <c r="D667" s="28">
        <v>0</v>
      </c>
      <c r="E667" s="21">
        <v>0</v>
      </c>
      <c r="F667" s="28">
        <v>0</v>
      </c>
      <c r="G667" s="24"/>
      <c r="H667" s="21">
        <f t="shared" si="65"/>
        <v>0</v>
      </c>
      <c r="I667" s="28">
        <f t="shared" si="65"/>
        <v>0</v>
      </c>
      <c r="J667" s="21">
        <f>VLOOKUP(A667,[2]v_02_2023!F:I,3,FALSE)</f>
        <v>1</v>
      </c>
      <c r="K667" s="28">
        <f>VLOOKUP(A667,[2]v_02_2023!F:I,4,FALSE)</f>
        <v>26.89</v>
      </c>
      <c r="L667" s="21">
        <f t="shared" si="63"/>
        <v>-1</v>
      </c>
      <c r="M667" s="29">
        <f t="shared" si="63"/>
        <v>-26.89</v>
      </c>
      <c r="N667" s="26">
        <f t="shared" si="64"/>
        <v>-1</v>
      </c>
    </row>
    <row r="668" spans="1:14" x14ac:dyDescent="0.25">
      <c r="A668" t="s">
        <v>638</v>
      </c>
      <c r="B668" s="22" t="s">
        <v>639</v>
      </c>
      <c r="C668">
        <v>0</v>
      </c>
      <c r="D668" s="28">
        <v>0</v>
      </c>
      <c r="E668" s="21">
        <v>0</v>
      </c>
      <c r="F668" s="28">
        <v>0</v>
      </c>
      <c r="G668" s="24"/>
      <c r="H668" s="21">
        <f t="shared" si="65"/>
        <v>0</v>
      </c>
      <c r="I668" s="28">
        <f t="shared" si="65"/>
        <v>0</v>
      </c>
      <c r="J668" s="21">
        <f>VLOOKUP(A668,[2]v_02_2023!F:I,3,FALSE)</f>
        <v>0</v>
      </c>
      <c r="K668" s="28">
        <f>VLOOKUP(A668,[2]v_02_2023!F:I,4,FALSE)</f>
        <v>0</v>
      </c>
      <c r="L668" s="21">
        <f t="shared" si="63"/>
        <v>0</v>
      </c>
      <c r="M668" s="29">
        <f t="shared" si="63"/>
        <v>0</v>
      </c>
      <c r="N668" s="26"/>
    </row>
    <row r="669" spans="1:14" x14ac:dyDescent="0.25">
      <c r="A669" t="s">
        <v>542</v>
      </c>
      <c r="B669" s="22" t="s">
        <v>541</v>
      </c>
      <c r="C669">
        <v>0</v>
      </c>
      <c r="D669" s="28">
        <v>0</v>
      </c>
      <c r="E669" s="21">
        <v>0</v>
      </c>
      <c r="F669" s="28">
        <v>0</v>
      </c>
      <c r="G669" s="24"/>
      <c r="H669" s="21">
        <f t="shared" si="65"/>
        <v>0</v>
      </c>
      <c r="I669" s="28">
        <f t="shared" si="65"/>
        <v>0</v>
      </c>
      <c r="J669" s="21">
        <f>VLOOKUP(A669,[2]v_02_2023!F:I,3,FALSE)</f>
        <v>1</v>
      </c>
      <c r="K669" s="28">
        <f>VLOOKUP(A669,[2]v_02_2023!F:I,4,FALSE)</f>
        <v>6.68</v>
      </c>
      <c r="L669" s="21">
        <f t="shared" si="63"/>
        <v>-1</v>
      </c>
      <c r="M669" s="29">
        <f t="shared" si="63"/>
        <v>-6.68</v>
      </c>
      <c r="N669" s="26">
        <f t="shared" si="64"/>
        <v>-1</v>
      </c>
    </row>
    <row r="670" spans="1:14" x14ac:dyDescent="0.25">
      <c r="A670" t="s">
        <v>642</v>
      </c>
      <c r="B670" s="22" t="s">
        <v>643</v>
      </c>
      <c r="C670">
        <v>0</v>
      </c>
      <c r="D670" s="28">
        <v>0</v>
      </c>
      <c r="E670" s="21">
        <v>0</v>
      </c>
      <c r="F670" s="28">
        <v>0</v>
      </c>
      <c r="G670" s="24"/>
      <c r="H670" s="21">
        <f t="shared" si="65"/>
        <v>0</v>
      </c>
      <c r="I670" s="28">
        <f t="shared" si="65"/>
        <v>0</v>
      </c>
      <c r="J670" s="21">
        <f>VLOOKUP(A670,[2]v_02_2023!F:I,3,FALSE)</f>
        <v>0</v>
      </c>
      <c r="K670" s="28">
        <f>VLOOKUP(A670,[2]v_02_2023!F:I,4,FALSE)</f>
        <v>0</v>
      </c>
      <c r="L670" s="21">
        <f t="shared" si="63"/>
        <v>0</v>
      </c>
      <c r="M670" s="29">
        <f t="shared" si="63"/>
        <v>0</v>
      </c>
      <c r="N670" s="26"/>
    </row>
    <row r="671" spans="1:14" x14ac:dyDescent="0.25">
      <c r="A671" t="s">
        <v>644</v>
      </c>
      <c r="B671" s="22" t="s">
        <v>645</v>
      </c>
      <c r="C671">
        <v>0</v>
      </c>
      <c r="D671" s="28">
        <v>0</v>
      </c>
      <c r="E671" s="21">
        <v>0</v>
      </c>
      <c r="F671" s="28">
        <v>0</v>
      </c>
      <c r="G671" s="24"/>
      <c r="H671" s="21">
        <f t="shared" si="65"/>
        <v>0</v>
      </c>
      <c r="I671" s="28">
        <f t="shared" si="65"/>
        <v>0</v>
      </c>
      <c r="J671" s="21">
        <f>VLOOKUP(A671,[2]v_02_2023!F:I,3,FALSE)</f>
        <v>14</v>
      </c>
      <c r="K671" s="28">
        <f>VLOOKUP(A671,[2]v_02_2023!F:I,4,FALSE)</f>
        <v>71.680000000000007</v>
      </c>
      <c r="L671" s="21">
        <f t="shared" si="63"/>
        <v>-14</v>
      </c>
      <c r="M671" s="29">
        <f t="shared" si="63"/>
        <v>-71.680000000000007</v>
      </c>
      <c r="N671" s="26">
        <f t="shared" si="64"/>
        <v>-1</v>
      </c>
    </row>
    <row r="672" spans="1:14" x14ac:dyDescent="0.25">
      <c r="A672" t="s">
        <v>646</v>
      </c>
      <c r="B672" s="22" t="s">
        <v>647</v>
      </c>
      <c r="C672">
        <v>0</v>
      </c>
      <c r="D672" s="28">
        <v>0</v>
      </c>
      <c r="E672" s="21">
        <v>0</v>
      </c>
      <c r="F672" s="28">
        <v>0</v>
      </c>
      <c r="G672" s="24"/>
      <c r="H672" s="21">
        <f t="shared" si="65"/>
        <v>0</v>
      </c>
      <c r="I672" s="28">
        <f t="shared" si="65"/>
        <v>0</v>
      </c>
      <c r="J672" s="21">
        <f>VLOOKUP(A672,[2]v_02_2023!F:I,3,FALSE)</f>
        <v>0</v>
      </c>
      <c r="K672" s="28">
        <f>VLOOKUP(A672,[2]v_02_2023!F:I,4,FALSE)</f>
        <v>0</v>
      </c>
      <c r="L672" s="21">
        <f t="shared" si="63"/>
        <v>0</v>
      </c>
      <c r="M672" s="29">
        <f t="shared" si="63"/>
        <v>0</v>
      </c>
      <c r="N672" s="26"/>
    </row>
    <row r="673" spans="1:14" x14ac:dyDescent="0.25">
      <c r="A673" t="s">
        <v>648</v>
      </c>
      <c r="B673" s="22" t="s">
        <v>649</v>
      </c>
      <c r="C673">
        <v>0</v>
      </c>
      <c r="D673" s="28">
        <v>0</v>
      </c>
      <c r="E673" s="21">
        <v>0</v>
      </c>
      <c r="F673" s="28">
        <v>0</v>
      </c>
      <c r="G673" s="24"/>
      <c r="H673" s="21">
        <f t="shared" si="65"/>
        <v>0</v>
      </c>
      <c r="I673" s="28">
        <f t="shared" si="65"/>
        <v>0</v>
      </c>
      <c r="J673" s="21">
        <f>VLOOKUP(A673,[2]v_02_2023!F:I,3,FALSE)</f>
        <v>-3</v>
      </c>
      <c r="K673" s="28">
        <f>VLOOKUP(A673,[2]v_02_2023!F:I,4,FALSE)</f>
        <v>-24.33</v>
      </c>
      <c r="L673" s="21">
        <f t="shared" si="63"/>
        <v>3</v>
      </c>
      <c r="M673" s="29">
        <f t="shared" si="63"/>
        <v>24.33</v>
      </c>
      <c r="N673" s="26">
        <f t="shared" si="64"/>
        <v>-1</v>
      </c>
    </row>
    <row r="674" spans="1:14" x14ac:dyDescent="0.25">
      <c r="A674" t="s">
        <v>650</v>
      </c>
      <c r="B674" s="22" t="s">
        <v>651</v>
      </c>
      <c r="C674">
        <v>0</v>
      </c>
      <c r="D674" s="28">
        <v>0</v>
      </c>
      <c r="E674" s="21">
        <v>0</v>
      </c>
      <c r="F674" s="28">
        <v>0</v>
      </c>
      <c r="G674" s="24"/>
      <c r="H674" s="21">
        <f t="shared" si="65"/>
        <v>0</v>
      </c>
      <c r="I674" s="28">
        <f t="shared" si="65"/>
        <v>0</v>
      </c>
      <c r="J674" s="21">
        <v>0</v>
      </c>
      <c r="K674" s="28">
        <v>0</v>
      </c>
      <c r="L674" s="21">
        <f t="shared" si="63"/>
        <v>0</v>
      </c>
      <c r="M674" s="29">
        <f t="shared" si="63"/>
        <v>0</v>
      </c>
      <c r="N674" s="26"/>
    </row>
    <row r="675" spans="1:14" x14ac:dyDescent="0.25">
      <c r="A675" t="s">
        <v>97</v>
      </c>
      <c r="B675" s="22" t="s">
        <v>96</v>
      </c>
      <c r="C675">
        <v>0</v>
      </c>
      <c r="D675" s="28">
        <v>0</v>
      </c>
      <c r="E675" s="21">
        <v>0</v>
      </c>
      <c r="F675" s="28">
        <v>0</v>
      </c>
      <c r="G675" s="24"/>
      <c r="H675" s="21">
        <f t="shared" si="65"/>
        <v>0</v>
      </c>
      <c r="I675" s="28">
        <f t="shared" si="65"/>
        <v>0</v>
      </c>
      <c r="J675" s="21">
        <v>0</v>
      </c>
      <c r="K675" s="28">
        <v>0</v>
      </c>
      <c r="L675" s="21">
        <f t="shared" si="63"/>
        <v>0</v>
      </c>
      <c r="M675" s="29">
        <f t="shared" si="63"/>
        <v>0</v>
      </c>
      <c r="N675" s="26"/>
    </row>
    <row r="676" spans="1:14" x14ac:dyDescent="0.25">
      <c r="A676" t="s">
        <v>652</v>
      </c>
      <c r="B676" s="22" t="s">
        <v>653</v>
      </c>
      <c r="C676">
        <v>0</v>
      </c>
      <c r="D676" s="28">
        <v>0</v>
      </c>
      <c r="E676" s="21">
        <v>0</v>
      </c>
      <c r="F676" s="28">
        <v>0</v>
      </c>
      <c r="G676" s="24"/>
      <c r="H676" s="21">
        <f t="shared" si="65"/>
        <v>0</v>
      </c>
      <c r="I676" s="28">
        <f t="shared" si="65"/>
        <v>0</v>
      </c>
      <c r="J676" s="21">
        <f>VLOOKUP(A676,[2]v_02_2023!F:I,3,FALSE)</f>
        <v>0</v>
      </c>
      <c r="K676" s="28">
        <f>VLOOKUP(A676,[2]v_02_2023!F:I,4,FALSE)</f>
        <v>0</v>
      </c>
      <c r="L676" s="21">
        <f t="shared" si="63"/>
        <v>0</v>
      </c>
      <c r="M676" s="29">
        <f t="shared" si="63"/>
        <v>0</v>
      </c>
      <c r="N676" s="26"/>
    </row>
    <row r="677" spans="1:14" x14ac:dyDescent="0.25">
      <c r="A677" t="s">
        <v>654</v>
      </c>
      <c r="B677" s="22" t="s">
        <v>655</v>
      </c>
      <c r="C677">
        <v>0</v>
      </c>
      <c r="D677" s="28">
        <v>0</v>
      </c>
      <c r="E677" s="21">
        <v>0</v>
      </c>
      <c r="F677" s="28">
        <v>0</v>
      </c>
      <c r="G677" s="24"/>
      <c r="H677" s="21">
        <f t="shared" si="65"/>
        <v>0</v>
      </c>
      <c r="I677" s="28">
        <f t="shared" si="65"/>
        <v>0</v>
      </c>
      <c r="J677" s="21">
        <f>VLOOKUP(A677,[2]v_02_2023!F:I,3,FALSE)</f>
        <v>0</v>
      </c>
      <c r="K677" s="28">
        <f>VLOOKUP(A677,[2]v_02_2023!F:I,4,FALSE)</f>
        <v>0</v>
      </c>
      <c r="L677" s="21">
        <f t="shared" si="63"/>
        <v>0</v>
      </c>
      <c r="M677" s="29">
        <f t="shared" si="63"/>
        <v>0</v>
      </c>
      <c r="N677" s="26"/>
    </row>
    <row r="678" spans="1:14" x14ac:dyDescent="0.25">
      <c r="A678" t="s">
        <v>656</v>
      </c>
      <c r="B678" s="22" t="s">
        <v>657</v>
      </c>
      <c r="C678">
        <v>0</v>
      </c>
      <c r="D678" s="28">
        <v>0</v>
      </c>
      <c r="E678" s="21">
        <v>0</v>
      </c>
      <c r="F678" s="28">
        <v>0</v>
      </c>
      <c r="G678" s="24"/>
      <c r="H678" s="21">
        <f t="shared" si="65"/>
        <v>0</v>
      </c>
      <c r="I678" s="28">
        <f t="shared" si="65"/>
        <v>0</v>
      </c>
      <c r="J678" s="21">
        <v>0</v>
      </c>
      <c r="K678" s="28">
        <v>0</v>
      </c>
      <c r="L678" s="21">
        <f t="shared" si="63"/>
        <v>0</v>
      </c>
      <c r="M678" s="29">
        <f t="shared" si="63"/>
        <v>0</v>
      </c>
      <c r="N678" s="26"/>
    </row>
    <row r="679" spans="1:14" x14ac:dyDescent="0.25">
      <c r="A679" t="s">
        <v>658</v>
      </c>
      <c r="B679" s="22" t="s">
        <v>659</v>
      </c>
      <c r="C679">
        <v>0</v>
      </c>
      <c r="D679" s="28">
        <v>0</v>
      </c>
      <c r="E679" s="21">
        <v>0</v>
      </c>
      <c r="F679" s="28">
        <v>0</v>
      </c>
      <c r="G679" s="24"/>
      <c r="H679" s="21">
        <f t="shared" si="65"/>
        <v>0</v>
      </c>
      <c r="I679" s="28">
        <f t="shared" si="65"/>
        <v>0</v>
      </c>
      <c r="J679" s="21">
        <v>0</v>
      </c>
      <c r="K679" s="28">
        <v>0</v>
      </c>
      <c r="L679" s="21">
        <f t="shared" si="63"/>
        <v>0</v>
      </c>
      <c r="M679" s="29">
        <f t="shared" si="63"/>
        <v>0</v>
      </c>
      <c r="N679" s="26"/>
    </row>
    <row r="680" spans="1:14" x14ac:dyDescent="0.25">
      <c r="A680" t="s">
        <v>660</v>
      </c>
      <c r="B680" s="22" t="s">
        <v>661</v>
      </c>
      <c r="C680">
        <v>0</v>
      </c>
      <c r="D680" s="28">
        <v>0</v>
      </c>
      <c r="E680" s="21">
        <v>0</v>
      </c>
      <c r="F680" s="28">
        <v>0</v>
      </c>
      <c r="G680" s="24"/>
      <c r="H680" s="21">
        <f t="shared" si="65"/>
        <v>0</v>
      </c>
      <c r="I680" s="28">
        <f t="shared" si="65"/>
        <v>0</v>
      </c>
      <c r="J680" s="21">
        <f>VLOOKUP(A680,[2]v_02_2023!F:I,3,FALSE)</f>
        <v>0</v>
      </c>
      <c r="K680" s="28">
        <f>VLOOKUP(A680,[2]v_02_2023!F:I,4,FALSE)</f>
        <v>0</v>
      </c>
      <c r="L680" s="21">
        <f t="shared" si="63"/>
        <v>0</v>
      </c>
      <c r="M680" s="29">
        <f t="shared" si="63"/>
        <v>0</v>
      </c>
      <c r="N680" s="26"/>
    </row>
    <row r="681" spans="1:14" x14ac:dyDescent="0.25">
      <c r="A681" t="s">
        <v>662</v>
      </c>
      <c r="B681" s="22" t="s">
        <v>663</v>
      </c>
      <c r="C681">
        <v>0</v>
      </c>
      <c r="D681" s="28">
        <v>0</v>
      </c>
      <c r="E681" s="21">
        <v>0</v>
      </c>
      <c r="F681" s="28">
        <v>0</v>
      </c>
      <c r="G681" s="24"/>
      <c r="H681" s="21">
        <f t="shared" si="65"/>
        <v>0</v>
      </c>
      <c r="I681" s="28">
        <f t="shared" si="65"/>
        <v>0</v>
      </c>
      <c r="J681" s="21">
        <v>0</v>
      </c>
      <c r="K681" s="28">
        <v>0</v>
      </c>
      <c r="L681" s="21">
        <f t="shared" si="63"/>
        <v>0</v>
      </c>
      <c r="M681" s="29">
        <f t="shared" si="63"/>
        <v>0</v>
      </c>
      <c r="N681" s="26"/>
    </row>
    <row r="682" spans="1:14" x14ac:dyDescent="0.25">
      <c r="A682" t="s">
        <v>664</v>
      </c>
      <c r="B682" s="22" t="s">
        <v>665</v>
      </c>
      <c r="C682">
        <v>0</v>
      </c>
      <c r="D682" s="28">
        <v>0</v>
      </c>
      <c r="E682" s="21">
        <v>0</v>
      </c>
      <c r="F682" s="28">
        <v>0</v>
      </c>
      <c r="G682" s="24"/>
      <c r="H682" s="21">
        <f t="shared" si="65"/>
        <v>0</v>
      </c>
      <c r="I682" s="28">
        <f t="shared" si="65"/>
        <v>0</v>
      </c>
      <c r="J682" s="21">
        <f>VLOOKUP(A682,[2]v_02_2023!F:I,3,FALSE)</f>
        <v>0</v>
      </c>
      <c r="K682" s="28">
        <f>VLOOKUP(A682,[2]v_02_2023!F:I,4,FALSE)</f>
        <v>0</v>
      </c>
      <c r="L682" s="21">
        <f t="shared" si="63"/>
        <v>0</v>
      </c>
      <c r="M682" s="29">
        <f t="shared" si="63"/>
        <v>0</v>
      </c>
      <c r="N682" s="26"/>
    </row>
    <row r="683" spans="1:14" x14ac:dyDescent="0.25">
      <c r="A683" t="s">
        <v>666</v>
      </c>
      <c r="B683" s="22" t="s">
        <v>667</v>
      </c>
      <c r="C683">
        <v>0</v>
      </c>
      <c r="D683" s="28">
        <v>0</v>
      </c>
      <c r="E683" s="21">
        <v>0</v>
      </c>
      <c r="F683" s="28">
        <v>0</v>
      </c>
      <c r="G683" s="24"/>
      <c r="H683" s="21">
        <f t="shared" si="65"/>
        <v>0</v>
      </c>
      <c r="I683" s="28">
        <f t="shared" si="65"/>
        <v>0</v>
      </c>
      <c r="J683" s="21">
        <f>VLOOKUP(A683,[2]v_02_2023!F:I,3,FALSE)</f>
        <v>0</v>
      </c>
      <c r="K683" s="28">
        <f>VLOOKUP(A683,[2]v_02_2023!F:I,4,FALSE)</f>
        <v>0</v>
      </c>
      <c r="L683" s="21">
        <f t="shared" si="63"/>
        <v>0</v>
      </c>
      <c r="M683" s="29">
        <f t="shared" si="63"/>
        <v>0</v>
      </c>
      <c r="N683" s="26"/>
    </row>
    <row r="684" spans="1:14" x14ac:dyDescent="0.25">
      <c r="A684" t="s">
        <v>115</v>
      </c>
      <c r="B684" s="22" t="s">
        <v>114</v>
      </c>
      <c r="C684">
        <v>0</v>
      </c>
      <c r="D684" s="28">
        <v>0</v>
      </c>
      <c r="E684" s="21">
        <v>0</v>
      </c>
      <c r="F684" s="28">
        <v>0</v>
      </c>
      <c r="G684" s="24"/>
      <c r="H684" s="21">
        <f t="shared" si="65"/>
        <v>0</v>
      </c>
      <c r="I684" s="28">
        <f t="shared" si="65"/>
        <v>0</v>
      </c>
      <c r="J684" s="21">
        <v>0</v>
      </c>
      <c r="K684" s="28">
        <v>0</v>
      </c>
      <c r="L684" s="21">
        <f t="shared" si="63"/>
        <v>0</v>
      </c>
      <c r="M684" s="29">
        <f t="shared" si="63"/>
        <v>0</v>
      </c>
      <c r="N684" s="26"/>
    </row>
    <row r="685" spans="1:14" x14ac:dyDescent="0.25">
      <c r="A685" t="s">
        <v>668</v>
      </c>
      <c r="B685" s="22" t="s">
        <v>669</v>
      </c>
      <c r="C685">
        <v>0</v>
      </c>
      <c r="D685" s="28">
        <v>0</v>
      </c>
      <c r="E685" s="21">
        <v>0</v>
      </c>
      <c r="F685" s="28">
        <v>0</v>
      </c>
      <c r="G685" s="24"/>
      <c r="H685" s="21">
        <f t="shared" si="65"/>
        <v>0</v>
      </c>
      <c r="I685" s="28">
        <f t="shared" si="65"/>
        <v>0</v>
      </c>
      <c r="J685" s="21">
        <f>VLOOKUP(A685,[2]v_02_2023!F:I,3,FALSE)</f>
        <v>3</v>
      </c>
      <c r="K685" s="28">
        <f>VLOOKUP(A685,[2]v_02_2023!F:I,4,FALSE)</f>
        <v>58.77</v>
      </c>
      <c r="L685" s="21">
        <f t="shared" si="63"/>
        <v>-3</v>
      </c>
      <c r="M685" s="29">
        <f t="shared" si="63"/>
        <v>-58.77</v>
      </c>
      <c r="N685" s="26">
        <f t="shared" si="64"/>
        <v>-1</v>
      </c>
    </row>
    <row r="686" spans="1:14" x14ac:dyDescent="0.25">
      <c r="A686" t="s">
        <v>670</v>
      </c>
      <c r="B686" s="22" t="s">
        <v>671</v>
      </c>
      <c r="C686">
        <v>0</v>
      </c>
      <c r="D686" s="28">
        <v>0</v>
      </c>
      <c r="E686" s="21">
        <v>0</v>
      </c>
      <c r="F686" s="28">
        <v>0</v>
      </c>
      <c r="G686" s="24"/>
      <c r="H686" s="21">
        <f t="shared" si="65"/>
        <v>0</v>
      </c>
      <c r="I686" s="28">
        <f t="shared" si="65"/>
        <v>0</v>
      </c>
      <c r="J686" s="21">
        <v>0</v>
      </c>
      <c r="K686" s="28">
        <v>0</v>
      </c>
      <c r="L686" s="21">
        <f t="shared" si="63"/>
        <v>0</v>
      </c>
      <c r="M686" s="29">
        <f t="shared" si="63"/>
        <v>0</v>
      </c>
      <c r="N686" s="26"/>
    </row>
    <row r="687" spans="1:14" x14ac:dyDescent="0.25">
      <c r="A687" t="s">
        <v>672</v>
      </c>
      <c r="B687" s="22" t="s">
        <v>673</v>
      </c>
      <c r="C687">
        <v>0</v>
      </c>
      <c r="D687" s="28">
        <v>0</v>
      </c>
      <c r="E687" s="21">
        <v>0</v>
      </c>
      <c r="F687" s="28">
        <v>0</v>
      </c>
      <c r="G687" s="24"/>
      <c r="H687" s="21">
        <f t="shared" si="65"/>
        <v>0</v>
      </c>
      <c r="I687" s="28">
        <f t="shared" si="65"/>
        <v>0</v>
      </c>
      <c r="J687" s="21">
        <f>VLOOKUP(A687,[2]v_02_2023!F:I,3,FALSE)</f>
        <v>1</v>
      </c>
      <c r="K687" s="28">
        <f>VLOOKUP(A687,[2]v_02_2023!F:I,4,FALSE)</f>
        <v>16.23</v>
      </c>
      <c r="L687" s="21">
        <f t="shared" si="63"/>
        <v>-1</v>
      </c>
      <c r="M687" s="29">
        <f t="shared" si="63"/>
        <v>-16.23</v>
      </c>
      <c r="N687" s="26">
        <f t="shared" si="64"/>
        <v>-1</v>
      </c>
    </row>
    <row r="688" spans="1:14" x14ac:dyDescent="0.25">
      <c r="A688" t="s">
        <v>674</v>
      </c>
      <c r="B688" s="22" t="s">
        <v>675</v>
      </c>
      <c r="C688">
        <v>0</v>
      </c>
      <c r="D688" s="28">
        <v>0</v>
      </c>
      <c r="E688" s="21">
        <v>0</v>
      </c>
      <c r="F688" s="28">
        <v>0</v>
      </c>
      <c r="G688" s="24"/>
      <c r="H688" s="21">
        <f t="shared" si="65"/>
        <v>0</v>
      </c>
      <c r="I688" s="28">
        <f t="shared" si="65"/>
        <v>0</v>
      </c>
      <c r="J688" s="21">
        <f>VLOOKUP(A688,[2]v_02_2023!F:I,3,FALSE)</f>
        <v>-2</v>
      </c>
      <c r="K688" s="28">
        <f>VLOOKUP(A688,[2]v_02_2023!F:I,4,FALSE)</f>
        <v>-21.14</v>
      </c>
      <c r="L688" s="21">
        <f t="shared" si="63"/>
        <v>2</v>
      </c>
      <c r="M688" s="29">
        <f t="shared" si="63"/>
        <v>21.14</v>
      </c>
      <c r="N688" s="26">
        <f t="shared" si="64"/>
        <v>-1</v>
      </c>
    </row>
    <row r="689" spans="1:14" x14ac:dyDescent="0.25">
      <c r="A689" t="s">
        <v>676</v>
      </c>
      <c r="B689" s="22" t="s">
        <v>677</v>
      </c>
      <c r="C689">
        <v>0</v>
      </c>
      <c r="D689" s="28">
        <v>0</v>
      </c>
      <c r="E689" s="21">
        <v>0</v>
      </c>
      <c r="F689" s="28">
        <v>0</v>
      </c>
      <c r="G689" s="24"/>
      <c r="H689" s="21">
        <f t="shared" si="65"/>
        <v>0</v>
      </c>
      <c r="I689" s="28">
        <f t="shared" si="65"/>
        <v>0</v>
      </c>
      <c r="J689" s="21">
        <f>VLOOKUP(A689,[2]v_02_2023!F:I,3,FALSE)</f>
        <v>4</v>
      </c>
      <c r="K689" s="28">
        <f>VLOOKUP(A689,[2]v_02_2023!F:I,4,FALSE)</f>
        <v>43.88</v>
      </c>
      <c r="L689" s="21">
        <f t="shared" si="63"/>
        <v>-4</v>
      </c>
      <c r="M689" s="29">
        <f t="shared" si="63"/>
        <v>-43.88</v>
      </c>
      <c r="N689" s="26">
        <f t="shared" si="64"/>
        <v>-1</v>
      </c>
    </row>
    <row r="690" spans="1:14" x14ac:dyDescent="0.25">
      <c r="A690" t="s">
        <v>680</v>
      </c>
      <c r="B690" s="22" t="s">
        <v>681</v>
      </c>
      <c r="C690">
        <v>0</v>
      </c>
      <c r="D690" s="28">
        <v>0</v>
      </c>
      <c r="E690" s="21">
        <v>0</v>
      </c>
      <c r="F690" s="28">
        <v>0</v>
      </c>
      <c r="G690" s="24"/>
      <c r="H690" s="21">
        <f t="shared" si="65"/>
        <v>0</v>
      </c>
      <c r="I690" s="28">
        <f t="shared" si="65"/>
        <v>0</v>
      </c>
      <c r="J690" s="21">
        <v>0</v>
      </c>
      <c r="K690" s="28">
        <v>0</v>
      </c>
      <c r="L690" s="21">
        <f t="shared" si="63"/>
        <v>0</v>
      </c>
      <c r="M690" s="29">
        <f t="shared" si="63"/>
        <v>0</v>
      </c>
      <c r="N690" s="26"/>
    </row>
    <row r="691" spans="1:14" x14ac:dyDescent="0.25">
      <c r="A691" t="s">
        <v>682</v>
      </c>
      <c r="B691" s="22" t="s">
        <v>683</v>
      </c>
      <c r="C691">
        <v>0</v>
      </c>
      <c r="D691" s="28">
        <v>0</v>
      </c>
      <c r="E691" s="21">
        <v>0</v>
      </c>
      <c r="F691" s="28">
        <v>0</v>
      </c>
      <c r="G691" s="24"/>
      <c r="H691" s="21">
        <f t="shared" si="65"/>
        <v>0</v>
      </c>
      <c r="I691" s="28">
        <f t="shared" si="65"/>
        <v>0</v>
      </c>
      <c r="J691" s="21">
        <v>0</v>
      </c>
      <c r="K691" s="28">
        <v>0</v>
      </c>
      <c r="L691" s="21">
        <f t="shared" si="63"/>
        <v>0</v>
      </c>
      <c r="M691" s="29">
        <f t="shared" si="63"/>
        <v>0</v>
      </c>
      <c r="N691" s="26"/>
    </row>
    <row r="692" spans="1:14" x14ac:dyDescent="0.25">
      <c r="A692" t="s">
        <v>684</v>
      </c>
      <c r="B692" s="22" t="s">
        <v>685</v>
      </c>
      <c r="C692">
        <v>0</v>
      </c>
      <c r="D692" s="28">
        <v>0</v>
      </c>
      <c r="E692" s="21">
        <v>0</v>
      </c>
      <c r="F692" s="28">
        <v>0</v>
      </c>
      <c r="G692" s="24"/>
      <c r="H692" s="21">
        <f t="shared" si="65"/>
        <v>0</v>
      </c>
      <c r="I692" s="28">
        <f t="shared" si="65"/>
        <v>0</v>
      </c>
      <c r="J692" s="21">
        <f>VLOOKUP(A692,[2]v_02_2023!F:I,3,FALSE)</f>
        <v>0</v>
      </c>
      <c r="K692" s="28">
        <f>VLOOKUP(A692,[2]v_02_2023!F:I,4,FALSE)</f>
        <v>0</v>
      </c>
      <c r="L692" s="21">
        <f t="shared" si="63"/>
        <v>0</v>
      </c>
      <c r="M692" s="29">
        <f t="shared" si="63"/>
        <v>0</v>
      </c>
      <c r="N692" s="26"/>
    </row>
    <row r="693" spans="1:14" x14ac:dyDescent="0.25">
      <c r="A693" t="s">
        <v>686</v>
      </c>
      <c r="B693" s="22" t="s">
        <v>687</v>
      </c>
      <c r="C693">
        <v>0</v>
      </c>
      <c r="D693" s="28">
        <v>0</v>
      </c>
      <c r="E693" s="21">
        <v>0</v>
      </c>
      <c r="F693" s="28">
        <v>0</v>
      </c>
      <c r="G693" s="24"/>
      <c r="H693" s="21">
        <f t="shared" si="65"/>
        <v>0</v>
      </c>
      <c r="I693" s="28">
        <f t="shared" si="65"/>
        <v>0</v>
      </c>
      <c r="J693" s="21">
        <v>0</v>
      </c>
      <c r="K693" s="28">
        <v>0</v>
      </c>
      <c r="L693" s="21">
        <f t="shared" si="63"/>
        <v>0</v>
      </c>
      <c r="M693" s="29">
        <f t="shared" si="63"/>
        <v>0</v>
      </c>
      <c r="N693" s="26"/>
    </row>
    <row r="694" spans="1:14" x14ac:dyDescent="0.25">
      <c r="A694" t="s">
        <v>690</v>
      </c>
      <c r="B694" s="22" t="s">
        <v>691</v>
      </c>
      <c r="C694">
        <v>0</v>
      </c>
      <c r="D694" s="28">
        <v>0</v>
      </c>
      <c r="E694" s="21">
        <v>0</v>
      </c>
      <c r="F694" s="28">
        <v>0</v>
      </c>
      <c r="G694" s="24"/>
      <c r="H694" s="21">
        <f t="shared" si="65"/>
        <v>0</v>
      </c>
      <c r="I694" s="28">
        <f t="shared" si="65"/>
        <v>0</v>
      </c>
      <c r="J694" s="21">
        <v>0</v>
      </c>
      <c r="K694" s="28">
        <v>0</v>
      </c>
      <c r="L694" s="21">
        <f t="shared" si="63"/>
        <v>0</v>
      </c>
      <c r="M694" s="29">
        <f t="shared" si="63"/>
        <v>0</v>
      </c>
      <c r="N694" s="26"/>
    </row>
    <row r="695" spans="1:14" x14ac:dyDescent="0.25">
      <c r="A695" t="s">
        <v>692</v>
      </c>
      <c r="B695" s="22" t="s">
        <v>693</v>
      </c>
      <c r="C695">
        <v>0</v>
      </c>
      <c r="D695" s="28">
        <v>0</v>
      </c>
      <c r="E695" s="21">
        <v>0</v>
      </c>
      <c r="F695" s="28">
        <v>0</v>
      </c>
      <c r="G695" s="24"/>
      <c r="H695" s="21">
        <f t="shared" si="65"/>
        <v>0</v>
      </c>
      <c r="I695" s="28">
        <f t="shared" si="65"/>
        <v>0</v>
      </c>
      <c r="J695" s="21">
        <v>0</v>
      </c>
      <c r="K695" s="28">
        <v>0</v>
      </c>
      <c r="L695" s="21">
        <f t="shared" si="63"/>
        <v>0</v>
      </c>
      <c r="M695" s="29">
        <f t="shared" si="63"/>
        <v>0</v>
      </c>
      <c r="N695" s="26"/>
    </row>
    <row r="696" spans="1:14" x14ac:dyDescent="0.25">
      <c r="A696" t="s">
        <v>694</v>
      </c>
      <c r="B696" s="22" t="s">
        <v>695</v>
      </c>
      <c r="C696">
        <v>0</v>
      </c>
      <c r="D696" s="28">
        <v>0</v>
      </c>
      <c r="E696" s="21">
        <v>0</v>
      </c>
      <c r="F696" s="28">
        <v>0</v>
      </c>
      <c r="G696" s="24"/>
      <c r="H696" s="21">
        <f t="shared" si="65"/>
        <v>0</v>
      </c>
      <c r="I696" s="28">
        <f t="shared" si="65"/>
        <v>0</v>
      </c>
      <c r="J696" s="21">
        <f>VLOOKUP(A696,[2]v_02_2023!F:I,3,FALSE)</f>
        <v>0</v>
      </c>
      <c r="K696" s="28">
        <f>VLOOKUP(A696,[2]v_02_2023!F:I,4,FALSE)</f>
        <v>0</v>
      </c>
      <c r="L696" s="21">
        <f t="shared" si="63"/>
        <v>0</v>
      </c>
      <c r="M696" s="29">
        <f t="shared" si="63"/>
        <v>0</v>
      </c>
      <c r="N696" s="26"/>
    </row>
    <row r="697" spans="1:14" x14ac:dyDescent="0.25">
      <c r="A697" t="s">
        <v>696</v>
      </c>
      <c r="B697" s="22" t="s">
        <v>697</v>
      </c>
      <c r="C697">
        <v>0</v>
      </c>
      <c r="D697" s="28">
        <v>0</v>
      </c>
      <c r="E697" s="21">
        <v>0</v>
      </c>
      <c r="F697" s="28">
        <v>0</v>
      </c>
      <c r="G697" s="24"/>
      <c r="H697" s="21">
        <f t="shared" si="65"/>
        <v>0</v>
      </c>
      <c r="I697" s="28">
        <f t="shared" si="65"/>
        <v>0</v>
      </c>
      <c r="J697" s="21">
        <f>VLOOKUP(A697,[2]v_02_2023!F:I,3,FALSE)</f>
        <v>41</v>
      </c>
      <c r="K697" s="28">
        <f>VLOOKUP(A697,[2]v_02_2023!F:I,4,FALSE)</f>
        <v>674.59</v>
      </c>
      <c r="L697" s="21">
        <f t="shared" si="63"/>
        <v>-41</v>
      </c>
      <c r="M697" s="29">
        <f t="shared" si="63"/>
        <v>-674.59</v>
      </c>
      <c r="N697" s="26">
        <f t="shared" si="64"/>
        <v>-1</v>
      </c>
    </row>
    <row r="698" spans="1:14" x14ac:dyDescent="0.25">
      <c r="A698" t="s">
        <v>698</v>
      </c>
      <c r="B698" s="22" t="s">
        <v>699</v>
      </c>
      <c r="C698">
        <v>0</v>
      </c>
      <c r="D698" s="28">
        <v>0</v>
      </c>
      <c r="E698" s="21">
        <v>0</v>
      </c>
      <c r="F698" s="28">
        <v>0</v>
      </c>
      <c r="G698" s="24"/>
      <c r="H698" s="21">
        <f t="shared" si="65"/>
        <v>0</v>
      </c>
      <c r="I698" s="28">
        <f t="shared" si="65"/>
        <v>0</v>
      </c>
      <c r="J698" s="21">
        <v>0</v>
      </c>
      <c r="K698" s="28">
        <v>0</v>
      </c>
      <c r="L698" s="21">
        <f t="shared" si="63"/>
        <v>0</v>
      </c>
      <c r="M698" s="29">
        <f t="shared" si="63"/>
        <v>0</v>
      </c>
      <c r="N698" s="26"/>
    </row>
    <row r="699" spans="1:14" x14ac:dyDescent="0.25">
      <c r="A699" t="s">
        <v>704</v>
      </c>
      <c r="B699" s="22" t="s">
        <v>705</v>
      </c>
      <c r="C699">
        <v>0</v>
      </c>
      <c r="D699" s="28">
        <v>0</v>
      </c>
      <c r="E699" s="21">
        <v>0</v>
      </c>
      <c r="F699" s="28">
        <v>0</v>
      </c>
      <c r="G699" s="24"/>
      <c r="H699" s="21">
        <f t="shared" si="65"/>
        <v>0</v>
      </c>
      <c r="I699" s="28">
        <f t="shared" si="65"/>
        <v>0</v>
      </c>
      <c r="J699" s="21">
        <f>VLOOKUP(A699,[2]v_02_2023!F:I,3,FALSE)</f>
        <v>7</v>
      </c>
      <c r="K699" s="28">
        <f>VLOOKUP(A699,[2]v_02_2023!F:I,4,FALSE)</f>
        <v>146.4</v>
      </c>
      <c r="L699" s="21">
        <f t="shared" si="63"/>
        <v>-7</v>
      </c>
      <c r="M699" s="29">
        <f t="shared" si="63"/>
        <v>-146.4</v>
      </c>
      <c r="N699" s="26">
        <f t="shared" si="64"/>
        <v>-1</v>
      </c>
    </row>
    <row r="700" spans="1:14" x14ac:dyDescent="0.25">
      <c r="A700" t="s">
        <v>706</v>
      </c>
      <c r="B700" s="22" t="s">
        <v>707</v>
      </c>
      <c r="C700">
        <v>0</v>
      </c>
      <c r="D700" s="28">
        <v>0</v>
      </c>
      <c r="E700" s="21">
        <v>0</v>
      </c>
      <c r="F700" s="28">
        <v>0</v>
      </c>
      <c r="G700" s="24"/>
      <c r="H700" s="21">
        <f t="shared" si="65"/>
        <v>0</v>
      </c>
      <c r="I700" s="28">
        <f t="shared" si="65"/>
        <v>0</v>
      </c>
      <c r="J700" s="21">
        <v>0</v>
      </c>
      <c r="K700" s="28">
        <v>0</v>
      </c>
      <c r="L700" s="21">
        <f t="shared" si="63"/>
        <v>0</v>
      </c>
      <c r="M700" s="29">
        <f t="shared" si="63"/>
        <v>0</v>
      </c>
      <c r="N700" s="26"/>
    </row>
    <row r="701" spans="1:14" x14ac:dyDescent="0.25">
      <c r="A701" t="s">
        <v>708</v>
      </c>
      <c r="B701" s="22" t="s">
        <v>709</v>
      </c>
      <c r="C701">
        <v>0</v>
      </c>
      <c r="D701" s="28">
        <v>0</v>
      </c>
      <c r="E701" s="21">
        <v>0</v>
      </c>
      <c r="F701" s="28">
        <v>0</v>
      </c>
      <c r="G701" s="24"/>
      <c r="H701" s="21">
        <f t="shared" si="65"/>
        <v>0</v>
      </c>
      <c r="I701" s="28">
        <f t="shared" si="65"/>
        <v>0</v>
      </c>
      <c r="J701" s="21">
        <v>0</v>
      </c>
      <c r="K701" s="28">
        <v>0</v>
      </c>
      <c r="L701" s="21">
        <f t="shared" si="63"/>
        <v>0</v>
      </c>
      <c r="M701" s="29">
        <f t="shared" si="63"/>
        <v>0</v>
      </c>
      <c r="N701" s="26"/>
    </row>
    <row r="702" spans="1:14" x14ac:dyDescent="0.25">
      <c r="A702" t="s">
        <v>199</v>
      </c>
      <c r="B702" s="22" t="s">
        <v>198</v>
      </c>
      <c r="C702">
        <v>0</v>
      </c>
      <c r="D702" s="28">
        <v>0</v>
      </c>
      <c r="E702" s="21">
        <v>0</v>
      </c>
      <c r="F702" s="28">
        <v>0</v>
      </c>
      <c r="G702" s="24"/>
      <c r="H702" s="21">
        <f t="shared" si="65"/>
        <v>0</v>
      </c>
      <c r="I702" s="28">
        <f t="shared" si="65"/>
        <v>0</v>
      </c>
      <c r="J702" s="21">
        <v>0</v>
      </c>
      <c r="K702" s="28">
        <v>0</v>
      </c>
      <c r="L702" s="21">
        <f t="shared" si="63"/>
        <v>0</v>
      </c>
      <c r="M702" s="29">
        <f t="shared" si="63"/>
        <v>0</v>
      </c>
      <c r="N702" s="26"/>
    </row>
    <row r="703" spans="1:14" x14ac:dyDescent="0.25">
      <c r="A703" t="s">
        <v>209</v>
      </c>
      <c r="B703" s="22" t="s">
        <v>208</v>
      </c>
      <c r="C703">
        <v>0</v>
      </c>
      <c r="D703" s="28">
        <v>0</v>
      </c>
      <c r="E703" s="21">
        <v>0</v>
      </c>
      <c r="F703" s="28">
        <v>0</v>
      </c>
      <c r="G703" s="24"/>
      <c r="H703" s="21">
        <f t="shared" si="65"/>
        <v>0</v>
      </c>
      <c r="I703" s="28">
        <f t="shared" si="65"/>
        <v>0</v>
      </c>
      <c r="J703" s="21">
        <v>0</v>
      </c>
      <c r="K703" s="28">
        <v>0</v>
      </c>
      <c r="L703" s="21">
        <f t="shared" si="63"/>
        <v>0</v>
      </c>
      <c r="M703" s="29">
        <f t="shared" si="63"/>
        <v>0</v>
      </c>
      <c r="N703" s="26"/>
    </row>
    <row r="704" spans="1:14" x14ac:dyDescent="0.25">
      <c r="A704" t="s">
        <v>710</v>
      </c>
      <c r="B704" s="22" t="s">
        <v>711</v>
      </c>
      <c r="C704">
        <v>0</v>
      </c>
      <c r="D704" s="28">
        <v>0</v>
      </c>
      <c r="E704" s="21">
        <v>0</v>
      </c>
      <c r="F704" s="28">
        <v>0</v>
      </c>
      <c r="G704" s="24"/>
      <c r="H704" s="21">
        <f t="shared" si="65"/>
        <v>0</v>
      </c>
      <c r="I704" s="28">
        <f t="shared" si="65"/>
        <v>0</v>
      </c>
      <c r="J704" s="21">
        <v>0</v>
      </c>
      <c r="K704" s="28">
        <v>0</v>
      </c>
      <c r="L704" s="21">
        <f t="shared" si="63"/>
        <v>0</v>
      </c>
      <c r="M704" s="29">
        <f t="shared" si="63"/>
        <v>0</v>
      </c>
      <c r="N704" s="26"/>
    </row>
    <row r="705" spans="1:14" x14ac:dyDescent="0.25">
      <c r="A705" t="s">
        <v>712</v>
      </c>
      <c r="B705" s="22" t="s">
        <v>713</v>
      </c>
      <c r="C705">
        <v>0</v>
      </c>
      <c r="D705" s="28">
        <v>0</v>
      </c>
      <c r="E705" s="21">
        <f>VLOOKUP(A705,[2]s_02_2024!E:G,2,FALSE)</f>
        <v>160</v>
      </c>
      <c r="F705" s="28">
        <f>VLOOKUP(A705,[2]s_02_2024!E:G,3,FALSE)</f>
        <v>6383.9999999999882</v>
      </c>
      <c r="G705" s="24">
        <f t="shared" ref="G705" si="66">F705/I705</f>
        <v>1</v>
      </c>
      <c r="H705" s="21">
        <f t="shared" si="65"/>
        <v>160</v>
      </c>
      <c r="I705" s="28">
        <f t="shared" si="65"/>
        <v>6383.9999999999882</v>
      </c>
      <c r="J705" s="21">
        <v>0</v>
      </c>
      <c r="K705" s="28">
        <v>0</v>
      </c>
      <c r="L705" s="21">
        <f t="shared" si="63"/>
        <v>160</v>
      </c>
      <c r="M705" s="29">
        <f t="shared" si="63"/>
        <v>6383.9999999999882</v>
      </c>
      <c r="N705" s="26"/>
    </row>
    <row r="706" spans="1:14" x14ac:dyDescent="0.25">
      <c r="A706" t="s">
        <v>259</v>
      </c>
      <c r="B706" s="22" t="s">
        <v>258</v>
      </c>
      <c r="C706">
        <v>0</v>
      </c>
      <c r="D706" s="28">
        <v>0</v>
      </c>
      <c r="E706" s="21">
        <v>0</v>
      </c>
      <c r="F706" s="28">
        <v>0</v>
      </c>
      <c r="G706" s="24"/>
      <c r="H706" s="21">
        <f t="shared" si="65"/>
        <v>0</v>
      </c>
      <c r="I706" s="28">
        <f t="shared" si="65"/>
        <v>0</v>
      </c>
      <c r="J706" s="21">
        <f>VLOOKUP(A706,[2]v_02_2023!F:I,3,FALSE)</f>
        <v>0</v>
      </c>
      <c r="K706" s="28">
        <f>VLOOKUP(A706,[2]v_02_2023!F:I,4,FALSE)</f>
        <v>0</v>
      </c>
      <c r="L706" s="21">
        <f t="shared" si="63"/>
        <v>0</v>
      </c>
      <c r="M706" s="29">
        <f t="shared" si="63"/>
        <v>0</v>
      </c>
      <c r="N706" s="26"/>
    </row>
    <row r="707" spans="1:14" x14ac:dyDescent="0.25">
      <c r="A707" t="s">
        <v>714</v>
      </c>
      <c r="B707" s="22" t="s">
        <v>715</v>
      </c>
      <c r="C707">
        <v>0</v>
      </c>
      <c r="D707" s="28">
        <v>0</v>
      </c>
      <c r="E707" s="21">
        <v>0</v>
      </c>
      <c r="F707" s="28">
        <v>0</v>
      </c>
      <c r="G707" s="24"/>
      <c r="H707" s="21">
        <f t="shared" si="65"/>
        <v>0</v>
      </c>
      <c r="I707" s="28">
        <f t="shared" si="65"/>
        <v>0</v>
      </c>
      <c r="J707" s="21">
        <f>VLOOKUP(A707,[2]v_02_2023!F:I,3,FALSE)</f>
        <v>1</v>
      </c>
      <c r="K707" s="28">
        <f>VLOOKUP(A707,[2]v_02_2023!F:I,4,FALSE)</f>
        <v>8.11</v>
      </c>
      <c r="L707" s="21">
        <f t="shared" si="63"/>
        <v>-1</v>
      </c>
      <c r="M707" s="29">
        <f t="shared" si="63"/>
        <v>-8.11</v>
      </c>
      <c r="N707" s="26">
        <f t="shared" si="64"/>
        <v>-1</v>
      </c>
    </row>
    <row r="708" spans="1:14" x14ac:dyDescent="0.25">
      <c r="A708" t="s">
        <v>716</v>
      </c>
      <c r="B708" s="22" t="s">
        <v>717</v>
      </c>
      <c r="C708">
        <v>0</v>
      </c>
      <c r="D708" s="28">
        <v>0</v>
      </c>
      <c r="E708" s="21">
        <v>0</v>
      </c>
      <c r="F708" s="28">
        <v>0</v>
      </c>
      <c r="G708" s="24"/>
      <c r="H708" s="21">
        <f t="shared" si="65"/>
        <v>0</v>
      </c>
      <c r="I708" s="28">
        <f t="shared" si="65"/>
        <v>0</v>
      </c>
      <c r="J708" s="21">
        <v>0</v>
      </c>
      <c r="K708" s="28">
        <v>0</v>
      </c>
      <c r="L708" s="21">
        <f t="shared" si="63"/>
        <v>0</v>
      </c>
      <c r="M708" s="29">
        <f t="shared" si="63"/>
        <v>0</v>
      </c>
      <c r="N708" s="26"/>
    </row>
    <row r="709" spans="1:14" x14ac:dyDescent="0.25">
      <c r="A709" t="s">
        <v>315</v>
      </c>
      <c r="B709" s="22" t="s">
        <v>314</v>
      </c>
      <c r="C709">
        <v>0</v>
      </c>
      <c r="D709" s="28">
        <v>0</v>
      </c>
      <c r="E709" s="21">
        <v>0</v>
      </c>
      <c r="F709" s="28">
        <v>0</v>
      </c>
      <c r="G709" s="24"/>
      <c r="H709" s="21">
        <f t="shared" si="65"/>
        <v>0</v>
      </c>
      <c r="I709" s="28">
        <f t="shared" si="65"/>
        <v>0</v>
      </c>
      <c r="J709" s="21">
        <f>VLOOKUP(A709,[2]v_02_2023!F:I,3,FALSE)</f>
        <v>1</v>
      </c>
      <c r="K709" s="28">
        <f>VLOOKUP(A709,[2]v_02_2023!F:I,4,FALSE)</f>
        <v>4.0199999999999996</v>
      </c>
      <c r="L709" s="21">
        <f t="shared" si="63"/>
        <v>-1</v>
      </c>
      <c r="M709" s="29">
        <f t="shared" si="63"/>
        <v>-4.0199999999999996</v>
      </c>
      <c r="N709" s="26">
        <f t="shared" si="64"/>
        <v>-1</v>
      </c>
    </row>
    <row r="710" spans="1:14" x14ac:dyDescent="0.25">
      <c r="A710" t="s">
        <v>718</v>
      </c>
      <c r="B710" s="22" t="s">
        <v>719</v>
      </c>
      <c r="C710">
        <v>0</v>
      </c>
      <c r="D710" s="28">
        <v>0</v>
      </c>
      <c r="E710" s="21">
        <v>0</v>
      </c>
      <c r="F710" s="28">
        <v>0</v>
      </c>
      <c r="G710" s="24"/>
      <c r="H710" s="21">
        <f t="shared" si="65"/>
        <v>0</v>
      </c>
      <c r="I710" s="28">
        <f t="shared" si="65"/>
        <v>0</v>
      </c>
      <c r="J710" s="21">
        <v>0</v>
      </c>
      <c r="K710" s="28">
        <v>0</v>
      </c>
      <c r="L710" s="21">
        <f t="shared" si="63"/>
        <v>0</v>
      </c>
      <c r="M710" s="29">
        <f t="shared" si="63"/>
        <v>0</v>
      </c>
      <c r="N710" s="26"/>
    </row>
    <row r="711" spans="1:14" x14ac:dyDescent="0.25">
      <c r="A711" t="s">
        <v>720</v>
      </c>
      <c r="B711" s="22" t="s">
        <v>721</v>
      </c>
      <c r="C711">
        <v>0</v>
      </c>
      <c r="D711" s="28">
        <v>0</v>
      </c>
      <c r="E711" s="21">
        <v>0</v>
      </c>
      <c r="F711" s="28">
        <v>0</v>
      </c>
      <c r="G711" s="24"/>
      <c r="H711" s="21">
        <f t="shared" si="65"/>
        <v>0</v>
      </c>
      <c r="I711" s="28">
        <f t="shared" si="65"/>
        <v>0</v>
      </c>
      <c r="J711" s="21">
        <f>VLOOKUP(A711,[2]v_02_2023!F:I,3,FALSE)</f>
        <v>1</v>
      </c>
      <c r="K711" s="28">
        <f>VLOOKUP(A711,[2]v_02_2023!F:I,4,FALSE)</f>
        <v>106.36</v>
      </c>
      <c r="L711" s="21">
        <f t="shared" ref="L711:M716" si="67">H711-J711</f>
        <v>-1</v>
      </c>
      <c r="M711" s="29">
        <f t="shared" si="67"/>
        <v>-106.36</v>
      </c>
      <c r="N711" s="26">
        <f t="shared" ref="N711:N716" si="68">M711/K711</f>
        <v>-1</v>
      </c>
    </row>
    <row r="712" spans="1:14" x14ac:dyDescent="0.25">
      <c r="A712" t="s">
        <v>722</v>
      </c>
      <c r="B712" s="22" t="s">
        <v>723</v>
      </c>
      <c r="C712">
        <v>0</v>
      </c>
      <c r="D712" s="28">
        <v>0</v>
      </c>
      <c r="E712" s="21">
        <v>0</v>
      </c>
      <c r="F712" s="28">
        <v>0</v>
      </c>
      <c r="G712" s="24"/>
      <c r="H712" s="21">
        <f t="shared" si="65"/>
        <v>0</v>
      </c>
      <c r="I712" s="28">
        <f t="shared" si="65"/>
        <v>0</v>
      </c>
      <c r="J712" s="21">
        <v>0</v>
      </c>
      <c r="K712" s="28">
        <v>0</v>
      </c>
      <c r="L712" s="21">
        <f t="shared" si="67"/>
        <v>0</v>
      </c>
      <c r="M712" s="29">
        <f t="shared" si="67"/>
        <v>0</v>
      </c>
      <c r="N712" s="26"/>
    </row>
    <row r="713" spans="1:14" x14ac:dyDescent="0.25">
      <c r="A713" t="s">
        <v>724</v>
      </c>
      <c r="B713" s="22" t="s">
        <v>725</v>
      </c>
      <c r="C713">
        <v>0</v>
      </c>
      <c r="D713" s="28">
        <v>0</v>
      </c>
      <c r="E713" s="21">
        <v>0</v>
      </c>
      <c r="F713" s="28">
        <v>0</v>
      </c>
      <c r="G713" s="24"/>
      <c r="H713" s="21">
        <f t="shared" si="65"/>
        <v>0</v>
      </c>
      <c r="I713" s="28">
        <f t="shared" si="65"/>
        <v>0</v>
      </c>
      <c r="J713" s="21">
        <v>0</v>
      </c>
      <c r="K713" s="28">
        <v>0</v>
      </c>
      <c r="L713" s="21">
        <f t="shared" si="67"/>
        <v>0</v>
      </c>
      <c r="M713" s="29">
        <f t="shared" si="67"/>
        <v>0</v>
      </c>
      <c r="N713" s="26"/>
    </row>
    <row r="714" spans="1:14" x14ac:dyDescent="0.25">
      <c r="A714" t="s">
        <v>728</v>
      </c>
      <c r="B714" s="22" t="s">
        <v>729</v>
      </c>
      <c r="C714">
        <v>0</v>
      </c>
      <c r="D714" s="28">
        <v>0</v>
      </c>
      <c r="E714" s="21">
        <v>0</v>
      </c>
      <c r="F714" s="28">
        <v>0</v>
      </c>
      <c r="G714" s="24"/>
      <c r="H714" s="21">
        <f t="shared" si="65"/>
        <v>0</v>
      </c>
      <c r="I714" s="28">
        <f t="shared" si="65"/>
        <v>0</v>
      </c>
      <c r="J714" s="21">
        <f>VLOOKUP(A714,[2]v_02_2023!F:I,3,FALSE)</f>
        <v>-1</v>
      </c>
      <c r="K714" s="28">
        <f>VLOOKUP(A714,[2]v_02_2023!F:I,4,FALSE)</f>
        <v>-4.0199999999999996</v>
      </c>
      <c r="L714" s="21">
        <f t="shared" si="67"/>
        <v>1</v>
      </c>
      <c r="M714" s="29">
        <f t="shared" si="67"/>
        <v>4.0199999999999996</v>
      </c>
      <c r="N714" s="26">
        <f t="shared" si="68"/>
        <v>-1</v>
      </c>
    </row>
    <row r="715" spans="1:14" x14ac:dyDescent="0.25">
      <c r="A715" t="s">
        <v>355</v>
      </c>
      <c r="B715" s="22" t="s">
        <v>354</v>
      </c>
      <c r="C715">
        <v>0</v>
      </c>
      <c r="D715" s="28">
        <v>0</v>
      </c>
      <c r="E715" s="21">
        <v>0</v>
      </c>
      <c r="F715" s="28">
        <v>0</v>
      </c>
      <c r="G715" s="24"/>
      <c r="H715" s="21">
        <f t="shared" si="65"/>
        <v>0</v>
      </c>
      <c r="I715" s="28">
        <f t="shared" si="65"/>
        <v>0</v>
      </c>
      <c r="J715" s="21">
        <f>VLOOKUP(A715,[2]v_02_2023!F:I,3,FALSE)</f>
        <v>1</v>
      </c>
      <c r="K715" s="28">
        <f>VLOOKUP(A715,[2]v_02_2023!F:I,4,FALSE)</f>
        <v>30.37</v>
      </c>
      <c r="L715" s="21">
        <f t="shared" si="67"/>
        <v>-1</v>
      </c>
      <c r="M715" s="29">
        <f t="shared" si="67"/>
        <v>-30.37</v>
      </c>
      <c r="N715" s="26">
        <f t="shared" si="68"/>
        <v>-1</v>
      </c>
    </row>
    <row r="716" spans="1:14" x14ac:dyDescent="0.25">
      <c r="A716" t="s">
        <v>734</v>
      </c>
      <c r="B716" s="22" t="s">
        <v>735</v>
      </c>
      <c r="C716">
        <v>0</v>
      </c>
      <c r="D716" s="28">
        <v>0</v>
      </c>
      <c r="E716" s="21">
        <v>0</v>
      </c>
      <c r="F716" s="28">
        <v>0</v>
      </c>
      <c r="G716" s="24"/>
      <c r="H716" s="21">
        <f t="shared" si="65"/>
        <v>0</v>
      </c>
      <c r="I716" s="28">
        <f t="shared" si="65"/>
        <v>0</v>
      </c>
      <c r="J716" s="21">
        <f>VLOOKUP(A716,[2]v_02_2023!F:I,3,FALSE)</f>
        <v>39</v>
      </c>
      <c r="K716" s="28">
        <f>VLOOKUP(A716,[2]v_02_2023!F:I,4,FALSE)</f>
        <v>156.78</v>
      </c>
      <c r="L716" s="21">
        <f t="shared" si="67"/>
        <v>-39</v>
      </c>
      <c r="M716" s="29">
        <f t="shared" si="67"/>
        <v>-156.78</v>
      </c>
      <c r="N716" s="26">
        <f t="shared" si="68"/>
        <v>-1</v>
      </c>
    </row>
    <row r="718" spans="1:14" x14ac:dyDescent="0.25">
      <c r="A718" s="31" t="s">
        <v>11</v>
      </c>
      <c r="B718" s="32" t="s">
        <v>10</v>
      </c>
      <c r="C718" s="33">
        <f>VLOOKUP(A718,[3]v_03_24!F:I,3,FALSE)</f>
        <v>486</v>
      </c>
      <c r="D718" s="32">
        <f>VLOOKUP(A718,[3]v_03_24!F:I,4,FALSE)</f>
        <v>6983.03</v>
      </c>
      <c r="E718" s="33">
        <v>0</v>
      </c>
      <c r="F718" s="32">
        <v>0</v>
      </c>
      <c r="G718" s="34">
        <f>F718/I718</f>
        <v>0</v>
      </c>
      <c r="H718" s="33">
        <f>C718+E718</f>
        <v>486</v>
      </c>
      <c r="I718" s="32">
        <f>D718+F718</f>
        <v>6983.03</v>
      </c>
      <c r="J718" s="33">
        <f>VLOOKUP(A718,[3]v_03_23!F:I,3,FALSE)</f>
        <v>294</v>
      </c>
      <c r="K718" s="32">
        <f>VLOOKUP(A718,[3]v_03_23!F:I,4,FALSE)</f>
        <v>3824.22</v>
      </c>
      <c r="L718" s="31">
        <f>H718-J718</f>
        <v>192</v>
      </c>
      <c r="M718" s="31">
        <f>I718-K718</f>
        <v>3158.81</v>
      </c>
      <c r="N718" s="35">
        <f>M718/K718</f>
        <v>0.82600111918247388</v>
      </c>
    </row>
    <row r="719" spans="1:14" x14ac:dyDescent="0.25">
      <c r="A719" s="31" t="s">
        <v>13</v>
      </c>
      <c r="B719" s="32" t="s">
        <v>12</v>
      </c>
      <c r="C719" s="33">
        <v>0</v>
      </c>
      <c r="D719" s="32">
        <v>0</v>
      </c>
      <c r="E719" s="33">
        <v>0</v>
      </c>
      <c r="F719" s="32">
        <v>0</v>
      </c>
      <c r="G719" s="34"/>
      <c r="H719" s="33">
        <f t="shared" ref="H719:I782" si="69">C719+E719</f>
        <v>0</v>
      </c>
      <c r="I719" s="32">
        <f t="shared" si="69"/>
        <v>0</v>
      </c>
      <c r="J719" s="33">
        <v>0</v>
      </c>
      <c r="K719" s="32">
        <v>0</v>
      </c>
      <c r="L719" s="31">
        <f t="shared" ref="L719:M782" si="70">H719-J719</f>
        <v>0</v>
      </c>
      <c r="M719" s="31">
        <f t="shared" si="70"/>
        <v>0</v>
      </c>
      <c r="N719" s="35"/>
    </row>
    <row r="720" spans="1:14" x14ac:dyDescent="0.25">
      <c r="A720" s="31" t="s">
        <v>15</v>
      </c>
      <c r="B720" s="32" t="s">
        <v>14</v>
      </c>
      <c r="C720" s="33">
        <f>VLOOKUP(A720,[3]v_03_24!F:I,3,FALSE)</f>
        <v>6</v>
      </c>
      <c r="D720" s="32">
        <f>VLOOKUP(A720,[3]v_03_24!F:I,4,FALSE)</f>
        <v>83.1</v>
      </c>
      <c r="E720" s="33">
        <v>0</v>
      </c>
      <c r="F720" s="32">
        <v>0</v>
      </c>
      <c r="G720" s="34">
        <f t="shared" ref="G720:G783" si="71">F720/I720</f>
        <v>0</v>
      </c>
      <c r="H720" s="33">
        <f t="shared" si="69"/>
        <v>6</v>
      </c>
      <c r="I720" s="32">
        <f t="shared" si="69"/>
        <v>83.1</v>
      </c>
      <c r="J720" s="33">
        <v>0</v>
      </c>
      <c r="K720" s="32">
        <v>0</v>
      </c>
      <c r="L720" s="31">
        <f t="shared" si="70"/>
        <v>6</v>
      </c>
      <c r="M720" s="31">
        <f t="shared" si="70"/>
        <v>83.1</v>
      </c>
      <c r="N720" s="35"/>
    </row>
    <row r="721" spans="1:14" x14ac:dyDescent="0.25">
      <c r="A721" s="31" t="s">
        <v>17</v>
      </c>
      <c r="B721" s="32" t="s">
        <v>16</v>
      </c>
      <c r="C721" s="33">
        <v>0</v>
      </c>
      <c r="D721" s="32">
        <v>0</v>
      </c>
      <c r="E721" s="33">
        <v>0</v>
      </c>
      <c r="F721" s="32">
        <v>0</v>
      </c>
      <c r="G721" s="34"/>
      <c r="H721" s="33">
        <f t="shared" si="69"/>
        <v>0</v>
      </c>
      <c r="I721" s="32">
        <f t="shared" si="69"/>
        <v>0</v>
      </c>
      <c r="J721" s="33">
        <f>VLOOKUP(A721,[3]v_03_23!F:I,3,FALSE)</f>
        <v>1</v>
      </c>
      <c r="K721" s="32">
        <f>VLOOKUP(A721,[3]v_03_23!F:I,4,FALSE)</f>
        <v>20.41</v>
      </c>
      <c r="L721" s="31">
        <f t="shared" si="70"/>
        <v>-1</v>
      </c>
      <c r="M721" s="31">
        <f t="shared" si="70"/>
        <v>-20.41</v>
      </c>
      <c r="N721" s="35">
        <f t="shared" ref="N721:N782" si="72">M721/K721</f>
        <v>-1</v>
      </c>
    </row>
    <row r="722" spans="1:14" x14ac:dyDescent="0.25">
      <c r="A722" s="31" t="s">
        <v>19</v>
      </c>
      <c r="B722" s="32" t="s">
        <v>18</v>
      </c>
      <c r="C722" s="33">
        <f>VLOOKUP(A722,[3]v_03_24!F:I,3,FALSE)</f>
        <v>0</v>
      </c>
      <c r="D722" s="32">
        <f>VLOOKUP(A722,[3]v_03_24!F:I,4,FALSE)</f>
        <v>0</v>
      </c>
      <c r="E722" s="33">
        <v>0</v>
      </c>
      <c r="F722" s="32">
        <v>0</v>
      </c>
      <c r="G722" s="34"/>
      <c r="H722" s="33">
        <f t="shared" si="69"/>
        <v>0</v>
      </c>
      <c r="I722" s="32">
        <f t="shared" si="69"/>
        <v>0</v>
      </c>
      <c r="J722" s="33">
        <f>VLOOKUP(A722,[3]v_03_23!F:I,3,FALSE)</f>
        <v>5</v>
      </c>
      <c r="K722" s="32">
        <f>VLOOKUP(A722,[3]v_03_23!F:I,4,FALSE)</f>
        <v>42.39</v>
      </c>
      <c r="L722" s="31">
        <f t="shared" si="70"/>
        <v>-5</v>
      </c>
      <c r="M722" s="31">
        <f t="shared" si="70"/>
        <v>-42.39</v>
      </c>
      <c r="N722" s="35">
        <f t="shared" si="72"/>
        <v>-1</v>
      </c>
    </row>
    <row r="723" spans="1:14" x14ac:dyDescent="0.25">
      <c r="A723" s="31" t="s">
        <v>21</v>
      </c>
      <c r="B723" s="32" t="s">
        <v>20</v>
      </c>
      <c r="C723" s="33">
        <f>VLOOKUP(A723,[3]v_03_24!F:I,3,FALSE)</f>
        <v>6</v>
      </c>
      <c r="D723" s="32">
        <f>VLOOKUP(A723,[3]v_03_24!F:I,4,FALSE)</f>
        <v>147.9</v>
      </c>
      <c r="E723" s="33">
        <v>0</v>
      </c>
      <c r="F723" s="32">
        <v>0</v>
      </c>
      <c r="G723" s="34">
        <f t="shared" si="71"/>
        <v>0</v>
      </c>
      <c r="H723" s="33">
        <f t="shared" si="69"/>
        <v>6</v>
      </c>
      <c r="I723" s="32">
        <f t="shared" si="69"/>
        <v>147.9</v>
      </c>
      <c r="J723" s="33">
        <f>VLOOKUP(A723,[3]v_03_23!F:I,3,FALSE)</f>
        <v>4</v>
      </c>
      <c r="K723" s="32">
        <f>VLOOKUP(A723,[3]v_03_23!F:I,4,FALSE)</f>
        <v>95.58</v>
      </c>
      <c r="L723" s="31">
        <f t="shared" si="70"/>
        <v>2</v>
      </c>
      <c r="M723" s="31">
        <f t="shared" si="70"/>
        <v>52.320000000000007</v>
      </c>
      <c r="N723" s="35">
        <f t="shared" si="72"/>
        <v>0.54739485247959829</v>
      </c>
    </row>
    <row r="724" spans="1:14" x14ac:dyDescent="0.25">
      <c r="A724" s="31" t="s">
        <v>23</v>
      </c>
      <c r="B724" s="32" t="s">
        <v>22</v>
      </c>
      <c r="C724" s="33">
        <f>VLOOKUP(A724,[3]v_03_24!F:I,3,FALSE)</f>
        <v>275</v>
      </c>
      <c r="D724" s="32">
        <f>VLOOKUP(A724,[3]v_03_24!F:I,4,FALSE)</f>
        <v>5023.29</v>
      </c>
      <c r="E724" s="33">
        <v>0</v>
      </c>
      <c r="F724" s="32">
        <v>0</v>
      </c>
      <c r="G724" s="34">
        <f t="shared" si="71"/>
        <v>0</v>
      </c>
      <c r="H724" s="33">
        <f t="shared" si="69"/>
        <v>275</v>
      </c>
      <c r="I724" s="32">
        <f t="shared" si="69"/>
        <v>5023.29</v>
      </c>
      <c r="J724" s="33">
        <f>VLOOKUP(A724,[3]v_03_23!F:I,3,FALSE)</f>
        <v>-3</v>
      </c>
      <c r="K724" s="32">
        <f>VLOOKUP(A724,[3]v_03_23!F:I,4,FALSE)</f>
        <v>-48.93</v>
      </c>
      <c r="L724" s="31">
        <f t="shared" si="70"/>
        <v>278</v>
      </c>
      <c r="M724" s="31">
        <f t="shared" si="70"/>
        <v>5072.22</v>
      </c>
      <c r="N724" s="35">
        <f t="shared" si="72"/>
        <v>-103.66278356836297</v>
      </c>
    </row>
    <row r="725" spans="1:14" x14ac:dyDescent="0.25">
      <c r="A725" s="31" t="s">
        <v>25</v>
      </c>
      <c r="B725" s="32" t="s">
        <v>24</v>
      </c>
      <c r="C725" s="33">
        <f>VLOOKUP(A725,[3]v_03_24!F:I,3,FALSE)</f>
        <v>1</v>
      </c>
      <c r="D725" s="32">
        <f>VLOOKUP(A725,[3]v_03_24!F:I,4,FALSE)</f>
        <v>20.41</v>
      </c>
      <c r="E725" s="33">
        <f>VLOOKUP(A725,[3]s_03_24!E:G,2,FALSE)</f>
        <v>49</v>
      </c>
      <c r="F725" s="32">
        <f>VLOOKUP(A725,[3]s_03_24!E:G,3,FALSE)</f>
        <v>1612.100000000001</v>
      </c>
      <c r="G725" s="34">
        <f t="shared" si="71"/>
        <v>0.98749777949292805</v>
      </c>
      <c r="H725" s="33">
        <f t="shared" si="69"/>
        <v>50</v>
      </c>
      <c r="I725" s="32">
        <f t="shared" si="69"/>
        <v>1632.5100000000011</v>
      </c>
      <c r="J725" s="33">
        <f>VLOOKUP(A725,[3]v_03_23!F:I,3,FALSE)</f>
        <v>494</v>
      </c>
      <c r="K725" s="32">
        <f>VLOOKUP(A725,[3]v_03_23!F:I,4,FALSE)</f>
        <v>10082.540000000001</v>
      </c>
      <c r="L725" s="31">
        <f t="shared" si="70"/>
        <v>-444</v>
      </c>
      <c r="M725" s="31">
        <f t="shared" si="70"/>
        <v>-8450.0299999999988</v>
      </c>
      <c r="N725" s="35">
        <f t="shared" si="72"/>
        <v>-0.8380854427554959</v>
      </c>
    </row>
    <row r="726" spans="1:14" x14ac:dyDescent="0.25">
      <c r="A726" s="31" t="s">
        <v>27</v>
      </c>
      <c r="B726" s="32" t="s">
        <v>26</v>
      </c>
      <c r="C726" s="33">
        <f>VLOOKUP(A726,[3]v_03_24!F:I,3,FALSE)</f>
        <v>1</v>
      </c>
      <c r="D726" s="32">
        <f>VLOOKUP(A726,[3]v_03_24!F:I,4,FALSE)</f>
        <v>7.43</v>
      </c>
      <c r="E726" s="33">
        <v>0</v>
      </c>
      <c r="F726" s="32">
        <v>0</v>
      </c>
      <c r="G726" s="34">
        <f t="shared" si="71"/>
        <v>0</v>
      </c>
      <c r="H726" s="33">
        <f t="shared" si="69"/>
        <v>1</v>
      </c>
      <c r="I726" s="32">
        <f t="shared" si="69"/>
        <v>7.43</v>
      </c>
      <c r="J726" s="33">
        <v>0</v>
      </c>
      <c r="K726" s="32">
        <v>0</v>
      </c>
      <c r="L726" s="31">
        <f t="shared" si="70"/>
        <v>1</v>
      </c>
      <c r="M726" s="31">
        <f t="shared" si="70"/>
        <v>7.43</v>
      </c>
      <c r="N726" s="35"/>
    </row>
    <row r="727" spans="1:14" x14ac:dyDescent="0.25">
      <c r="A727" s="31" t="s">
        <v>29</v>
      </c>
      <c r="B727" s="32" t="s">
        <v>28</v>
      </c>
      <c r="C727" s="33">
        <f>VLOOKUP(A727,[3]v_03_24!F:I,3,FALSE)</f>
        <v>2</v>
      </c>
      <c r="D727" s="32">
        <f>VLOOKUP(A727,[3]v_03_24!F:I,4,FALSE)</f>
        <v>12.96</v>
      </c>
      <c r="E727" s="33">
        <v>0</v>
      </c>
      <c r="F727" s="32">
        <v>0</v>
      </c>
      <c r="G727" s="34">
        <f t="shared" si="71"/>
        <v>0</v>
      </c>
      <c r="H727" s="33">
        <f t="shared" si="69"/>
        <v>2</v>
      </c>
      <c r="I727" s="32">
        <f t="shared" si="69"/>
        <v>12.96</v>
      </c>
      <c r="J727" s="33">
        <f>VLOOKUP(A727,[3]v_03_23!F:I,3,FALSE)</f>
        <v>1</v>
      </c>
      <c r="K727" s="32">
        <f>VLOOKUP(A727,[3]v_03_23!F:I,4,FALSE)</f>
        <v>3.9</v>
      </c>
      <c r="L727" s="31">
        <f t="shared" si="70"/>
        <v>1</v>
      </c>
      <c r="M727" s="31">
        <f t="shared" si="70"/>
        <v>9.06</v>
      </c>
      <c r="N727" s="35">
        <f t="shared" si="72"/>
        <v>2.3230769230769233</v>
      </c>
    </row>
    <row r="728" spans="1:14" x14ac:dyDescent="0.25">
      <c r="A728" s="31" t="s">
        <v>31</v>
      </c>
      <c r="B728" s="32" t="s">
        <v>30</v>
      </c>
      <c r="C728" s="33">
        <f>VLOOKUP(A728,[3]v_03_24!F:I,3,FALSE)</f>
        <v>19</v>
      </c>
      <c r="D728" s="32">
        <f>VLOOKUP(A728,[3]v_03_24!F:I,4,FALSE)</f>
        <v>686.19</v>
      </c>
      <c r="E728" s="33">
        <v>0</v>
      </c>
      <c r="F728" s="32">
        <v>0</v>
      </c>
      <c r="G728" s="34">
        <f t="shared" si="71"/>
        <v>0</v>
      </c>
      <c r="H728" s="33">
        <f t="shared" si="69"/>
        <v>19</v>
      </c>
      <c r="I728" s="32">
        <f t="shared" si="69"/>
        <v>686.19</v>
      </c>
      <c r="J728" s="33">
        <f>VLOOKUP(A728,[3]v_03_23!F:I,3,FALSE)</f>
        <v>16</v>
      </c>
      <c r="K728" s="32">
        <f>VLOOKUP(A728,[3]v_03_23!F:I,4,FALSE)</f>
        <v>590.39</v>
      </c>
      <c r="L728" s="31">
        <f t="shared" si="70"/>
        <v>3</v>
      </c>
      <c r="M728" s="31">
        <f t="shared" si="70"/>
        <v>95.800000000000068</v>
      </c>
      <c r="N728" s="35">
        <f t="shared" si="72"/>
        <v>0.16226562103016662</v>
      </c>
    </row>
    <row r="729" spans="1:14" x14ac:dyDescent="0.25">
      <c r="A729" s="31" t="s">
        <v>33</v>
      </c>
      <c r="B729" s="32" t="s">
        <v>32</v>
      </c>
      <c r="C729" s="33">
        <f>VLOOKUP(A729,[3]v_03_24!F:I,3,FALSE)</f>
        <v>15</v>
      </c>
      <c r="D729" s="32">
        <f>VLOOKUP(A729,[3]v_03_24!F:I,4,FALSE)</f>
        <v>209.45</v>
      </c>
      <c r="E729" s="33">
        <f>VLOOKUP(A729,[3]s_03_24!E:G,2,FALSE)</f>
        <v>137</v>
      </c>
      <c r="F729" s="32">
        <f>VLOOKUP(A729,[3]s_03_24!E:G,3,FALSE)</f>
        <v>2722.7100000000064</v>
      </c>
      <c r="G729" s="34">
        <f t="shared" si="71"/>
        <v>0.92856801811633771</v>
      </c>
      <c r="H729" s="33">
        <f t="shared" si="69"/>
        <v>152</v>
      </c>
      <c r="I729" s="32">
        <f t="shared" si="69"/>
        <v>2932.1600000000062</v>
      </c>
      <c r="J729" s="33">
        <f>VLOOKUP(A729,[3]v_03_23!F:I,3,FALSE)</f>
        <v>329</v>
      </c>
      <c r="K729" s="32">
        <f>VLOOKUP(A729,[3]v_03_23!F:I,4,FALSE)</f>
        <v>5312.75</v>
      </c>
      <c r="L729" s="31">
        <f t="shared" si="70"/>
        <v>-177</v>
      </c>
      <c r="M729" s="31">
        <f t="shared" si="70"/>
        <v>-2380.5899999999938</v>
      </c>
      <c r="N729" s="35">
        <f t="shared" si="72"/>
        <v>-0.44808997223659947</v>
      </c>
    </row>
    <row r="730" spans="1:14" x14ac:dyDescent="0.25">
      <c r="A730" s="31" t="s">
        <v>35</v>
      </c>
      <c r="B730" s="32" t="s">
        <v>34</v>
      </c>
      <c r="C730" s="33">
        <f>VLOOKUP(A730,[3]v_03_24!F:I,3,FALSE)</f>
        <v>1</v>
      </c>
      <c r="D730" s="32">
        <f>VLOOKUP(A730,[3]v_03_24!F:I,4,FALSE)</f>
        <v>15.05</v>
      </c>
      <c r="E730" s="33">
        <v>0</v>
      </c>
      <c r="F730" s="32">
        <v>0</v>
      </c>
      <c r="G730" s="34">
        <f t="shared" si="71"/>
        <v>0</v>
      </c>
      <c r="H730" s="33">
        <f t="shared" si="69"/>
        <v>1</v>
      </c>
      <c r="I730" s="32">
        <f t="shared" si="69"/>
        <v>15.05</v>
      </c>
      <c r="J730" s="33">
        <v>0</v>
      </c>
      <c r="K730" s="32">
        <v>0</v>
      </c>
      <c r="L730" s="31">
        <f t="shared" si="70"/>
        <v>1</v>
      </c>
      <c r="M730" s="31">
        <f t="shared" si="70"/>
        <v>15.05</v>
      </c>
      <c r="N730" s="35"/>
    </row>
    <row r="731" spans="1:14" x14ac:dyDescent="0.25">
      <c r="A731" s="31" t="s">
        <v>37</v>
      </c>
      <c r="B731" s="32" t="s">
        <v>36</v>
      </c>
      <c r="C731" s="33">
        <f>VLOOKUP(A731,[3]v_03_24!F:I,3,FALSE)</f>
        <v>0</v>
      </c>
      <c r="D731" s="32">
        <f>VLOOKUP(A731,[3]v_03_24!F:I,4,FALSE)</f>
        <v>0</v>
      </c>
      <c r="E731" s="33">
        <v>0</v>
      </c>
      <c r="F731" s="32">
        <v>0</v>
      </c>
      <c r="G731" s="34"/>
      <c r="H731" s="33">
        <f t="shared" si="69"/>
        <v>0</v>
      </c>
      <c r="I731" s="32">
        <f t="shared" si="69"/>
        <v>0</v>
      </c>
      <c r="J731" s="33">
        <v>0</v>
      </c>
      <c r="K731" s="32">
        <v>0</v>
      </c>
      <c r="L731" s="31">
        <f t="shared" si="70"/>
        <v>0</v>
      </c>
      <c r="M731" s="31">
        <f t="shared" si="70"/>
        <v>0</v>
      </c>
      <c r="N731" s="35"/>
    </row>
    <row r="732" spans="1:14" x14ac:dyDescent="0.25">
      <c r="A732" s="31" t="s">
        <v>39</v>
      </c>
      <c r="B732" s="32" t="s">
        <v>38</v>
      </c>
      <c r="C732" s="33">
        <v>0</v>
      </c>
      <c r="D732" s="32">
        <v>0</v>
      </c>
      <c r="E732" s="33">
        <f>VLOOKUP(A732,[3]s_03_24!E:G,2,FALSE)</f>
        <v>1</v>
      </c>
      <c r="F732" s="32">
        <f>VLOOKUP(A732,[3]s_03_24!E:G,3,FALSE)</f>
        <v>46.9</v>
      </c>
      <c r="G732" s="34">
        <f t="shared" si="71"/>
        <v>1</v>
      </c>
      <c r="H732" s="33">
        <f t="shared" si="69"/>
        <v>1</v>
      </c>
      <c r="I732" s="32">
        <f t="shared" si="69"/>
        <v>46.9</v>
      </c>
      <c r="J732" s="33">
        <v>0</v>
      </c>
      <c r="K732" s="32">
        <v>0</v>
      </c>
      <c r="L732" s="31">
        <f t="shared" si="70"/>
        <v>1</v>
      </c>
      <c r="M732" s="31">
        <f t="shared" si="70"/>
        <v>46.9</v>
      </c>
      <c r="N732" s="35"/>
    </row>
    <row r="733" spans="1:14" x14ac:dyDescent="0.25">
      <c r="A733" s="31" t="s">
        <v>41</v>
      </c>
      <c r="B733" s="32" t="s">
        <v>40</v>
      </c>
      <c r="C733" s="33">
        <f>VLOOKUP(A733,[3]v_03_24!F:I,3,FALSE)</f>
        <v>1</v>
      </c>
      <c r="D733" s="32">
        <f>VLOOKUP(A733,[3]v_03_24!F:I,4,FALSE)</f>
        <v>86.86</v>
      </c>
      <c r="E733" s="33">
        <v>0</v>
      </c>
      <c r="F733" s="32">
        <v>0</v>
      </c>
      <c r="G733" s="34">
        <f t="shared" si="71"/>
        <v>0</v>
      </c>
      <c r="H733" s="33">
        <f t="shared" si="69"/>
        <v>1</v>
      </c>
      <c r="I733" s="32">
        <f t="shared" si="69"/>
        <v>86.86</v>
      </c>
      <c r="J733" s="33">
        <f>VLOOKUP(A733,[3]v_03_23!F:I,3,FALSE)</f>
        <v>11</v>
      </c>
      <c r="K733" s="32">
        <f>VLOOKUP(A733,[3]v_03_23!F:I,4,FALSE)</f>
        <v>903.8</v>
      </c>
      <c r="L733" s="31">
        <f t="shared" si="70"/>
        <v>-10</v>
      </c>
      <c r="M733" s="31">
        <f t="shared" si="70"/>
        <v>-816.93999999999994</v>
      </c>
      <c r="N733" s="35">
        <f t="shared" si="72"/>
        <v>-0.90389466696171716</v>
      </c>
    </row>
    <row r="734" spans="1:14" x14ac:dyDescent="0.25">
      <c r="A734" s="31" t="s">
        <v>43</v>
      </c>
      <c r="B734" s="32" t="s">
        <v>42</v>
      </c>
      <c r="C734" s="33">
        <f>VLOOKUP(A734,[3]v_03_24!F:I,3,FALSE)</f>
        <v>14</v>
      </c>
      <c r="D734" s="32">
        <f>VLOOKUP(A734,[3]v_03_24!F:I,4,FALSE)</f>
        <v>260.2</v>
      </c>
      <c r="E734" s="33">
        <f>VLOOKUP(A734,[3]s_03_24!E:G,2,FALSE)</f>
        <v>531</v>
      </c>
      <c r="F734" s="32">
        <f>VLOOKUP(A734,[3]s_03_24!E:G,3,FALSE)</f>
        <v>10557.339999999898</v>
      </c>
      <c r="G734" s="34">
        <f t="shared" si="71"/>
        <v>0.97594647211842955</v>
      </c>
      <c r="H734" s="33">
        <f t="shared" si="69"/>
        <v>545</v>
      </c>
      <c r="I734" s="32">
        <f t="shared" si="69"/>
        <v>10817.539999999899</v>
      </c>
      <c r="J734" s="33">
        <f>VLOOKUP(A734,[3]v_03_23!F:I,3,FALSE)</f>
        <v>1296</v>
      </c>
      <c r="K734" s="32">
        <f>VLOOKUP(A734,[3]v_03_23!F:I,4,FALSE)</f>
        <v>18280.61</v>
      </c>
      <c r="L734" s="31">
        <f t="shared" si="70"/>
        <v>-751</v>
      </c>
      <c r="M734" s="31">
        <f t="shared" si="70"/>
        <v>-7463.0700000001016</v>
      </c>
      <c r="N734" s="35">
        <f t="shared" si="72"/>
        <v>-0.40825059995263296</v>
      </c>
    </row>
    <row r="735" spans="1:14" x14ac:dyDescent="0.25">
      <c r="A735" s="31" t="s">
        <v>45</v>
      </c>
      <c r="B735" s="32" t="s">
        <v>44</v>
      </c>
      <c r="C735" s="33">
        <v>0</v>
      </c>
      <c r="D735" s="32">
        <v>0</v>
      </c>
      <c r="E735" s="33">
        <v>0</v>
      </c>
      <c r="F735" s="32">
        <v>0</v>
      </c>
      <c r="G735" s="34"/>
      <c r="H735" s="33">
        <f t="shared" si="69"/>
        <v>0</v>
      </c>
      <c r="I735" s="32">
        <f t="shared" si="69"/>
        <v>0</v>
      </c>
      <c r="J735" s="33">
        <v>0</v>
      </c>
      <c r="K735" s="32">
        <v>0</v>
      </c>
      <c r="L735" s="31">
        <f t="shared" si="70"/>
        <v>0</v>
      </c>
      <c r="M735" s="31">
        <f t="shared" si="70"/>
        <v>0</v>
      </c>
      <c r="N735" s="35"/>
    </row>
    <row r="736" spans="1:14" x14ac:dyDescent="0.25">
      <c r="A736" s="31" t="s">
        <v>47</v>
      </c>
      <c r="B736" s="32" t="s">
        <v>46</v>
      </c>
      <c r="C736" s="33">
        <f>VLOOKUP(A736,[3]v_03_24!F:I,3,FALSE)</f>
        <v>1</v>
      </c>
      <c r="D736" s="32">
        <f>VLOOKUP(A736,[3]v_03_24!F:I,4,FALSE)</f>
        <v>35.32</v>
      </c>
      <c r="E736" s="33">
        <f>VLOOKUP(A736,[3]s_03_24!E:G,2,FALSE)</f>
        <v>139</v>
      </c>
      <c r="F736" s="32">
        <f>VLOOKUP(A736,[3]s_03_24!E:G,3,FALSE)</f>
        <v>4844.53</v>
      </c>
      <c r="G736" s="34">
        <f t="shared" si="71"/>
        <v>0.99276207260469074</v>
      </c>
      <c r="H736" s="33">
        <f t="shared" si="69"/>
        <v>140</v>
      </c>
      <c r="I736" s="32">
        <f t="shared" si="69"/>
        <v>4879.8499999999995</v>
      </c>
      <c r="J736" s="33">
        <f>VLOOKUP(A736,[3]v_03_23!F:I,3,FALSE)</f>
        <v>244</v>
      </c>
      <c r="K736" s="32">
        <f>VLOOKUP(A736,[3]v_03_23!F:I,4,FALSE)</f>
        <v>7663.28</v>
      </c>
      <c r="L736" s="31">
        <f t="shared" si="70"/>
        <v>-104</v>
      </c>
      <c r="M736" s="31">
        <f t="shared" si="70"/>
        <v>-2783.4300000000003</v>
      </c>
      <c r="N736" s="35">
        <f t="shared" si="72"/>
        <v>-0.3632165339123718</v>
      </c>
    </row>
    <row r="737" spans="1:14" x14ac:dyDescent="0.25">
      <c r="A737" s="31" t="s">
        <v>49</v>
      </c>
      <c r="B737" s="32" t="s">
        <v>48</v>
      </c>
      <c r="C737" s="33">
        <f>VLOOKUP(A737,[3]v_03_24!F:I,3,FALSE)</f>
        <v>2</v>
      </c>
      <c r="D737" s="32">
        <f>VLOOKUP(A737,[3]v_03_24!F:I,4,FALSE)</f>
        <v>27.28</v>
      </c>
      <c r="E737" s="33">
        <v>0</v>
      </c>
      <c r="F737" s="32">
        <v>0</v>
      </c>
      <c r="G737" s="34">
        <f t="shared" si="71"/>
        <v>0</v>
      </c>
      <c r="H737" s="33">
        <f t="shared" si="69"/>
        <v>2</v>
      </c>
      <c r="I737" s="32">
        <f t="shared" si="69"/>
        <v>27.28</v>
      </c>
      <c r="J737" s="33">
        <f>VLOOKUP(A737,[3]v_03_23!F:I,3,FALSE)</f>
        <v>9</v>
      </c>
      <c r="K737" s="32">
        <f>VLOOKUP(A737,[3]v_03_23!F:I,4,FALSE)</f>
        <v>105.59</v>
      </c>
      <c r="L737" s="31">
        <f t="shared" si="70"/>
        <v>-7</v>
      </c>
      <c r="M737" s="31">
        <f t="shared" si="70"/>
        <v>-78.31</v>
      </c>
      <c r="N737" s="35">
        <f t="shared" si="72"/>
        <v>-0.74164220096600053</v>
      </c>
    </row>
    <row r="738" spans="1:14" x14ac:dyDescent="0.25">
      <c r="A738" s="31" t="s">
        <v>51</v>
      </c>
      <c r="B738" s="32" t="s">
        <v>50</v>
      </c>
      <c r="C738" s="33">
        <f>VLOOKUP(A738,[3]v_03_24!F:I,3,FALSE)</f>
        <v>2</v>
      </c>
      <c r="D738" s="32">
        <f>VLOOKUP(A738,[3]v_03_24!F:I,4,FALSE)</f>
        <v>31.65</v>
      </c>
      <c r="E738" s="33">
        <v>0</v>
      </c>
      <c r="F738" s="32">
        <v>0</v>
      </c>
      <c r="G738" s="34">
        <f t="shared" si="71"/>
        <v>0</v>
      </c>
      <c r="H738" s="33">
        <f t="shared" si="69"/>
        <v>2</v>
      </c>
      <c r="I738" s="32">
        <f t="shared" si="69"/>
        <v>31.65</v>
      </c>
      <c r="J738" s="33">
        <f>VLOOKUP(A738,[3]v_03_23!F:I,3,FALSE)</f>
        <v>6</v>
      </c>
      <c r="K738" s="32">
        <f>VLOOKUP(A738,[3]v_03_23!F:I,4,FALSE)</f>
        <v>90.34</v>
      </c>
      <c r="L738" s="31">
        <f t="shared" si="70"/>
        <v>-4</v>
      </c>
      <c r="M738" s="31">
        <f t="shared" si="70"/>
        <v>-58.690000000000005</v>
      </c>
      <c r="N738" s="35">
        <f t="shared" si="72"/>
        <v>-0.64965685189284927</v>
      </c>
    </row>
    <row r="739" spans="1:14" x14ac:dyDescent="0.25">
      <c r="A739" s="31" t="s">
        <v>53</v>
      </c>
      <c r="B739" s="32" t="s">
        <v>52</v>
      </c>
      <c r="C739" s="33">
        <f>VLOOKUP(A739,[3]v_03_24!F:I,3,FALSE)</f>
        <v>0</v>
      </c>
      <c r="D739" s="32">
        <f>VLOOKUP(A739,[3]v_03_24!F:I,4,FALSE)</f>
        <v>0</v>
      </c>
      <c r="E739" s="33">
        <v>0</v>
      </c>
      <c r="F739" s="32">
        <v>0</v>
      </c>
      <c r="G739" s="34"/>
      <c r="H739" s="33">
        <f t="shared" si="69"/>
        <v>0</v>
      </c>
      <c r="I739" s="32">
        <f t="shared" si="69"/>
        <v>0</v>
      </c>
      <c r="J739" s="33">
        <v>0</v>
      </c>
      <c r="K739" s="32">
        <v>0</v>
      </c>
      <c r="L739" s="31">
        <f t="shared" si="70"/>
        <v>0</v>
      </c>
      <c r="M739" s="31">
        <f t="shared" si="70"/>
        <v>0</v>
      </c>
      <c r="N739" s="35"/>
    </row>
    <row r="740" spans="1:14" x14ac:dyDescent="0.25">
      <c r="A740" s="31" t="s">
        <v>55</v>
      </c>
      <c r="B740" s="32" t="s">
        <v>54</v>
      </c>
      <c r="C740" s="33">
        <f>VLOOKUP(A740,[3]v_03_24!F:I,3,FALSE)</f>
        <v>49</v>
      </c>
      <c r="D740" s="32">
        <f>VLOOKUP(A740,[3]v_03_24!F:I,4,FALSE)</f>
        <v>1395.95</v>
      </c>
      <c r="E740" s="33">
        <f>VLOOKUP(A740,[3]s_03_24!E:G,2,FALSE)</f>
        <v>1</v>
      </c>
      <c r="F740" s="32">
        <f>VLOOKUP(A740,[3]s_03_24!E:G,3,FALSE)</f>
        <v>39.9</v>
      </c>
      <c r="G740" s="34">
        <f t="shared" si="71"/>
        <v>2.7788418010237834E-2</v>
      </c>
      <c r="H740" s="33">
        <f t="shared" si="69"/>
        <v>50</v>
      </c>
      <c r="I740" s="32">
        <f t="shared" si="69"/>
        <v>1435.8500000000001</v>
      </c>
      <c r="J740" s="33">
        <f>VLOOKUP(A740,[3]v_03_23!F:I,3,FALSE)</f>
        <v>29</v>
      </c>
      <c r="K740" s="32">
        <f>VLOOKUP(A740,[3]v_03_23!F:I,4,FALSE)</f>
        <v>710.79</v>
      </c>
      <c r="L740" s="31">
        <f t="shared" si="70"/>
        <v>21</v>
      </c>
      <c r="M740" s="31">
        <f t="shared" si="70"/>
        <v>725.06000000000017</v>
      </c>
      <c r="N740" s="35">
        <f t="shared" si="72"/>
        <v>1.0200762531830783</v>
      </c>
    </row>
    <row r="741" spans="1:14" x14ac:dyDescent="0.25">
      <c r="A741" s="31" t="s">
        <v>57</v>
      </c>
      <c r="B741" s="32" t="s">
        <v>56</v>
      </c>
      <c r="C741" s="33">
        <v>0</v>
      </c>
      <c r="D741" s="32">
        <v>0</v>
      </c>
      <c r="E741" s="33">
        <f>VLOOKUP(A741,[3]s_03_24!E:G,2,FALSE)</f>
        <v>16</v>
      </c>
      <c r="F741" s="32">
        <f>VLOOKUP(A741,[3]s_03_24!E:G,3,FALSE)</f>
        <v>798.39999999999975</v>
      </c>
      <c r="G741" s="34">
        <f t="shared" si="71"/>
        <v>1</v>
      </c>
      <c r="H741" s="33">
        <f t="shared" si="69"/>
        <v>16</v>
      </c>
      <c r="I741" s="32">
        <f t="shared" si="69"/>
        <v>798.39999999999975</v>
      </c>
      <c r="J741" s="33">
        <v>0</v>
      </c>
      <c r="K741" s="32">
        <v>0</v>
      </c>
      <c r="L741" s="31">
        <f t="shared" si="70"/>
        <v>16</v>
      </c>
      <c r="M741" s="31">
        <f t="shared" si="70"/>
        <v>798.39999999999975</v>
      </c>
      <c r="N741" s="35"/>
    </row>
    <row r="742" spans="1:14" x14ac:dyDescent="0.25">
      <c r="A742" s="31" t="s">
        <v>59</v>
      </c>
      <c r="B742" s="32" t="s">
        <v>58</v>
      </c>
      <c r="C742" s="33">
        <f>VLOOKUP(A742,[3]v_03_24!F:I,3,FALSE)</f>
        <v>14</v>
      </c>
      <c r="D742" s="32">
        <f>VLOOKUP(A742,[3]v_03_24!F:I,4,FALSE)</f>
        <v>1136.27</v>
      </c>
      <c r="E742" s="33">
        <v>0</v>
      </c>
      <c r="F742" s="32">
        <v>0</v>
      </c>
      <c r="G742" s="34">
        <f t="shared" si="71"/>
        <v>0</v>
      </c>
      <c r="H742" s="33">
        <f t="shared" si="69"/>
        <v>14</v>
      </c>
      <c r="I742" s="32">
        <f t="shared" si="69"/>
        <v>1136.27</v>
      </c>
      <c r="J742" s="33">
        <f>VLOOKUP(A742,[3]v_03_23!F:I,3,FALSE)</f>
        <v>68</v>
      </c>
      <c r="K742" s="32">
        <f>VLOOKUP(A742,[3]v_03_23!F:I,4,FALSE)</f>
        <v>5010.92</v>
      </c>
      <c r="L742" s="31">
        <f t="shared" si="70"/>
        <v>-54</v>
      </c>
      <c r="M742" s="31">
        <f t="shared" si="70"/>
        <v>-3874.65</v>
      </c>
      <c r="N742" s="35">
        <f t="shared" si="72"/>
        <v>-0.77324124112937342</v>
      </c>
    </row>
    <row r="743" spans="1:14" x14ac:dyDescent="0.25">
      <c r="A743" s="31" t="s">
        <v>61</v>
      </c>
      <c r="B743" s="32" t="s">
        <v>60</v>
      </c>
      <c r="C743" s="33">
        <f>VLOOKUP(A743,[3]v_03_24!F:I,3,FALSE)</f>
        <v>2</v>
      </c>
      <c r="D743" s="32">
        <f>VLOOKUP(A743,[3]v_03_24!F:I,4,FALSE)</f>
        <v>40.82</v>
      </c>
      <c r="E743" s="33">
        <v>0</v>
      </c>
      <c r="F743" s="32">
        <v>0</v>
      </c>
      <c r="G743" s="34">
        <f t="shared" si="71"/>
        <v>0</v>
      </c>
      <c r="H743" s="33">
        <f t="shared" si="69"/>
        <v>2</v>
      </c>
      <c r="I743" s="32">
        <f t="shared" si="69"/>
        <v>40.82</v>
      </c>
      <c r="J743" s="33">
        <f>VLOOKUP(A743,[3]v_03_23!F:I,3,FALSE)</f>
        <v>-2</v>
      </c>
      <c r="K743" s="32">
        <f>VLOOKUP(A743,[3]v_03_23!F:I,4,FALSE)</f>
        <v>-33.5</v>
      </c>
      <c r="L743" s="31">
        <f t="shared" si="70"/>
        <v>4</v>
      </c>
      <c r="M743" s="31">
        <f t="shared" si="70"/>
        <v>74.319999999999993</v>
      </c>
      <c r="N743" s="35">
        <f t="shared" si="72"/>
        <v>-2.2185074626865671</v>
      </c>
    </row>
    <row r="744" spans="1:14" x14ac:dyDescent="0.25">
      <c r="A744" s="31" t="s">
        <v>63</v>
      </c>
      <c r="B744" s="32" t="s">
        <v>62</v>
      </c>
      <c r="C744" s="33">
        <f>VLOOKUP(A744,[3]v_03_24!F:I,3,FALSE)</f>
        <v>5</v>
      </c>
      <c r="D744" s="32">
        <f>VLOOKUP(A744,[3]v_03_24!F:I,4,FALSE)</f>
        <v>129.21</v>
      </c>
      <c r="E744" s="33">
        <v>0</v>
      </c>
      <c r="F744" s="32">
        <v>0</v>
      </c>
      <c r="G744" s="34">
        <f t="shared" si="71"/>
        <v>0</v>
      </c>
      <c r="H744" s="33">
        <f t="shared" si="69"/>
        <v>5</v>
      </c>
      <c r="I744" s="32">
        <f t="shared" si="69"/>
        <v>129.21</v>
      </c>
      <c r="J744" s="33">
        <f>VLOOKUP(A744,[3]v_03_23!F:I,3,FALSE)</f>
        <v>17</v>
      </c>
      <c r="K744" s="32">
        <f>VLOOKUP(A744,[3]v_03_23!F:I,4,FALSE)</f>
        <v>351.12</v>
      </c>
      <c r="L744" s="31">
        <f t="shared" si="70"/>
        <v>-12</v>
      </c>
      <c r="M744" s="31">
        <f t="shared" si="70"/>
        <v>-221.91</v>
      </c>
      <c r="N744" s="35">
        <f t="shared" si="72"/>
        <v>-0.63200615174299379</v>
      </c>
    </row>
    <row r="745" spans="1:14" x14ac:dyDescent="0.25">
      <c r="A745" s="31" t="s">
        <v>65</v>
      </c>
      <c r="B745" s="32" t="s">
        <v>64</v>
      </c>
      <c r="C745" s="33">
        <f>VLOOKUP(A745,[3]v_03_24!F:I,3,FALSE)</f>
        <v>0</v>
      </c>
      <c r="D745" s="32">
        <f>VLOOKUP(A745,[3]v_03_24!F:I,4,FALSE)</f>
        <v>0</v>
      </c>
      <c r="E745" s="33">
        <v>0</v>
      </c>
      <c r="F745" s="32">
        <v>0</v>
      </c>
      <c r="G745" s="34"/>
      <c r="H745" s="33">
        <f t="shared" si="69"/>
        <v>0</v>
      </c>
      <c r="I745" s="32">
        <f t="shared" si="69"/>
        <v>0</v>
      </c>
      <c r="J745" s="33">
        <f>VLOOKUP(A745,[3]v_03_23!F:I,3,FALSE)</f>
        <v>0</v>
      </c>
      <c r="K745" s="32">
        <f>VLOOKUP(A745,[3]v_03_23!F:I,4,FALSE)</f>
        <v>0</v>
      </c>
      <c r="L745" s="31">
        <f t="shared" si="70"/>
        <v>0</v>
      </c>
      <c r="M745" s="31">
        <f t="shared" si="70"/>
        <v>0</v>
      </c>
      <c r="N745" s="35"/>
    </row>
    <row r="746" spans="1:14" x14ac:dyDescent="0.25">
      <c r="A746" s="31" t="s">
        <v>67</v>
      </c>
      <c r="B746" s="32" t="s">
        <v>66</v>
      </c>
      <c r="C746" s="33">
        <v>0</v>
      </c>
      <c r="D746" s="32">
        <v>0</v>
      </c>
      <c r="E746" s="33">
        <v>0</v>
      </c>
      <c r="F746" s="32">
        <v>0</v>
      </c>
      <c r="G746" s="34"/>
      <c r="H746" s="33">
        <f t="shared" si="69"/>
        <v>0</v>
      </c>
      <c r="I746" s="32">
        <f t="shared" si="69"/>
        <v>0</v>
      </c>
      <c r="J746" s="33">
        <v>0</v>
      </c>
      <c r="K746" s="32">
        <v>0</v>
      </c>
      <c r="L746" s="31">
        <f t="shared" si="70"/>
        <v>0</v>
      </c>
      <c r="M746" s="31">
        <f t="shared" si="70"/>
        <v>0</v>
      </c>
      <c r="N746" s="35"/>
    </row>
    <row r="747" spans="1:14" x14ac:dyDescent="0.25">
      <c r="A747" s="31" t="s">
        <v>69</v>
      </c>
      <c r="B747" s="32" t="s">
        <v>68</v>
      </c>
      <c r="C747" s="33">
        <v>0</v>
      </c>
      <c r="D747" s="32">
        <v>0</v>
      </c>
      <c r="E747" s="33">
        <f>VLOOKUP(A747,[3]s_03_24!E:G,2,FALSE)</f>
        <v>6</v>
      </c>
      <c r="F747" s="32">
        <f>VLOOKUP(A747,[3]s_03_24!E:G,3,FALSE)</f>
        <v>232.2</v>
      </c>
      <c r="G747" s="34">
        <f t="shared" si="71"/>
        <v>1</v>
      </c>
      <c r="H747" s="33">
        <f t="shared" si="69"/>
        <v>6</v>
      </c>
      <c r="I747" s="32">
        <f t="shared" si="69"/>
        <v>232.2</v>
      </c>
      <c r="J747" s="33">
        <v>0</v>
      </c>
      <c r="K747" s="32">
        <v>0</v>
      </c>
      <c r="L747" s="31">
        <f t="shared" si="70"/>
        <v>6</v>
      </c>
      <c r="M747" s="31">
        <f t="shared" si="70"/>
        <v>232.2</v>
      </c>
      <c r="N747" s="35"/>
    </row>
    <row r="748" spans="1:14" x14ac:dyDescent="0.25">
      <c r="A748" s="31" t="s">
        <v>71</v>
      </c>
      <c r="B748" s="32" t="s">
        <v>70</v>
      </c>
      <c r="C748" s="33">
        <f>VLOOKUP(A748,[3]v_03_24!F:I,3,FALSE)</f>
        <v>0</v>
      </c>
      <c r="D748" s="32">
        <f>VLOOKUP(A748,[3]v_03_24!F:I,4,FALSE)</f>
        <v>0</v>
      </c>
      <c r="E748" s="33">
        <v>0</v>
      </c>
      <c r="F748" s="32">
        <v>0</v>
      </c>
      <c r="G748" s="34"/>
      <c r="H748" s="33">
        <f t="shared" si="69"/>
        <v>0</v>
      </c>
      <c r="I748" s="32">
        <f t="shared" si="69"/>
        <v>0</v>
      </c>
      <c r="J748" s="33">
        <f>VLOOKUP(A748,[3]v_03_23!F:I,3,FALSE)</f>
        <v>3</v>
      </c>
      <c r="K748" s="32">
        <f>VLOOKUP(A748,[3]v_03_23!F:I,4,FALSE)</f>
        <v>62.68</v>
      </c>
      <c r="L748" s="31">
        <f t="shared" si="70"/>
        <v>-3</v>
      </c>
      <c r="M748" s="31">
        <f t="shared" si="70"/>
        <v>-62.68</v>
      </c>
      <c r="N748" s="35">
        <f t="shared" si="72"/>
        <v>-1</v>
      </c>
    </row>
    <row r="749" spans="1:14" x14ac:dyDescent="0.25">
      <c r="A749" s="31" t="s">
        <v>73</v>
      </c>
      <c r="B749" s="32" t="s">
        <v>72</v>
      </c>
      <c r="C749" s="33">
        <f>VLOOKUP(A749,[3]v_03_24!F:I,3,FALSE)</f>
        <v>17</v>
      </c>
      <c r="D749" s="32">
        <f>VLOOKUP(A749,[3]v_03_24!F:I,4,FALSE)</f>
        <v>814.3</v>
      </c>
      <c r="E749" s="33">
        <v>0</v>
      </c>
      <c r="F749" s="32">
        <v>0</v>
      </c>
      <c r="G749" s="34">
        <f t="shared" si="71"/>
        <v>0</v>
      </c>
      <c r="H749" s="33">
        <f t="shared" si="69"/>
        <v>17</v>
      </c>
      <c r="I749" s="32">
        <f t="shared" si="69"/>
        <v>814.3</v>
      </c>
      <c r="J749" s="33">
        <f>VLOOKUP(A749,[3]v_03_23!F:I,3,FALSE)</f>
        <v>24</v>
      </c>
      <c r="K749" s="32">
        <f>VLOOKUP(A749,[3]v_03_23!F:I,4,FALSE)</f>
        <v>1436.05</v>
      </c>
      <c r="L749" s="31">
        <f t="shared" si="70"/>
        <v>-7</v>
      </c>
      <c r="M749" s="31">
        <f t="shared" si="70"/>
        <v>-621.75</v>
      </c>
      <c r="N749" s="35">
        <f t="shared" si="72"/>
        <v>-0.4329584624490791</v>
      </c>
    </row>
    <row r="750" spans="1:14" x14ac:dyDescent="0.25">
      <c r="A750" s="31" t="s">
        <v>75</v>
      </c>
      <c r="B750" s="32" t="s">
        <v>74</v>
      </c>
      <c r="C750" s="33">
        <v>0</v>
      </c>
      <c r="D750" s="32">
        <v>0</v>
      </c>
      <c r="E750" s="33">
        <v>0</v>
      </c>
      <c r="F750" s="32">
        <v>0</v>
      </c>
      <c r="G750" s="34"/>
      <c r="H750" s="33">
        <f t="shared" si="69"/>
        <v>0</v>
      </c>
      <c r="I750" s="32">
        <f t="shared" si="69"/>
        <v>0</v>
      </c>
      <c r="J750" s="33">
        <v>0</v>
      </c>
      <c r="K750" s="32">
        <v>0</v>
      </c>
      <c r="L750" s="31">
        <f t="shared" si="70"/>
        <v>0</v>
      </c>
      <c r="M750" s="31">
        <f t="shared" si="70"/>
        <v>0</v>
      </c>
      <c r="N750" s="35"/>
    </row>
    <row r="751" spans="1:14" x14ac:dyDescent="0.25">
      <c r="A751" s="31" t="s">
        <v>77</v>
      </c>
      <c r="B751" s="32" t="s">
        <v>76</v>
      </c>
      <c r="C751" s="33">
        <f>VLOOKUP(A751,[3]v_03_24!F:I,3,FALSE)</f>
        <v>162</v>
      </c>
      <c r="D751" s="32">
        <f>VLOOKUP(A751,[3]v_03_24!F:I,4,FALSE)</f>
        <v>1977.32</v>
      </c>
      <c r="E751" s="33">
        <v>0</v>
      </c>
      <c r="F751" s="32">
        <v>0</v>
      </c>
      <c r="G751" s="34">
        <f t="shared" si="71"/>
        <v>0</v>
      </c>
      <c r="H751" s="33">
        <f t="shared" si="69"/>
        <v>162</v>
      </c>
      <c r="I751" s="32">
        <f t="shared" si="69"/>
        <v>1977.32</v>
      </c>
      <c r="J751" s="33">
        <f>VLOOKUP(A751,[3]v_03_23!F:I,3,FALSE)</f>
        <v>97</v>
      </c>
      <c r="K751" s="32">
        <f>VLOOKUP(A751,[3]v_03_23!F:I,4,FALSE)</f>
        <v>866.21</v>
      </c>
      <c r="L751" s="31">
        <f t="shared" si="70"/>
        <v>65</v>
      </c>
      <c r="M751" s="31">
        <f t="shared" si="70"/>
        <v>1111.1099999999999</v>
      </c>
      <c r="N751" s="35">
        <f t="shared" si="72"/>
        <v>1.282725897876958</v>
      </c>
    </row>
    <row r="752" spans="1:14" x14ac:dyDescent="0.25">
      <c r="A752" s="31" t="s">
        <v>79</v>
      </c>
      <c r="B752" s="32" t="s">
        <v>78</v>
      </c>
      <c r="C752" s="33">
        <f>VLOOKUP(A752,[3]v_03_24!F:I,3,FALSE)</f>
        <v>40</v>
      </c>
      <c r="D752" s="32">
        <f>VLOOKUP(A752,[3]v_03_24!F:I,4,FALSE)</f>
        <v>573.30999999999995</v>
      </c>
      <c r="E752" s="33">
        <v>0</v>
      </c>
      <c r="F752" s="32">
        <v>0</v>
      </c>
      <c r="G752" s="34">
        <f t="shared" si="71"/>
        <v>0</v>
      </c>
      <c r="H752" s="33">
        <f t="shared" si="69"/>
        <v>40</v>
      </c>
      <c r="I752" s="32">
        <f t="shared" si="69"/>
        <v>573.30999999999995</v>
      </c>
      <c r="J752" s="33">
        <f>VLOOKUP(A752,[3]v_03_23!F:I,3,FALSE)</f>
        <v>178</v>
      </c>
      <c r="K752" s="32">
        <f>VLOOKUP(A752,[3]v_03_23!F:I,4,FALSE)</f>
        <v>2411.94</v>
      </c>
      <c r="L752" s="31">
        <f t="shared" si="70"/>
        <v>-138</v>
      </c>
      <c r="M752" s="31">
        <f t="shared" si="70"/>
        <v>-1838.63</v>
      </c>
      <c r="N752" s="35">
        <f t="shared" si="72"/>
        <v>-0.7623033740474473</v>
      </c>
    </row>
    <row r="753" spans="1:14" x14ac:dyDescent="0.25">
      <c r="A753" s="31" t="s">
        <v>81</v>
      </c>
      <c r="B753" s="32" t="s">
        <v>80</v>
      </c>
      <c r="C753" s="33">
        <f>VLOOKUP(A753,[3]v_03_24!F:I,3,FALSE)</f>
        <v>2</v>
      </c>
      <c r="D753" s="32">
        <f>VLOOKUP(A753,[3]v_03_24!F:I,4,FALSE)</f>
        <v>91.63</v>
      </c>
      <c r="E753" s="33">
        <v>0</v>
      </c>
      <c r="F753" s="32">
        <v>0</v>
      </c>
      <c r="G753" s="34">
        <f t="shared" si="71"/>
        <v>0</v>
      </c>
      <c r="H753" s="33">
        <f t="shared" si="69"/>
        <v>2</v>
      </c>
      <c r="I753" s="32">
        <f t="shared" si="69"/>
        <v>91.63</v>
      </c>
      <c r="J753" s="33">
        <f>VLOOKUP(A753,[3]v_03_23!F:I,3,FALSE)</f>
        <v>265</v>
      </c>
      <c r="K753" s="32">
        <f>VLOOKUP(A753,[3]v_03_23!F:I,4,FALSE)</f>
        <v>8761.44</v>
      </c>
      <c r="L753" s="31">
        <f t="shared" si="70"/>
        <v>-263</v>
      </c>
      <c r="M753" s="31">
        <f t="shared" si="70"/>
        <v>-8669.8100000000013</v>
      </c>
      <c r="N753" s="35">
        <f t="shared" si="72"/>
        <v>-0.98954167351485611</v>
      </c>
    </row>
    <row r="754" spans="1:14" x14ac:dyDescent="0.25">
      <c r="A754" s="31" t="s">
        <v>83</v>
      </c>
      <c r="B754" s="32" t="s">
        <v>82</v>
      </c>
      <c r="C754" s="33">
        <v>0</v>
      </c>
      <c r="D754" s="32">
        <v>0</v>
      </c>
      <c r="E754" s="33">
        <v>0</v>
      </c>
      <c r="F754" s="32">
        <v>0</v>
      </c>
      <c r="G754" s="34"/>
      <c r="H754" s="33">
        <f t="shared" si="69"/>
        <v>0</v>
      </c>
      <c r="I754" s="32">
        <f t="shared" si="69"/>
        <v>0</v>
      </c>
      <c r="J754" s="33">
        <v>0</v>
      </c>
      <c r="K754" s="32">
        <v>0</v>
      </c>
      <c r="L754" s="31">
        <f t="shared" si="70"/>
        <v>0</v>
      </c>
      <c r="M754" s="31">
        <f t="shared" si="70"/>
        <v>0</v>
      </c>
      <c r="N754" s="35"/>
    </row>
    <row r="755" spans="1:14" x14ac:dyDescent="0.25">
      <c r="A755" s="31" t="s">
        <v>85</v>
      </c>
      <c r="B755" s="32" t="s">
        <v>84</v>
      </c>
      <c r="C755" s="33">
        <f>VLOOKUP(A755,[3]v_03_24!F:I,3,FALSE)</f>
        <v>6</v>
      </c>
      <c r="D755" s="32">
        <f>VLOOKUP(A755,[3]v_03_24!F:I,4,FALSE)</f>
        <v>294.60000000000002</v>
      </c>
      <c r="E755" s="33">
        <v>0</v>
      </c>
      <c r="F755" s="32">
        <v>0</v>
      </c>
      <c r="G755" s="34">
        <f t="shared" si="71"/>
        <v>0</v>
      </c>
      <c r="H755" s="33">
        <f t="shared" si="69"/>
        <v>6</v>
      </c>
      <c r="I755" s="32">
        <f t="shared" si="69"/>
        <v>294.60000000000002</v>
      </c>
      <c r="J755" s="33">
        <f>VLOOKUP(A755,[3]v_03_23!F:I,3,FALSE)</f>
        <v>32</v>
      </c>
      <c r="K755" s="32">
        <f>VLOOKUP(A755,[3]v_03_23!F:I,4,FALSE)</f>
        <v>1571.2</v>
      </c>
      <c r="L755" s="31">
        <f t="shared" si="70"/>
        <v>-26</v>
      </c>
      <c r="M755" s="31">
        <f t="shared" si="70"/>
        <v>-1276.5999999999999</v>
      </c>
      <c r="N755" s="35">
        <f t="shared" si="72"/>
        <v>-0.81249999999999989</v>
      </c>
    </row>
    <row r="756" spans="1:14" x14ac:dyDescent="0.25">
      <c r="A756" s="31" t="s">
        <v>87</v>
      </c>
      <c r="B756" s="32" t="s">
        <v>86</v>
      </c>
      <c r="C756" s="33">
        <f>VLOOKUP(A756,[3]v_03_24!F:I,3,FALSE)</f>
        <v>22</v>
      </c>
      <c r="D756" s="32">
        <f>VLOOKUP(A756,[3]v_03_24!F:I,4,FALSE)</f>
        <v>266.22000000000003</v>
      </c>
      <c r="E756" s="33">
        <f>VLOOKUP(A756,[3]s_03_24!E:G,2,FALSE)</f>
        <v>1</v>
      </c>
      <c r="F756" s="32">
        <f>VLOOKUP(A756,[3]s_03_24!E:G,3,FALSE)</f>
        <v>19.899999999999999</v>
      </c>
      <c r="G756" s="34">
        <f t="shared" si="71"/>
        <v>6.9551237243114766E-2</v>
      </c>
      <c r="H756" s="33">
        <f t="shared" si="69"/>
        <v>23</v>
      </c>
      <c r="I756" s="32">
        <f t="shared" si="69"/>
        <v>286.12</v>
      </c>
      <c r="J756" s="33">
        <f>VLOOKUP(A756,[3]v_03_23!F:I,3,FALSE)</f>
        <v>36</v>
      </c>
      <c r="K756" s="32">
        <f>VLOOKUP(A756,[3]v_03_23!F:I,4,FALSE)</f>
        <v>385.44</v>
      </c>
      <c r="L756" s="31">
        <f t="shared" si="70"/>
        <v>-13</v>
      </c>
      <c r="M756" s="31">
        <f t="shared" si="70"/>
        <v>-99.32</v>
      </c>
      <c r="N756" s="35">
        <f t="shared" si="72"/>
        <v>-0.25767953507679531</v>
      </c>
    </row>
    <row r="757" spans="1:14" x14ac:dyDescent="0.25">
      <c r="A757" s="31" t="s">
        <v>89</v>
      </c>
      <c r="B757" s="32" t="s">
        <v>88</v>
      </c>
      <c r="C757" s="33">
        <v>0</v>
      </c>
      <c r="D757" s="32">
        <v>0</v>
      </c>
      <c r="E757" s="33">
        <v>0</v>
      </c>
      <c r="F757" s="32">
        <v>0</v>
      </c>
      <c r="G757" s="34"/>
      <c r="H757" s="33">
        <f t="shared" si="69"/>
        <v>0</v>
      </c>
      <c r="I757" s="32">
        <f t="shared" si="69"/>
        <v>0</v>
      </c>
      <c r="J757" s="33">
        <v>0</v>
      </c>
      <c r="K757" s="32">
        <v>0</v>
      </c>
      <c r="L757" s="31">
        <f t="shared" si="70"/>
        <v>0</v>
      </c>
      <c r="M757" s="31">
        <f t="shared" si="70"/>
        <v>0</v>
      </c>
      <c r="N757" s="35"/>
    </row>
    <row r="758" spans="1:14" x14ac:dyDescent="0.25">
      <c r="A758" s="31" t="s">
        <v>91</v>
      </c>
      <c r="B758" s="32" t="s">
        <v>90</v>
      </c>
      <c r="C758" s="33">
        <v>0</v>
      </c>
      <c r="D758" s="32">
        <v>0</v>
      </c>
      <c r="E758" s="33">
        <v>0</v>
      </c>
      <c r="F758" s="32">
        <v>0</v>
      </c>
      <c r="G758" s="34"/>
      <c r="H758" s="33">
        <f t="shared" si="69"/>
        <v>0</v>
      </c>
      <c r="I758" s="32">
        <f t="shared" si="69"/>
        <v>0</v>
      </c>
      <c r="J758" s="33">
        <v>0</v>
      </c>
      <c r="K758" s="32">
        <v>0</v>
      </c>
      <c r="L758" s="31">
        <f t="shared" si="70"/>
        <v>0</v>
      </c>
      <c r="M758" s="31">
        <f t="shared" si="70"/>
        <v>0</v>
      </c>
      <c r="N758" s="35"/>
    </row>
    <row r="759" spans="1:14" x14ac:dyDescent="0.25">
      <c r="A759" s="31" t="s">
        <v>93</v>
      </c>
      <c r="B759" s="32" t="s">
        <v>92</v>
      </c>
      <c r="C759" s="33">
        <f>VLOOKUP(A759,[3]v_03_24!F:I,3,FALSE)</f>
        <v>1</v>
      </c>
      <c r="D759" s="32">
        <f>VLOOKUP(A759,[3]v_03_24!F:I,4,FALSE)</f>
        <v>3.77</v>
      </c>
      <c r="E759" s="33">
        <v>0</v>
      </c>
      <c r="F759" s="32">
        <v>0</v>
      </c>
      <c r="G759" s="34">
        <f t="shared" si="71"/>
        <v>0</v>
      </c>
      <c r="H759" s="33">
        <f t="shared" si="69"/>
        <v>1</v>
      </c>
      <c r="I759" s="32">
        <f t="shared" si="69"/>
        <v>3.77</v>
      </c>
      <c r="J759" s="33">
        <f>VLOOKUP(A759,[3]v_03_23!F:I,3,FALSE)</f>
        <v>1</v>
      </c>
      <c r="K759" s="32">
        <f>VLOOKUP(A759,[3]v_03_23!F:I,4,FALSE)</f>
        <v>4.3</v>
      </c>
      <c r="L759" s="31">
        <f t="shared" si="70"/>
        <v>0</v>
      </c>
      <c r="M759" s="31">
        <f t="shared" si="70"/>
        <v>-0.5299999999999998</v>
      </c>
      <c r="N759" s="35">
        <f t="shared" si="72"/>
        <v>-0.12325581395348834</v>
      </c>
    </row>
    <row r="760" spans="1:14" x14ac:dyDescent="0.25">
      <c r="A760" s="31" t="s">
        <v>95</v>
      </c>
      <c r="B760" s="32" t="s">
        <v>94</v>
      </c>
      <c r="C760" s="33">
        <v>0</v>
      </c>
      <c r="D760" s="32">
        <v>0</v>
      </c>
      <c r="E760" s="33">
        <v>0</v>
      </c>
      <c r="F760" s="32">
        <v>0</v>
      </c>
      <c r="G760" s="34"/>
      <c r="H760" s="33">
        <f t="shared" si="69"/>
        <v>0</v>
      </c>
      <c r="I760" s="32">
        <f t="shared" si="69"/>
        <v>0</v>
      </c>
      <c r="J760" s="33">
        <v>0</v>
      </c>
      <c r="K760" s="32">
        <v>0</v>
      </c>
      <c r="L760" s="31">
        <f t="shared" si="70"/>
        <v>0</v>
      </c>
      <c r="M760" s="31">
        <f t="shared" si="70"/>
        <v>0</v>
      </c>
      <c r="N760" s="35"/>
    </row>
    <row r="761" spans="1:14" x14ac:dyDescent="0.25">
      <c r="A761" s="31" t="s">
        <v>97</v>
      </c>
      <c r="B761" s="32" t="s">
        <v>96</v>
      </c>
      <c r="C761" s="33">
        <v>0</v>
      </c>
      <c r="D761" s="32">
        <v>0</v>
      </c>
      <c r="E761" s="33">
        <v>0</v>
      </c>
      <c r="F761" s="32">
        <v>0</v>
      </c>
      <c r="G761" s="34"/>
      <c r="H761" s="33">
        <f t="shared" si="69"/>
        <v>0</v>
      </c>
      <c r="I761" s="32">
        <f t="shared" si="69"/>
        <v>0</v>
      </c>
      <c r="J761" s="33">
        <v>0</v>
      </c>
      <c r="K761" s="32">
        <v>0</v>
      </c>
      <c r="L761" s="31">
        <f t="shared" si="70"/>
        <v>0</v>
      </c>
      <c r="M761" s="31">
        <f t="shared" si="70"/>
        <v>0</v>
      </c>
      <c r="N761" s="35"/>
    </row>
    <row r="762" spans="1:14" x14ac:dyDescent="0.25">
      <c r="A762" s="31" t="s">
        <v>99</v>
      </c>
      <c r="B762" s="32" t="s">
        <v>98</v>
      </c>
      <c r="C762" s="33">
        <v>0</v>
      </c>
      <c r="D762" s="32">
        <v>0</v>
      </c>
      <c r="E762" s="33">
        <v>0</v>
      </c>
      <c r="F762" s="32">
        <v>0</v>
      </c>
      <c r="G762" s="34"/>
      <c r="H762" s="33">
        <f t="shared" si="69"/>
        <v>0</v>
      </c>
      <c r="I762" s="32">
        <f t="shared" si="69"/>
        <v>0</v>
      </c>
      <c r="J762" s="33">
        <v>0</v>
      </c>
      <c r="K762" s="32">
        <v>0</v>
      </c>
      <c r="L762" s="31">
        <f t="shared" si="70"/>
        <v>0</v>
      </c>
      <c r="M762" s="31">
        <f t="shared" si="70"/>
        <v>0</v>
      </c>
      <c r="N762" s="35"/>
    </row>
    <row r="763" spans="1:14" x14ac:dyDescent="0.25">
      <c r="A763" s="31" t="s">
        <v>101</v>
      </c>
      <c r="B763" s="32" t="s">
        <v>100</v>
      </c>
      <c r="C763" s="33">
        <v>0</v>
      </c>
      <c r="D763" s="32">
        <v>0</v>
      </c>
      <c r="E763" s="33">
        <v>0</v>
      </c>
      <c r="F763" s="32">
        <v>0</v>
      </c>
      <c r="G763" s="34"/>
      <c r="H763" s="33">
        <f t="shared" si="69"/>
        <v>0</v>
      </c>
      <c r="I763" s="32">
        <f t="shared" si="69"/>
        <v>0</v>
      </c>
      <c r="J763" s="33">
        <f>VLOOKUP(A763,[3]v_03_23!F:I,3,FALSE)</f>
        <v>19</v>
      </c>
      <c r="K763" s="32">
        <f>VLOOKUP(A763,[3]v_03_23!F:I,4,FALSE)</f>
        <v>104.26</v>
      </c>
      <c r="L763" s="31">
        <f t="shared" si="70"/>
        <v>-19</v>
      </c>
      <c r="M763" s="31">
        <f t="shared" si="70"/>
        <v>-104.26</v>
      </c>
      <c r="N763" s="35">
        <f t="shared" si="72"/>
        <v>-1</v>
      </c>
    </row>
    <row r="764" spans="1:14" x14ac:dyDescent="0.25">
      <c r="A764" s="31" t="s">
        <v>103</v>
      </c>
      <c r="B764" s="32" t="s">
        <v>102</v>
      </c>
      <c r="C764" s="33">
        <f>VLOOKUP(A764,[3]v_03_24!F:I,3,FALSE)</f>
        <v>10</v>
      </c>
      <c r="D764" s="32">
        <f>VLOOKUP(A764,[3]v_03_24!F:I,4,FALSE)</f>
        <v>253.92</v>
      </c>
      <c r="E764" s="33">
        <f>VLOOKUP(A764,[3]s_03_24!E:G,2,FALSE)</f>
        <v>2</v>
      </c>
      <c r="F764" s="32">
        <f>VLOOKUP(A764,[3]s_03_24!E:G,3,FALSE)</f>
        <v>59.8</v>
      </c>
      <c r="G764" s="34">
        <f t="shared" si="71"/>
        <v>0.1906158357771261</v>
      </c>
      <c r="H764" s="33">
        <f t="shared" si="69"/>
        <v>12</v>
      </c>
      <c r="I764" s="32">
        <f t="shared" si="69"/>
        <v>313.71999999999997</v>
      </c>
      <c r="J764" s="33">
        <f>VLOOKUP(A764,[3]v_03_23!F:I,3,FALSE)</f>
        <v>112</v>
      </c>
      <c r="K764" s="32">
        <f>VLOOKUP(A764,[3]v_03_23!F:I,4,FALSE)</f>
        <v>2439.1799999999998</v>
      </c>
      <c r="L764" s="31">
        <f t="shared" si="70"/>
        <v>-100</v>
      </c>
      <c r="M764" s="31">
        <f t="shared" si="70"/>
        <v>-2125.46</v>
      </c>
      <c r="N764" s="35">
        <f t="shared" si="72"/>
        <v>-0.87138300576423233</v>
      </c>
    </row>
    <row r="765" spans="1:14" x14ac:dyDescent="0.25">
      <c r="A765" s="31" t="s">
        <v>105</v>
      </c>
      <c r="B765" s="32" t="s">
        <v>104</v>
      </c>
      <c r="C765" s="33">
        <v>0</v>
      </c>
      <c r="D765" s="32">
        <v>0</v>
      </c>
      <c r="E765" s="33">
        <v>0</v>
      </c>
      <c r="F765" s="32">
        <v>0</v>
      </c>
      <c r="G765" s="34"/>
      <c r="H765" s="33">
        <f t="shared" si="69"/>
        <v>0</v>
      </c>
      <c r="I765" s="32">
        <f t="shared" si="69"/>
        <v>0</v>
      </c>
      <c r="J765" s="33">
        <v>0</v>
      </c>
      <c r="K765" s="32">
        <v>0</v>
      </c>
      <c r="L765" s="31">
        <f t="shared" si="70"/>
        <v>0</v>
      </c>
      <c r="M765" s="31">
        <f t="shared" si="70"/>
        <v>0</v>
      </c>
      <c r="N765" s="35"/>
    </row>
    <row r="766" spans="1:14" x14ac:dyDescent="0.25">
      <c r="A766" s="31" t="s">
        <v>107</v>
      </c>
      <c r="B766" s="32" t="s">
        <v>106</v>
      </c>
      <c r="C766" s="33">
        <f>VLOOKUP(A766,[3]v_03_24!F:I,3,FALSE)</f>
        <v>1</v>
      </c>
      <c r="D766" s="32">
        <f>VLOOKUP(A766,[3]v_03_24!F:I,4,FALSE)</f>
        <v>19.72</v>
      </c>
      <c r="E766" s="33">
        <v>0</v>
      </c>
      <c r="F766" s="32">
        <v>0</v>
      </c>
      <c r="G766" s="34">
        <f t="shared" si="71"/>
        <v>0</v>
      </c>
      <c r="H766" s="33">
        <f t="shared" si="69"/>
        <v>1</v>
      </c>
      <c r="I766" s="32">
        <f t="shared" si="69"/>
        <v>19.72</v>
      </c>
      <c r="J766" s="33">
        <v>0</v>
      </c>
      <c r="K766" s="32">
        <v>0</v>
      </c>
      <c r="L766" s="31">
        <f t="shared" si="70"/>
        <v>1</v>
      </c>
      <c r="M766" s="31">
        <f t="shared" si="70"/>
        <v>19.72</v>
      </c>
      <c r="N766" s="35"/>
    </row>
    <row r="767" spans="1:14" x14ac:dyDescent="0.25">
      <c r="A767" s="31" t="s">
        <v>109</v>
      </c>
      <c r="B767" s="32" t="s">
        <v>108</v>
      </c>
      <c r="C767" s="33">
        <v>0</v>
      </c>
      <c r="D767" s="32">
        <v>0</v>
      </c>
      <c r="E767" s="33">
        <v>0</v>
      </c>
      <c r="F767" s="32">
        <v>0</v>
      </c>
      <c r="G767" s="34"/>
      <c r="H767" s="33">
        <f t="shared" si="69"/>
        <v>0</v>
      </c>
      <c r="I767" s="32">
        <f t="shared" si="69"/>
        <v>0</v>
      </c>
      <c r="J767" s="33">
        <v>0</v>
      </c>
      <c r="K767" s="32">
        <v>0</v>
      </c>
      <c r="L767" s="31">
        <f t="shared" si="70"/>
        <v>0</v>
      </c>
      <c r="M767" s="31">
        <f t="shared" si="70"/>
        <v>0</v>
      </c>
      <c r="N767" s="35"/>
    </row>
    <row r="768" spans="1:14" x14ac:dyDescent="0.25">
      <c r="A768" s="31" t="s">
        <v>111</v>
      </c>
      <c r="B768" s="32" t="s">
        <v>110</v>
      </c>
      <c r="C768" s="33">
        <f>VLOOKUP(A768,[3]v_03_24!F:I,3,FALSE)</f>
        <v>13</v>
      </c>
      <c r="D768" s="32">
        <f>VLOOKUP(A768,[3]v_03_24!F:I,4,FALSE)</f>
        <v>182.92</v>
      </c>
      <c r="E768" s="33">
        <v>0</v>
      </c>
      <c r="F768" s="32">
        <v>0</v>
      </c>
      <c r="G768" s="34">
        <f t="shared" si="71"/>
        <v>0</v>
      </c>
      <c r="H768" s="33">
        <f t="shared" si="69"/>
        <v>13</v>
      </c>
      <c r="I768" s="32">
        <f t="shared" si="69"/>
        <v>182.92</v>
      </c>
      <c r="J768" s="33">
        <f>VLOOKUP(A768,[3]v_03_23!F:I,3,FALSE)</f>
        <v>208</v>
      </c>
      <c r="K768" s="32">
        <f>VLOOKUP(A768,[3]v_03_23!F:I,4,FALSE)</f>
        <v>2539.6799999999998</v>
      </c>
      <c r="L768" s="31">
        <f t="shared" si="70"/>
        <v>-195</v>
      </c>
      <c r="M768" s="31">
        <f t="shared" si="70"/>
        <v>-2356.7599999999998</v>
      </c>
      <c r="N768" s="35">
        <f t="shared" si="72"/>
        <v>-0.92797517797517792</v>
      </c>
    </row>
    <row r="769" spans="1:14" x14ac:dyDescent="0.25">
      <c r="A769" s="31" t="s">
        <v>113</v>
      </c>
      <c r="B769" s="32" t="s">
        <v>112</v>
      </c>
      <c r="C769" s="33">
        <f>VLOOKUP(A769,[3]v_03_24!F:I,3,FALSE)</f>
        <v>1</v>
      </c>
      <c r="D769" s="32">
        <f>VLOOKUP(A769,[3]v_03_24!F:I,4,FALSE)</f>
        <v>13.81</v>
      </c>
      <c r="E769" s="33">
        <v>0</v>
      </c>
      <c r="F769" s="32">
        <v>0</v>
      </c>
      <c r="G769" s="34">
        <f t="shared" si="71"/>
        <v>0</v>
      </c>
      <c r="H769" s="33">
        <f t="shared" si="69"/>
        <v>1</v>
      </c>
      <c r="I769" s="32">
        <f t="shared" si="69"/>
        <v>13.81</v>
      </c>
      <c r="J769" s="33">
        <f>VLOOKUP(A769,[3]v_03_23!F:I,3,FALSE)</f>
        <v>1</v>
      </c>
      <c r="K769" s="32">
        <f>VLOOKUP(A769,[3]v_03_23!F:I,4,FALSE)</f>
        <v>15.85</v>
      </c>
      <c r="L769" s="31">
        <f t="shared" si="70"/>
        <v>0</v>
      </c>
      <c r="M769" s="31">
        <f t="shared" si="70"/>
        <v>-2.0399999999999991</v>
      </c>
      <c r="N769" s="35">
        <f t="shared" si="72"/>
        <v>-0.12870662460567819</v>
      </c>
    </row>
    <row r="770" spans="1:14" x14ac:dyDescent="0.25">
      <c r="A770" s="31" t="s">
        <v>115</v>
      </c>
      <c r="B770" s="32" t="s">
        <v>114</v>
      </c>
      <c r="C770" s="33">
        <v>0</v>
      </c>
      <c r="D770" s="32">
        <v>0</v>
      </c>
      <c r="E770" s="33">
        <v>0</v>
      </c>
      <c r="F770" s="32">
        <v>0</v>
      </c>
      <c r="G770" s="34"/>
      <c r="H770" s="33">
        <f t="shared" si="69"/>
        <v>0</v>
      </c>
      <c r="I770" s="32">
        <f t="shared" si="69"/>
        <v>0</v>
      </c>
      <c r="J770" s="33">
        <v>0</v>
      </c>
      <c r="K770" s="32">
        <v>0</v>
      </c>
      <c r="L770" s="31">
        <f t="shared" si="70"/>
        <v>0</v>
      </c>
      <c r="M770" s="31">
        <f t="shared" si="70"/>
        <v>0</v>
      </c>
      <c r="N770" s="35"/>
    </row>
    <row r="771" spans="1:14" x14ac:dyDescent="0.25">
      <c r="A771" s="31" t="s">
        <v>117</v>
      </c>
      <c r="B771" s="32" t="s">
        <v>116</v>
      </c>
      <c r="C771" s="33">
        <v>0</v>
      </c>
      <c r="D771" s="32">
        <v>0</v>
      </c>
      <c r="E771" s="33">
        <v>0</v>
      </c>
      <c r="F771" s="32">
        <v>0</v>
      </c>
      <c r="G771" s="34"/>
      <c r="H771" s="33">
        <f t="shared" si="69"/>
        <v>0</v>
      </c>
      <c r="I771" s="32">
        <f t="shared" si="69"/>
        <v>0</v>
      </c>
      <c r="J771" s="33">
        <v>0</v>
      </c>
      <c r="K771" s="32">
        <v>0</v>
      </c>
      <c r="L771" s="31">
        <f t="shared" si="70"/>
        <v>0</v>
      </c>
      <c r="M771" s="31">
        <f t="shared" si="70"/>
        <v>0</v>
      </c>
      <c r="N771" s="35"/>
    </row>
    <row r="772" spans="1:14" x14ac:dyDescent="0.25">
      <c r="A772" s="31" t="s">
        <v>119</v>
      </c>
      <c r="B772" s="32" t="s">
        <v>118</v>
      </c>
      <c r="C772" s="33">
        <f>VLOOKUP(A772,[3]v_03_24!F:I,3,FALSE)</f>
        <v>2</v>
      </c>
      <c r="D772" s="32">
        <f>VLOOKUP(A772,[3]v_03_24!F:I,4,FALSE)</f>
        <v>48.17</v>
      </c>
      <c r="E772" s="33">
        <v>0</v>
      </c>
      <c r="F772" s="32">
        <v>0</v>
      </c>
      <c r="G772" s="34">
        <f t="shared" si="71"/>
        <v>0</v>
      </c>
      <c r="H772" s="33">
        <f t="shared" si="69"/>
        <v>2</v>
      </c>
      <c r="I772" s="32">
        <f t="shared" si="69"/>
        <v>48.17</v>
      </c>
      <c r="J772" s="33">
        <f>VLOOKUP(A772,[3]v_03_23!F:I,3,FALSE)</f>
        <v>3</v>
      </c>
      <c r="K772" s="32">
        <f>VLOOKUP(A772,[3]v_03_23!F:I,4,FALSE)</f>
        <v>52.38</v>
      </c>
      <c r="L772" s="31">
        <f t="shared" si="70"/>
        <v>-1</v>
      </c>
      <c r="M772" s="31">
        <f t="shared" si="70"/>
        <v>-4.2100000000000009</v>
      </c>
      <c r="N772" s="35">
        <f t="shared" si="72"/>
        <v>-8.0374188621611317E-2</v>
      </c>
    </row>
    <row r="773" spans="1:14" x14ac:dyDescent="0.25">
      <c r="A773" s="31" t="s">
        <v>121</v>
      </c>
      <c r="B773" s="32" t="s">
        <v>120</v>
      </c>
      <c r="C773" s="33">
        <v>0</v>
      </c>
      <c r="D773" s="32">
        <v>0</v>
      </c>
      <c r="E773" s="33">
        <v>0</v>
      </c>
      <c r="F773" s="32">
        <v>0</v>
      </c>
      <c r="G773" s="34"/>
      <c r="H773" s="33">
        <f t="shared" si="69"/>
        <v>0</v>
      </c>
      <c r="I773" s="32">
        <f t="shared" si="69"/>
        <v>0</v>
      </c>
      <c r="J773" s="33">
        <v>0</v>
      </c>
      <c r="K773" s="32">
        <v>0</v>
      </c>
      <c r="L773" s="31">
        <f t="shared" si="70"/>
        <v>0</v>
      </c>
      <c r="M773" s="31">
        <f t="shared" si="70"/>
        <v>0</v>
      </c>
      <c r="N773" s="35"/>
    </row>
    <row r="774" spans="1:14" x14ac:dyDescent="0.25">
      <c r="A774" s="31" t="s">
        <v>123</v>
      </c>
      <c r="B774" s="32" t="s">
        <v>122</v>
      </c>
      <c r="C774" s="33">
        <f>VLOOKUP(A774,[3]v_03_24!F:I,3,FALSE)</f>
        <v>6</v>
      </c>
      <c r="D774" s="32">
        <f>VLOOKUP(A774,[3]v_03_24!F:I,4,FALSE)</f>
        <v>147.06</v>
      </c>
      <c r="E774" s="33">
        <f>VLOOKUP(A774,[3]s_03_24!E:G,2,FALSE)</f>
        <v>16</v>
      </c>
      <c r="F774" s="32">
        <f>VLOOKUP(A774,[3]s_03_24!E:G,3,FALSE)</f>
        <v>602.39999999999986</v>
      </c>
      <c r="G774" s="34">
        <f t="shared" si="71"/>
        <v>0.80377872067888878</v>
      </c>
      <c r="H774" s="33">
        <f t="shared" si="69"/>
        <v>22</v>
      </c>
      <c r="I774" s="32">
        <f t="shared" si="69"/>
        <v>749.45999999999981</v>
      </c>
      <c r="J774" s="33">
        <f>VLOOKUP(A774,[3]v_03_23!F:I,3,FALSE)</f>
        <v>90</v>
      </c>
      <c r="K774" s="32">
        <f>VLOOKUP(A774,[3]v_03_23!F:I,4,FALSE)</f>
        <v>2205.9</v>
      </c>
      <c r="L774" s="31">
        <f t="shared" si="70"/>
        <v>-68</v>
      </c>
      <c r="M774" s="31">
        <f t="shared" si="70"/>
        <v>-1456.4400000000003</v>
      </c>
      <c r="N774" s="35">
        <f t="shared" si="72"/>
        <v>-0.66024751801985593</v>
      </c>
    </row>
    <row r="775" spans="1:14" x14ac:dyDescent="0.25">
      <c r="A775" s="31" t="s">
        <v>125</v>
      </c>
      <c r="B775" s="32" t="s">
        <v>124</v>
      </c>
      <c r="C775" s="33">
        <f>VLOOKUP(A775,[3]v_03_24!F:I,3,FALSE)</f>
        <v>0</v>
      </c>
      <c r="D775" s="32">
        <f>VLOOKUP(A775,[3]v_03_24!F:I,4,FALSE)</f>
        <v>0</v>
      </c>
      <c r="E775" s="33">
        <v>0</v>
      </c>
      <c r="F775" s="32">
        <v>0</v>
      </c>
      <c r="G775" s="34"/>
      <c r="H775" s="33">
        <f t="shared" si="69"/>
        <v>0</v>
      </c>
      <c r="I775" s="32">
        <f t="shared" si="69"/>
        <v>0</v>
      </c>
      <c r="J775" s="33">
        <f>VLOOKUP(A775,[3]v_03_23!F:I,3,FALSE)</f>
        <v>608</v>
      </c>
      <c r="K775" s="32">
        <f>VLOOKUP(A775,[3]v_03_23!F:I,4,FALSE)</f>
        <v>7423.68</v>
      </c>
      <c r="L775" s="31">
        <f t="shared" si="70"/>
        <v>-608</v>
      </c>
      <c r="M775" s="31">
        <f t="shared" si="70"/>
        <v>-7423.68</v>
      </c>
      <c r="N775" s="35">
        <f t="shared" si="72"/>
        <v>-1</v>
      </c>
    </row>
    <row r="776" spans="1:14" x14ac:dyDescent="0.25">
      <c r="A776" s="31" t="s">
        <v>127</v>
      </c>
      <c r="B776" s="32" t="s">
        <v>126</v>
      </c>
      <c r="C776" s="33">
        <f>VLOOKUP(A776,[3]v_03_24!F:I,3,FALSE)</f>
        <v>105</v>
      </c>
      <c r="D776" s="32">
        <f>VLOOKUP(A776,[3]v_03_24!F:I,4,FALSE)</f>
        <v>2591.61</v>
      </c>
      <c r="E776" s="33">
        <f>VLOOKUP(A776,[3]s_03_24!E:G,2,FALSE)</f>
        <v>167</v>
      </c>
      <c r="F776" s="32">
        <f>VLOOKUP(A776,[3]s_03_24!E:G,3,FALSE)</f>
        <v>4754.2999999999984</v>
      </c>
      <c r="G776" s="34">
        <f t="shared" si="71"/>
        <v>0.64720368204892242</v>
      </c>
      <c r="H776" s="33">
        <f t="shared" si="69"/>
        <v>272</v>
      </c>
      <c r="I776" s="32">
        <f t="shared" si="69"/>
        <v>7345.909999999998</v>
      </c>
      <c r="J776" s="33">
        <f>VLOOKUP(A776,[3]v_03_23!F:I,3,FALSE)</f>
        <v>292</v>
      </c>
      <c r="K776" s="32">
        <f>VLOOKUP(A776,[3]v_03_23!F:I,4,FALSE)</f>
        <v>6779.04</v>
      </c>
      <c r="L776" s="31">
        <f t="shared" si="70"/>
        <v>-20</v>
      </c>
      <c r="M776" s="31">
        <f t="shared" si="70"/>
        <v>566.86999999999807</v>
      </c>
      <c r="N776" s="35">
        <f t="shared" si="72"/>
        <v>8.36209846821966E-2</v>
      </c>
    </row>
    <row r="777" spans="1:14" x14ac:dyDescent="0.25">
      <c r="A777" s="31" t="s">
        <v>129</v>
      </c>
      <c r="B777" s="32" t="s">
        <v>128</v>
      </c>
      <c r="C777" s="33">
        <v>0</v>
      </c>
      <c r="D777" s="32">
        <v>0</v>
      </c>
      <c r="E777" s="33">
        <v>0</v>
      </c>
      <c r="F777" s="32">
        <v>0</v>
      </c>
      <c r="G777" s="34"/>
      <c r="H777" s="33">
        <f t="shared" si="69"/>
        <v>0</v>
      </c>
      <c r="I777" s="32">
        <f t="shared" si="69"/>
        <v>0</v>
      </c>
      <c r="J777" s="33">
        <v>0</v>
      </c>
      <c r="K777" s="32">
        <v>0</v>
      </c>
      <c r="L777" s="31">
        <f t="shared" si="70"/>
        <v>0</v>
      </c>
      <c r="M777" s="31">
        <f t="shared" si="70"/>
        <v>0</v>
      </c>
      <c r="N777" s="35"/>
    </row>
    <row r="778" spans="1:14" x14ac:dyDescent="0.25">
      <c r="A778" s="31" t="s">
        <v>131</v>
      </c>
      <c r="B778" s="32" t="s">
        <v>130</v>
      </c>
      <c r="C778" s="33">
        <v>0</v>
      </c>
      <c r="D778" s="32">
        <v>0</v>
      </c>
      <c r="E778" s="33">
        <v>0</v>
      </c>
      <c r="F778" s="32">
        <v>0</v>
      </c>
      <c r="G778" s="34"/>
      <c r="H778" s="33">
        <f t="shared" si="69"/>
        <v>0</v>
      </c>
      <c r="I778" s="32">
        <f t="shared" si="69"/>
        <v>0</v>
      </c>
      <c r="J778" s="33">
        <v>0</v>
      </c>
      <c r="K778" s="32">
        <v>0</v>
      </c>
      <c r="L778" s="31">
        <f t="shared" si="70"/>
        <v>0</v>
      </c>
      <c r="M778" s="31">
        <f t="shared" si="70"/>
        <v>0</v>
      </c>
      <c r="N778" s="35"/>
    </row>
    <row r="779" spans="1:14" x14ac:dyDescent="0.25">
      <c r="A779" s="31" t="s">
        <v>133</v>
      </c>
      <c r="B779" s="32" t="s">
        <v>132</v>
      </c>
      <c r="C779" s="33">
        <v>0</v>
      </c>
      <c r="D779" s="32">
        <v>0</v>
      </c>
      <c r="E779" s="33">
        <v>0</v>
      </c>
      <c r="F779" s="32">
        <v>0</v>
      </c>
      <c r="G779" s="34"/>
      <c r="H779" s="33">
        <f t="shared" si="69"/>
        <v>0</v>
      </c>
      <c r="I779" s="32">
        <f t="shared" si="69"/>
        <v>0</v>
      </c>
      <c r="J779" s="33">
        <v>0</v>
      </c>
      <c r="K779" s="32">
        <v>0</v>
      </c>
      <c r="L779" s="31">
        <f t="shared" si="70"/>
        <v>0</v>
      </c>
      <c r="M779" s="31">
        <f t="shared" si="70"/>
        <v>0</v>
      </c>
      <c r="N779" s="35"/>
    </row>
    <row r="780" spans="1:14" x14ac:dyDescent="0.25">
      <c r="A780" s="31" t="s">
        <v>135</v>
      </c>
      <c r="B780" s="32" t="s">
        <v>134</v>
      </c>
      <c r="C780" s="33">
        <f>VLOOKUP(A780,[3]v_03_24!F:I,3,FALSE)</f>
        <v>3</v>
      </c>
      <c r="D780" s="32">
        <f>VLOOKUP(A780,[3]v_03_24!F:I,4,FALSE)</f>
        <v>92.19</v>
      </c>
      <c r="E780" s="33">
        <v>0</v>
      </c>
      <c r="F780" s="32">
        <v>0</v>
      </c>
      <c r="G780" s="34">
        <f t="shared" si="71"/>
        <v>0</v>
      </c>
      <c r="H780" s="33">
        <f t="shared" si="69"/>
        <v>3</v>
      </c>
      <c r="I780" s="32">
        <f t="shared" si="69"/>
        <v>92.19</v>
      </c>
      <c r="J780" s="33">
        <f>VLOOKUP(A780,[3]v_03_23!F:I,3,FALSE)</f>
        <v>43</v>
      </c>
      <c r="K780" s="32">
        <f>VLOOKUP(A780,[3]v_03_23!F:I,4,FALSE)</f>
        <v>961.97</v>
      </c>
      <c r="L780" s="31">
        <f t="shared" si="70"/>
        <v>-40</v>
      </c>
      <c r="M780" s="31">
        <f t="shared" si="70"/>
        <v>-869.78</v>
      </c>
      <c r="N780" s="35">
        <f t="shared" si="72"/>
        <v>-0.90416541056373889</v>
      </c>
    </row>
    <row r="781" spans="1:14" x14ac:dyDescent="0.25">
      <c r="A781" s="31" t="s">
        <v>137</v>
      </c>
      <c r="B781" s="32" t="s">
        <v>136</v>
      </c>
      <c r="C781" s="33">
        <f>VLOOKUP(A781,[3]v_03_24!F:I,3,FALSE)</f>
        <v>12</v>
      </c>
      <c r="D781" s="32">
        <f>VLOOKUP(A781,[3]v_03_24!F:I,4,FALSE)</f>
        <v>709.12</v>
      </c>
      <c r="E781" s="33">
        <v>0</v>
      </c>
      <c r="F781" s="32">
        <v>0</v>
      </c>
      <c r="G781" s="34">
        <f t="shared" si="71"/>
        <v>0</v>
      </c>
      <c r="H781" s="33">
        <f t="shared" si="69"/>
        <v>12</v>
      </c>
      <c r="I781" s="32">
        <f t="shared" si="69"/>
        <v>709.12</v>
      </c>
      <c r="J781" s="33">
        <f>VLOOKUP(A781,[3]v_03_23!F:I,3,FALSE)</f>
        <v>30</v>
      </c>
      <c r="K781" s="32">
        <f>VLOOKUP(A781,[3]v_03_23!F:I,4,FALSE)</f>
        <v>1694.4</v>
      </c>
      <c r="L781" s="31">
        <f t="shared" si="70"/>
        <v>-18</v>
      </c>
      <c r="M781" s="31">
        <f t="shared" si="70"/>
        <v>-985.28000000000009</v>
      </c>
      <c r="N781" s="35">
        <f t="shared" si="72"/>
        <v>-0.58149197355996229</v>
      </c>
    </row>
    <row r="782" spans="1:14" x14ac:dyDescent="0.25">
      <c r="A782" s="31" t="s">
        <v>139</v>
      </c>
      <c r="B782" s="32" t="s">
        <v>138</v>
      </c>
      <c r="C782" s="33">
        <f>VLOOKUP(A782,[3]v_03_24!F:I,3,FALSE)</f>
        <v>107</v>
      </c>
      <c r="D782" s="32">
        <f>VLOOKUP(A782,[3]v_03_24!F:I,4,FALSE)</f>
        <v>1345.75</v>
      </c>
      <c r="E782" s="33">
        <f>VLOOKUP(A782,[3]s_03_24!E:G,2,FALSE)</f>
        <v>155</v>
      </c>
      <c r="F782" s="32">
        <f>VLOOKUP(A782,[3]s_03_24!E:G,3,FALSE)</f>
        <v>2309.5000000000064</v>
      </c>
      <c r="G782" s="34">
        <f t="shared" si="71"/>
        <v>0.63183092811709252</v>
      </c>
      <c r="H782" s="33">
        <f t="shared" si="69"/>
        <v>262</v>
      </c>
      <c r="I782" s="32">
        <f t="shared" si="69"/>
        <v>3655.2500000000064</v>
      </c>
      <c r="J782" s="33">
        <f>VLOOKUP(A782,[3]v_03_23!F:I,3,FALSE)</f>
        <v>1851</v>
      </c>
      <c r="K782" s="32">
        <f>VLOOKUP(A782,[3]v_03_23!F:I,4,FALSE)</f>
        <v>22600.71</v>
      </c>
      <c r="L782" s="31">
        <f t="shared" si="70"/>
        <v>-1589</v>
      </c>
      <c r="M782" s="31">
        <f t="shared" si="70"/>
        <v>-18945.459999999992</v>
      </c>
      <c r="N782" s="35">
        <f t="shared" si="72"/>
        <v>-0.83826835528618315</v>
      </c>
    </row>
    <row r="783" spans="1:14" x14ac:dyDescent="0.25">
      <c r="A783" s="31" t="s">
        <v>141</v>
      </c>
      <c r="B783" s="32" t="s">
        <v>140</v>
      </c>
      <c r="C783" s="33">
        <v>0</v>
      </c>
      <c r="D783" s="32">
        <v>0</v>
      </c>
      <c r="E783" s="33">
        <f>VLOOKUP(A783,[3]s_03_24!E:G,2,FALSE)</f>
        <v>60</v>
      </c>
      <c r="F783" s="32">
        <f>VLOOKUP(A783,[3]s_03_24!E:G,3,FALSE)</f>
        <v>4194.0000000000036</v>
      </c>
      <c r="G783" s="34">
        <f t="shared" si="71"/>
        <v>1</v>
      </c>
      <c r="H783" s="33">
        <f t="shared" ref="H783:I846" si="73">C783+E783</f>
        <v>60</v>
      </c>
      <c r="I783" s="32">
        <f t="shared" si="73"/>
        <v>4194.0000000000036</v>
      </c>
      <c r="J783" s="33">
        <v>0</v>
      </c>
      <c r="K783" s="32">
        <v>0</v>
      </c>
      <c r="L783" s="31">
        <f t="shared" ref="L783:M846" si="74">H783-J783</f>
        <v>60</v>
      </c>
      <c r="M783" s="31">
        <f t="shared" si="74"/>
        <v>4194.0000000000036</v>
      </c>
      <c r="N783" s="35"/>
    </row>
    <row r="784" spans="1:14" x14ac:dyDescent="0.25">
      <c r="A784" s="31" t="s">
        <v>143</v>
      </c>
      <c r="B784" s="32" t="s">
        <v>142</v>
      </c>
      <c r="C784" s="33">
        <f>VLOOKUP(A784,[3]v_03_24!F:I,3,FALSE)</f>
        <v>1</v>
      </c>
      <c r="D784" s="32">
        <f>VLOOKUP(A784,[3]v_03_24!F:I,4,FALSE)</f>
        <v>24.88</v>
      </c>
      <c r="E784" s="33">
        <f>VLOOKUP(A784,[3]s_03_24!E:G,2,FALSE)</f>
        <v>70</v>
      </c>
      <c r="F784" s="32">
        <f>VLOOKUP(A784,[3]s_03_24!E:G,3,FALSE)</f>
        <v>2082.2200000000025</v>
      </c>
      <c r="G784" s="34">
        <f t="shared" ref="G784:G846" si="75">F784/I784</f>
        <v>0.98819230221631627</v>
      </c>
      <c r="H784" s="33">
        <f t="shared" si="73"/>
        <v>71</v>
      </c>
      <c r="I784" s="32">
        <f t="shared" si="73"/>
        <v>2107.1000000000026</v>
      </c>
      <c r="J784" s="33">
        <f>VLOOKUP(A784,[3]v_03_23!F:I,3,FALSE)</f>
        <v>435</v>
      </c>
      <c r="K784" s="32">
        <f>VLOOKUP(A784,[3]v_03_23!F:I,4,FALSE)</f>
        <v>8878.35</v>
      </c>
      <c r="L784" s="31">
        <f t="shared" si="74"/>
        <v>-364</v>
      </c>
      <c r="M784" s="31">
        <f t="shared" si="74"/>
        <v>-6771.2499999999982</v>
      </c>
      <c r="N784" s="35">
        <f t="shared" ref="N784:N847" si="76">M784/K784</f>
        <v>-0.76266986545923487</v>
      </c>
    </row>
    <row r="785" spans="1:14" x14ac:dyDescent="0.25">
      <c r="A785" s="31" t="s">
        <v>145</v>
      </c>
      <c r="B785" s="32" t="s">
        <v>144</v>
      </c>
      <c r="C785" s="33">
        <f>VLOOKUP(A785,[3]v_03_24!F:I,3,FALSE)</f>
        <v>28</v>
      </c>
      <c r="D785" s="32">
        <f>VLOOKUP(A785,[3]v_03_24!F:I,4,FALSE)</f>
        <v>676.38</v>
      </c>
      <c r="E785" s="33">
        <v>0</v>
      </c>
      <c r="F785" s="32">
        <v>0</v>
      </c>
      <c r="G785" s="34">
        <f t="shared" si="75"/>
        <v>0</v>
      </c>
      <c r="H785" s="33">
        <f t="shared" si="73"/>
        <v>28</v>
      </c>
      <c r="I785" s="32">
        <f t="shared" si="73"/>
        <v>676.38</v>
      </c>
      <c r="J785" s="33">
        <f>VLOOKUP(A785,[3]v_03_23!F:I,3,FALSE)</f>
        <v>112</v>
      </c>
      <c r="K785" s="32">
        <f>VLOOKUP(A785,[3]v_03_23!F:I,4,FALSE)</f>
        <v>2745.12</v>
      </c>
      <c r="L785" s="31">
        <f t="shared" si="74"/>
        <v>-84</v>
      </c>
      <c r="M785" s="31">
        <f t="shared" si="74"/>
        <v>-2068.7399999999998</v>
      </c>
      <c r="N785" s="35">
        <f t="shared" si="76"/>
        <v>-0.7536063997202308</v>
      </c>
    </row>
    <row r="786" spans="1:14" x14ac:dyDescent="0.25">
      <c r="A786" s="31" t="s">
        <v>147</v>
      </c>
      <c r="B786" s="32" t="s">
        <v>146</v>
      </c>
      <c r="C786" s="33">
        <f>VLOOKUP(A786,[3]v_03_24!F:I,3,FALSE)</f>
        <v>5</v>
      </c>
      <c r="D786" s="32">
        <f>VLOOKUP(A786,[3]v_03_24!F:I,4,FALSE)</f>
        <v>24.55</v>
      </c>
      <c r="E786" s="33">
        <v>0</v>
      </c>
      <c r="F786" s="32">
        <v>0</v>
      </c>
      <c r="G786" s="34">
        <f t="shared" si="75"/>
        <v>0</v>
      </c>
      <c r="H786" s="33">
        <f t="shared" si="73"/>
        <v>5</v>
      </c>
      <c r="I786" s="32">
        <f t="shared" si="73"/>
        <v>24.55</v>
      </c>
      <c r="J786" s="33">
        <f>VLOOKUP(A786,[3]v_03_23!F:I,3,FALSE)</f>
        <v>2</v>
      </c>
      <c r="K786" s="32">
        <f>VLOOKUP(A786,[3]v_03_23!F:I,4,FALSE)</f>
        <v>13.18</v>
      </c>
      <c r="L786" s="31">
        <f t="shared" si="74"/>
        <v>3</v>
      </c>
      <c r="M786" s="31">
        <f t="shared" si="74"/>
        <v>11.370000000000001</v>
      </c>
      <c r="N786" s="35">
        <f t="shared" si="76"/>
        <v>0.86267071320182098</v>
      </c>
    </row>
    <row r="787" spans="1:14" x14ac:dyDescent="0.25">
      <c r="A787" s="31" t="s">
        <v>149</v>
      </c>
      <c r="B787" s="32" t="s">
        <v>148</v>
      </c>
      <c r="C787" s="33">
        <f>VLOOKUP(A787,[3]v_03_24!F:I,3,FALSE)</f>
        <v>1</v>
      </c>
      <c r="D787" s="32">
        <f>VLOOKUP(A787,[3]v_03_24!F:I,4,FALSE)</f>
        <v>7.62</v>
      </c>
      <c r="E787" s="33">
        <v>0</v>
      </c>
      <c r="F787" s="32">
        <v>0</v>
      </c>
      <c r="G787" s="34">
        <f t="shared" si="75"/>
        <v>0</v>
      </c>
      <c r="H787" s="33">
        <f t="shared" si="73"/>
        <v>1</v>
      </c>
      <c r="I787" s="32">
        <f t="shared" si="73"/>
        <v>7.62</v>
      </c>
      <c r="J787" s="33">
        <f>VLOOKUP(A787,[3]v_03_23!F:I,3,FALSE)</f>
        <v>75</v>
      </c>
      <c r="K787" s="32">
        <f>VLOOKUP(A787,[3]v_03_23!F:I,4,FALSE)</f>
        <v>547.5</v>
      </c>
      <c r="L787" s="31">
        <f t="shared" si="74"/>
        <v>-74</v>
      </c>
      <c r="M787" s="31">
        <f t="shared" si="74"/>
        <v>-539.88</v>
      </c>
      <c r="N787" s="35">
        <f t="shared" si="76"/>
        <v>-0.9860821917808219</v>
      </c>
    </row>
    <row r="788" spans="1:14" x14ac:dyDescent="0.25">
      <c r="A788" s="31" t="s">
        <v>151</v>
      </c>
      <c r="B788" s="32" t="s">
        <v>150</v>
      </c>
      <c r="C788" s="33">
        <f>VLOOKUP(A788,[3]v_03_24!F:I,3,FALSE)</f>
        <v>29</v>
      </c>
      <c r="D788" s="32">
        <f>VLOOKUP(A788,[3]v_03_24!F:I,4,FALSE)</f>
        <v>189.95</v>
      </c>
      <c r="E788" s="33">
        <v>0</v>
      </c>
      <c r="F788" s="32">
        <v>0</v>
      </c>
      <c r="G788" s="34">
        <f t="shared" si="75"/>
        <v>0</v>
      </c>
      <c r="H788" s="33">
        <f t="shared" si="73"/>
        <v>29</v>
      </c>
      <c r="I788" s="32">
        <f t="shared" si="73"/>
        <v>189.95</v>
      </c>
      <c r="J788" s="33">
        <f>VLOOKUP(A788,[3]v_03_23!F:I,3,FALSE)</f>
        <v>195</v>
      </c>
      <c r="K788" s="32">
        <f>VLOOKUP(A788,[3]v_03_23!F:I,4,FALSE)</f>
        <v>783.9</v>
      </c>
      <c r="L788" s="31">
        <f t="shared" si="74"/>
        <v>-166</v>
      </c>
      <c r="M788" s="31">
        <f t="shared" si="74"/>
        <v>-593.95000000000005</v>
      </c>
      <c r="N788" s="35">
        <f t="shared" si="76"/>
        <v>-0.7576859293277205</v>
      </c>
    </row>
    <row r="789" spans="1:14" x14ac:dyDescent="0.25">
      <c r="A789" s="31" t="s">
        <v>153</v>
      </c>
      <c r="B789" s="32" t="s">
        <v>152</v>
      </c>
      <c r="C789" s="33">
        <f>VLOOKUP(A789,[3]v_03_24!F:I,3,FALSE)</f>
        <v>57</v>
      </c>
      <c r="D789" s="32">
        <f>VLOOKUP(A789,[3]v_03_24!F:I,4,FALSE)</f>
        <v>357.47</v>
      </c>
      <c r="E789" s="33">
        <v>0</v>
      </c>
      <c r="F789" s="32">
        <v>0</v>
      </c>
      <c r="G789" s="34">
        <f t="shared" si="75"/>
        <v>0</v>
      </c>
      <c r="H789" s="33">
        <f t="shared" si="73"/>
        <v>57</v>
      </c>
      <c r="I789" s="32">
        <f t="shared" si="73"/>
        <v>357.47</v>
      </c>
      <c r="J789" s="33">
        <f>VLOOKUP(A789,[3]v_03_23!F:I,3,FALSE)</f>
        <v>87</v>
      </c>
      <c r="K789" s="32">
        <f>VLOOKUP(A789,[3]v_03_23!F:I,4,FALSE)</f>
        <v>425.18</v>
      </c>
      <c r="L789" s="31">
        <f t="shared" si="74"/>
        <v>-30</v>
      </c>
      <c r="M789" s="31">
        <f t="shared" si="74"/>
        <v>-67.70999999999998</v>
      </c>
      <c r="N789" s="35">
        <f t="shared" si="76"/>
        <v>-0.15925019991532993</v>
      </c>
    </row>
    <row r="790" spans="1:14" x14ac:dyDescent="0.25">
      <c r="A790" s="31" t="s">
        <v>155</v>
      </c>
      <c r="B790" s="32" t="s">
        <v>154</v>
      </c>
      <c r="C790" s="33">
        <f>VLOOKUP(A790,[3]v_03_24!F:I,3,FALSE)</f>
        <v>1</v>
      </c>
      <c r="D790" s="32">
        <f>VLOOKUP(A790,[3]v_03_24!F:I,4,FALSE)</f>
        <v>5.98</v>
      </c>
      <c r="E790" s="33">
        <v>0</v>
      </c>
      <c r="F790" s="32">
        <v>0</v>
      </c>
      <c r="G790" s="34">
        <f t="shared" si="75"/>
        <v>0</v>
      </c>
      <c r="H790" s="33">
        <f t="shared" si="73"/>
        <v>1</v>
      </c>
      <c r="I790" s="32">
        <f t="shared" si="73"/>
        <v>5.98</v>
      </c>
      <c r="J790" s="33">
        <f>VLOOKUP(A790,[3]v_03_23!F:I,3,FALSE)</f>
        <v>1</v>
      </c>
      <c r="K790" s="32">
        <f>VLOOKUP(A790,[3]v_03_23!F:I,4,FALSE)</f>
        <v>8.11</v>
      </c>
      <c r="L790" s="31">
        <f t="shared" si="74"/>
        <v>0</v>
      </c>
      <c r="M790" s="31">
        <f t="shared" si="74"/>
        <v>-2.129999999999999</v>
      </c>
      <c r="N790" s="35">
        <f t="shared" si="76"/>
        <v>-0.26263871763255231</v>
      </c>
    </row>
    <row r="791" spans="1:14" x14ac:dyDescent="0.25">
      <c r="A791" s="31" t="s">
        <v>157</v>
      </c>
      <c r="B791" s="32" t="s">
        <v>156</v>
      </c>
      <c r="C791" s="33">
        <f>VLOOKUP(A791,[3]v_03_24!F:I,3,FALSE)</f>
        <v>5</v>
      </c>
      <c r="D791" s="32">
        <f>VLOOKUP(A791,[3]v_03_24!F:I,4,FALSE)</f>
        <v>81.55</v>
      </c>
      <c r="E791" s="33">
        <v>0</v>
      </c>
      <c r="F791" s="32">
        <v>0</v>
      </c>
      <c r="G791" s="34">
        <f t="shared" si="75"/>
        <v>0</v>
      </c>
      <c r="H791" s="33">
        <f t="shared" si="73"/>
        <v>5</v>
      </c>
      <c r="I791" s="32">
        <f t="shared" si="73"/>
        <v>81.55</v>
      </c>
      <c r="J791" s="33">
        <v>0</v>
      </c>
      <c r="K791" s="32">
        <v>0</v>
      </c>
      <c r="L791" s="31">
        <f t="shared" si="74"/>
        <v>5</v>
      </c>
      <c r="M791" s="31">
        <f t="shared" si="74"/>
        <v>81.55</v>
      </c>
      <c r="N791" s="35"/>
    </row>
    <row r="792" spans="1:14" x14ac:dyDescent="0.25">
      <c r="A792" s="31" t="s">
        <v>159</v>
      </c>
      <c r="B792" s="32" t="s">
        <v>158</v>
      </c>
      <c r="C792" s="33">
        <v>0</v>
      </c>
      <c r="D792" s="32">
        <v>0</v>
      </c>
      <c r="E792" s="33">
        <v>0</v>
      </c>
      <c r="F792" s="32">
        <v>0</v>
      </c>
      <c r="G792" s="34"/>
      <c r="H792" s="33">
        <f t="shared" si="73"/>
        <v>0</v>
      </c>
      <c r="I792" s="32">
        <f t="shared" si="73"/>
        <v>0</v>
      </c>
      <c r="J792" s="33">
        <v>0</v>
      </c>
      <c r="K792" s="32">
        <v>0</v>
      </c>
      <c r="L792" s="31">
        <f t="shared" si="74"/>
        <v>0</v>
      </c>
      <c r="M792" s="31">
        <f t="shared" si="74"/>
        <v>0</v>
      </c>
      <c r="N792" s="35"/>
    </row>
    <row r="793" spans="1:14" x14ac:dyDescent="0.25">
      <c r="A793" s="31" t="s">
        <v>161</v>
      </c>
      <c r="B793" s="32" t="s">
        <v>160</v>
      </c>
      <c r="C793" s="33">
        <f>VLOOKUP(A793,[3]v_03_24!F:I,3,FALSE)</f>
        <v>43</v>
      </c>
      <c r="D793" s="32">
        <f>VLOOKUP(A793,[3]v_03_24!F:I,4,FALSE)</f>
        <v>278.64</v>
      </c>
      <c r="E793" s="33">
        <v>0</v>
      </c>
      <c r="F793" s="32">
        <v>0</v>
      </c>
      <c r="G793" s="34">
        <f t="shared" si="75"/>
        <v>0</v>
      </c>
      <c r="H793" s="33">
        <f t="shared" si="73"/>
        <v>43</v>
      </c>
      <c r="I793" s="32">
        <f t="shared" si="73"/>
        <v>278.64</v>
      </c>
      <c r="J793" s="33">
        <f>VLOOKUP(A793,[3]v_03_23!F:I,3,FALSE)</f>
        <v>99</v>
      </c>
      <c r="K793" s="32">
        <f>VLOOKUP(A793,[3]v_03_23!F:I,4,FALSE)</f>
        <v>641.49</v>
      </c>
      <c r="L793" s="31">
        <f t="shared" si="74"/>
        <v>-56</v>
      </c>
      <c r="M793" s="31">
        <f t="shared" si="74"/>
        <v>-362.85</v>
      </c>
      <c r="N793" s="35">
        <f t="shared" si="76"/>
        <v>-0.5656362530982556</v>
      </c>
    </row>
    <row r="794" spans="1:14" x14ac:dyDescent="0.25">
      <c r="A794" s="31" t="s">
        <v>163</v>
      </c>
      <c r="B794" s="32" t="s">
        <v>162</v>
      </c>
      <c r="C794" s="33">
        <f>VLOOKUP(A794,[3]v_03_24!F:I,3,FALSE)</f>
        <v>16</v>
      </c>
      <c r="D794" s="32">
        <f>VLOOKUP(A794,[3]v_03_24!F:I,4,FALSE)</f>
        <v>206.03</v>
      </c>
      <c r="E794" s="33">
        <v>0</v>
      </c>
      <c r="F794" s="32">
        <v>0</v>
      </c>
      <c r="G794" s="34">
        <f t="shared" si="75"/>
        <v>0</v>
      </c>
      <c r="H794" s="33">
        <f t="shared" si="73"/>
        <v>16</v>
      </c>
      <c r="I794" s="32">
        <f t="shared" si="73"/>
        <v>206.03</v>
      </c>
      <c r="J794" s="33">
        <f>VLOOKUP(A794,[3]v_03_23!F:I,3,FALSE)</f>
        <v>668</v>
      </c>
      <c r="K794" s="32">
        <f>VLOOKUP(A794,[3]v_03_23!F:I,4,FALSE)</f>
        <v>8150.61</v>
      </c>
      <c r="L794" s="31">
        <f t="shared" si="74"/>
        <v>-652</v>
      </c>
      <c r="M794" s="31">
        <f t="shared" si="74"/>
        <v>-7944.58</v>
      </c>
      <c r="N794" s="35">
        <f t="shared" si="76"/>
        <v>-0.97472213736149815</v>
      </c>
    </row>
    <row r="795" spans="1:14" x14ac:dyDescent="0.25">
      <c r="A795" s="31" t="s">
        <v>165</v>
      </c>
      <c r="B795" s="32" t="s">
        <v>164</v>
      </c>
      <c r="C795" s="33">
        <f>VLOOKUP(A795,[3]v_03_24!F:I,3,FALSE)</f>
        <v>10</v>
      </c>
      <c r="D795" s="32">
        <f>VLOOKUP(A795,[3]v_03_24!F:I,4,FALSE)</f>
        <v>204.1</v>
      </c>
      <c r="E795" s="33">
        <v>0</v>
      </c>
      <c r="F795" s="32">
        <v>0</v>
      </c>
      <c r="G795" s="34">
        <f t="shared" si="75"/>
        <v>0</v>
      </c>
      <c r="H795" s="33">
        <f t="shared" si="73"/>
        <v>10</v>
      </c>
      <c r="I795" s="32">
        <f t="shared" si="73"/>
        <v>204.1</v>
      </c>
      <c r="J795" s="33">
        <v>0</v>
      </c>
      <c r="K795" s="32">
        <v>0</v>
      </c>
      <c r="L795" s="31">
        <f t="shared" si="74"/>
        <v>10</v>
      </c>
      <c r="M795" s="31">
        <f t="shared" si="74"/>
        <v>204.1</v>
      </c>
      <c r="N795" s="35"/>
    </row>
    <row r="796" spans="1:14" x14ac:dyDescent="0.25">
      <c r="A796" s="31" t="s">
        <v>167</v>
      </c>
      <c r="B796" s="32" t="s">
        <v>166</v>
      </c>
      <c r="C796" s="33">
        <f>VLOOKUP(A796,[3]v_03_24!F:I,3,FALSE)</f>
        <v>54</v>
      </c>
      <c r="D796" s="32">
        <f>VLOOKUP(A796,[3]v_03_24!F:I,4,FALSE)</f>
        <v>261.66000000000003</v>
      </c>
      <c r="E796" s="33">
        <v>0</v>
      </c>
      <c r="F796" s="32">
        <v>0</v>
      </c>
      <c r="G796" s="34">
        <f t="shared" si="75"/>
        <v>0</v>
      </c>
      <c r="H796" s="33">
        <f t="shared" si="73"/>
        <v>54</v>
      </c>
      <c r="I796" s="32">
        <f t="shared" si="73"/>
        <v>261.66000000000003</v>
      </c>
      <c r="J796" s="33">
        <f>VLOOKUP(A796,[3]v_03_23!F:I,3,FALSE)</f>
        <v>148</v>
      </c>
      <c r="K796" s="32">
        <f>VLOOKUP(A796,[3]v_03_23!F:I,4,FALSE)</f>
        <v>717.97</v>
      </c>
      <c r="L796" s="31">
        <f t="shared" si="74"/>
        <v>-94</v>
      </c>
      <c r="M796" s="31">
        <f t="shared" si="74"/>
        <v>-456.31</v>
      </c>
      <c r="N796" s="35">
        <f t="shared" si="76"/>
        <v>-0.63555580316726323</v>
      </c>
    </row>
    <row r="797" spans="1:14" x14ac:dyDescent="0.25">
      <c r="A797" s="31" t="s">
        <v>169</v>
      </c>
      <c r="B797" s="32" t="s">
        <v>168</v>
      </c>
      <c r="C797" s="33">
        <f>VLOOKUP(A797,[3]v_03_24!F:I,3,FALSE)</f>
        <v>2</v>
      </c>
      <c r="D797" s="32">
        <f>VLOOKUP(A797,[3]v_03_24!F:I,4,FALSE)</f>
        <v>28.91</v>
      </c>
      <c r="E797" s="33">
        <v>0</v>
      </c>
      <c r="F797" s="32">
        <v>0</v>
      </c>
      <c r="G797" s="34">
        <f t="shared" si="75"/>
        <v>0</v>
      </c>
      <c r="H797" s="33">
        <f t="shared" si="73"/>
        <v>2</v>
      </c>
      <c r="I797" s="32">
        <f t="shared" si="73"/>
        <v>28.91</v>
      </c>
      <c r="J797" s="33">
        <f>VLOOKUP(A797,[3]v_03_23!F:I,3,FALSE)</f>
        <v>15</v>
      </c>
      <c r="K797" s="32">
        <f>VLOOKUP(A797,[3]v_03_23!F:I,4,FALSE)</f>
        <v>121.65</v>
      </c>
      <c r="L797" s="31">
        <f t="shared" si="74"/>
        <v>-13</v>
      </c>
      <c r="M797" s="31">
        <f t="shared" si="74"/>
        <v>-92.740000000000009</v>
      </c>
      <c r="N797" s="35">
        <f t="shared" si="76"/>
        <v>-0.76235100698725855</v>
      </c>
    </row>
    <row r="798" spans="1:14" x14ac:dyDescent="0.25">
      <c r="A798" s="31" t="s">
        <v>171</v>
      </c>
      <c r="B798" s="32" t="s">
        <v>170</v>
      </c>
      <c r="C798" s="33">
        <f>VLOOKUP(A798,[3]v_03_24!F:I,3,FALSE)</f>
        <v>43</v>
      </c>
      <c r="D798" s="32">
        <f>VLOOKUP(A798,[3]v_03_24!F:I,4,FALSE)</f>
        <v>712.92</v>
      </c>
      <c r="E798" s="33">
        <f>VLOOKUP(A798,[3]s_03_24!E:G,2,FALSE)</f>
        <v>4</v>
      </c>
      <c r="F798" s="32">
        <f>VLOOKUP(A798,[3]s_03_24!E:G,3,FALSE)</f>
        <v>91.6</v>
      </c>
      <c r="G798" s="34">
        <f t="shared" si="75"/>
        <v>0.11385670959081191</v>
      </c>
      <c r="H798" s="33">
        <f t="shared" si="73"/>
        <v>47</v>
      </c>
      <c r="I798" s="32">
        <f t="shared" si="73"/>
        <v>804.52</v>
      </c>
      <c r="J798" s="33">
        <f>VLOOKUP(A798,[3]v_03_23!F:I,3,FALSE)</f>
        <v>261</v>
      </c>
      <c r="K798" s="32">
        <f>VLOOKUP(A798,[3]v_03_23!F:I,4,FALSE)</f>
        <v>3828.87</v>
      </c>
      <c r="L798" s="31">
        <f t="shared" si="74"/>
        <v>-214</v>
      </c>
      <c r="M798" s="31">
        <f t="shared" si="74"/>
        <v>-3024.35</v>
      </c>
      <c r="N798" s="35">
        <f t="shared" si="76"/>
        <v>-0.78988056528427442</v>
      </c>
    </row>
    <row r="799" spans="1:14" x14ac:dyDescent="0.25">
      <c r="A799" s="31" t="s">
        <v>173</v>
      </c>
      <c r="B799" s="32" t="s">
        <v>172</v>
      </c>
      <c r="C799" s="33">
        <v>0</v>
      </c>
      <c r="D799" s="32">
        <v>0</v>
      </c>
      <c r="E799" s="33">
        <v>0</v>
      </c>
      <c r="F799" s="32">
        <v>0</v>
      </c>
      <c r="G799" s="34"/>
      <c r="H799" s="33">
        <f t="shared" si="73"/>
        <v>0</v>
      </c>
      <c r="I799" s="32">
        <f t="shared" si="73"/>
        <v>0</v>
      </c>
      <c r="J799" s="33">
        <v>0</v>
      </c>
      <c r="K799" s="32">
        <v>0</v>
      </c>
      <c r="L799" s="31">
        <f t="shared" si="74"/>
        <v>0</v>
      </c>
      <c r="M799" s="31">
        <f t="shared" si="74"/>
        <v>0</v>
      </c>
      <c r="N799" s="35"/>
    </row>
    <row r="800" spans="1:14" x14ac:dyDescent="0.25">
      <c r="A800" s="31" t="s">
        <v>175</v>
      </c>
      <c r="B800" s="32" t="s">
        <v>174</v>
      </c>
      <c r="C800" s="33">
        <v>0</v>
      </c>
      <c r="D800" s="32">
        <v>0</v>
      </c>
      <c r="E800" s="33">
        <v>0</v>
      </c>
      <c r="F800" s="32">
        <v>0</v>
      </c>
      <c r="G800" s="34"/>
      <c r="H800" s="33">
        <f t="shared" si="73"/>
        <v>0</v>
      </c>
      <c r="I800" s="32">
        <f t="shared" si="73"/>
        <v>0</v>
      </c>
      <c r="J800" s="33">
        <v>0</v>
      </c>
      <c r="K800" s="32">
        <v>0</v>
      </c>
      <c r="L800" s="31">
        <f t="shared" si="74"/>
        <v>0</v>
      </c>
      <c r="M800" s="31">
        <f t="shared" si="74"/>
        <v>0</v>
      </c>
      <c r="N800" s="35"/>
    </row>
    <row r="801" spans="1:14" x14ac:dyDescent="0.25">
      <c r="A801" s="31" t="s">
        <v>177</v>
      </c>
      <c r="B801" s="32" t="s">
        <v>176</v>
      </c>
      <c r="C801" s="33">
        <f>VLOOKUP(A801,[3]v_03_24!F:I,3,FALSE)</f>
        <v>12</v>
      </c>
      <c r="D801" s="32">
        <f>VLOOKUP(A801,[3]v_03_24!F:I,4,FALSE)</f>
        <v>631.29999999999995</v>
      </c>
      <c r="E801" s="33">
        <v>0</v>
      </c>
      <c r="F801" s="32">
        <v>0</v>
      </c>
      <c r="G801" s="34">
        <f t="shared" si="75"/>
        <v>0</v>
      </c>
      <c r="H801" s="33">
        <f t="shared" si="73"/>
        <v>12</v>
      </c>
      <c r="I801" s="32">
        <f t="shared" si="73"/>
        <v>631.29999999999995</v>
      </c>
      <c r="J801" s="33">
        <f>VLOOKUP(A801,[3]v_03_23!F:I,3,FALSE)</f>
        <v>1</v>
      </c>
      <c r="K801" s="32">
        <f>VLOOKUP(A801,[3]v_03_23!F:I,4,FALSE)</f>
        <v>51.7</v>
      </c>
      <c r="L801" s="31">
        <f t="shared" si="74"/>
        <v>11</v>
      </c>
      <c r="M801" s="31">
        <f t="shared" si="74"/>
        <v>579.59999999999991</v>
      </c>
      <c r="N801" s="35">
        <f t="shared" si="76"/>
        <v>11.210831721470017</v>
      </c>
    </row>
    <row r="802" spans="1:14" x14ac:dyDescent="0.25">
      <c r="A802" s="31" t="s">
        <v>179</v>
      </c>
      <c r="B802" s="32" t="s">
        <v>178</v>
      </c>
      <c r="C802" s="33">
        <v>0</v>
      </c>
      <c r="D802" s="32">
        <v>0</v>
      </c>
      <c r="E802" s="33">
        <v>0</v>
      </c>
      <c r="F802" s="32">
        <v>0</v>
      </c>
      <c r="G802" s="34"/>
      <c r="H802" s="33">
        <f t="shared" si="73"/>
        <v>0</v>
      </c>
      <c r="I802" s="32">
        <f t="shared" si="73"/>
        <v>0</v>
      </c>
      <c r="J802" s="33">
        <v>0</v>
      </c>
      <c r="K802" s="32">
        <v>0</v>
      </c>
      <c r="L802" s="31">
        <f t="shared" si="74"/>
        <v>0</v>
      </c>
      <c r="M802" s="31">
        <f t="shared" si="74"/>
        <v>0</v>
      </c>
      <c r="N802" s="35"/>
    </row>
    <row r="803" spans="1:14" x14ac:dyDescent="0.25">
      <c r="A803" s="31" t="s">
        <v>181</v>
      </c>
      <c r="B803" s="32" t="s">
        <v>180</v>
      </c>
      <c r="C803" s="33">
        <f>VLOOKUP(A803,[3]v_03_24!F:I,3,FALSE)</f>
        <v>33</v>
      </c>
      <c r="D803" s="32">
        <f>VLOOKUP(A803,[3]v_03_24!F:I,4,FALSE)</f>
        <v>402.93</v>
      </c>
      <c r="E803" s="33">
        <v>0</v>
      </c>
      <c r="F803" s="32">
        <v>0</v>
      </c>
      <c r="G803" s="34">
        <f t="shared" si="75"/>
        <v>0</v>
      </c>
      <c r="H803" s="33">
        <f t="shared" si="73"/>
        <v>33</v>
      </c>
      <c r="I803" s="32">
        <f t="shared" si="73"/>
        <v>402.93</v>
      </c>
      <c r="J803" s="33">
        <f>VLOOKUP(A803,[3]v_03_23!F:I,3,FALSE)</f>
        <v>303</v>
      </c>
      <c r="K803" s="32">
        <f>VLOOKUP(A803,[3]v_03_23!F:I,4,FALSE)</f>
        <v>3202.71</v>
      </c>
      <c r="L803" s="31">
        <f t="shared" si="74"/>
        <v>-270</v>
      </c>
      <c r="M803" s="31">
        <f t="shared" si="74"/>
        <v>-2799.78</v>
      </c>
      <c r="N803" s="35">
        <f t="shared" si="76"/>
        <v>-0.8741909195649934</v>
      </c>
    </row>
    <row r="804" spans="1:14" x14ac:dyDescent="0.25">
      <c r="A804" s="31" t="s">
        <v>183</v>
      </c>
      <c r="B804" s="32" t="s">
        <v>182</v>
      </c>
      <c r="C804" s="33">
        <v>0</v>
      </c>
      <c r="D804" s="32">
        <v>0</v>
      </c>
      <c r="E804" s="33">
        <v>0</v>
      </c>
      <c r="F804" s="32">
        <v>0</v>
      </c>
      <c r="G804" s="34"/>
      <c r="H804" s="33">
        <f t="shared" si="73"/>
        <v>0</v>
      </c>
      <c r="I804" s="32">
        <f t="shared" si="73"/>
        <v>0</v>
      </c>
      <c r="J804" s="33">
        <v>0</v>
      </c>
      <c r="K804" s="32">
        <v>0</v>
      </c>
      <c r="L804" s="31">
        <f t="shared" si="74"/>
        <v>0</v>
      </c>
      <c r="M804" s="31">
        <f t="shared" si="74"/>
        <v>0</v>
      </c>
      <c r="N804" s="35"/>
    </row>
    <row r="805" spans="1:14" x14ac:dyDescent="0.25">
      <c r="A805" s="31" t="s">
        <v>185</v>
      </c>
      <c r="B805" s="32" t="s">
        <v>184</v>
      </c>
      <c r="C805" s="33">
        <f>VLOOKUP(A805,[3]v_03_24!F:I,3,FALSE)</f>
        <v>0</v>
      </c>
      <c r="D805" s="32">
        <f>VLOOKUP(A805,[3]v_03_24!F:I,4,FALSE)</f>
        <v>0</v>
      </c>
      <c r="E805" s="33">
        <v>0</v>
      </c>
      <c r="F805" s="32">
        <v>0</v>
      </c>
      <c r="G805" s="34"/>
      <c r="H805" s="33">
        <f t="shared" si="73"/>
        <v>0</v>
      </c>
      <c r="I805" s="32">
        <f t="shared" si="73"/>
        <v>0</v>
      </c>
      <c r="J805" s="33">
        <f>VLOOKUP(A805,[3]v_03_23!F:I,3,FALSE)</f>
        <v>545</v>
      </c>
      <c r="K805" s="32">
        <f>VLOOKUP(A805,[3]v_03_23!F:I,4,FALSE)</f>
        <v>6738.53</v>
      </c>
      <c r="L805" s="31">
        <f t="shared" si="74"/>
        <v>-545</v>
      </c>
      <c r="M805" s="31">
        <f t="shared" si="74"/>
        <v>-6738.53</v>
      </c>
      <c r="N805" s="35">
        <f t="shared" si="76"/>
        <v>-1</v>
      </c>
    </row>
    <row r="806" spans="1:14" x14ac:dyDescent="0.25">
      <c r="A806" s="31" t="s">
        <v>187</v>
      </c>
      <c r="B806" s="32" t="s">
        <v>186</v>
      </c>
      <c r="C806" s="33">
        <f>VLOOKUP(A806,[3]v_03_24!F:I,3,FALSE)</f>
        <v>8</v>
      </c>
      <c r="D806" s="32">
        <f>VLOOKUP(A806,[3]v_03_24!F:I,4,FALSE)</f>
        <v>261.60000000000002</v>
      </c>
      <c r="E806" s="33">
        <v>0</v>
      </c>
      <c r="F806" s="32">
        <v>0</v>
      </c>
      <c r="G806" s="34">
        <f t="shared" si="75"/>
        <v>0</v>
      </c>
      <c r="H806" s="33">
        <f t="shared" si="73"/>
        <v>8</v>
      </c>
      <c r="I806" s="32">
        <f t="shared" si="73"/>
        <v>261.60000000000002</v>
      </c>
      <c r="J806" s="33">
        <f>VLOOKUP(A806,[3]v_03_23!F:I,3,FALSE)</f>
        <v>7</v>
      </c>
      <c r="K806" s="32">
        <f>VLOOKUP(A806,[3]v_03_23!F:I,4,FALSE)</f>
        <v>211.75</v>
      </c>
      <c r="L806" s="31">
        <f t="shared" si="74"/>
        <v>1</v>
      </c>
      <c r="M806" s="31">
        <f t="shared" si="74"/>
        <v>49.850000000000023</v>
      </c>
      <c r="N806" s="35">
        <f t="shared" si="76"/>
        <v>0.23541912632821735</v>
      </c>
    </row>
    <row r="807" spans="1:14" x14ac:dyDescent="0.25">
      <c r="A807" s="31" t="s">
        <v>189</v>
      </c>
      <c r="B807" s="32" t="s">
        <v>188</v>
      </c>
      <c r="C807" s="33">
        <f>VLOOKUP(A807,[3]v_03_24!F:I,3,FALSE)</f>
        <v>33</v>
      </c>
      <c r="D807" s="32">
        <f>VLOOKUP(A807,[3]v_03_24!F:I,4,FALSE)</f>
        <v>432.96</v>
      </c>
      <c r="E807" s="33">
        <v>0</v>
      </c>
      <c r="F807" s="32">
        <v>0</v>
      </c>
      <c r="G807" s="34">
        <f t="shared" si="75"/>
        <v>0</v>
      </c>
      <c r="H807" s="33">
        <f t="shared" si="73"/>
        <v>33</v>
      </c>
      <c r="I807" s="32">
        <f t="shared" si="73"/>
        <v>432.96</v>
      </c>
      <c r="J807" s="33">
        <f>VLOOKUP(A807,[3]v_03_23!F:I,3,FALSE)</f>
        <v>128</v>
      </c>
      <c r="K807" s="32">
        <f>VLOOKUP(A807,[3]v_03_23!F:I,4,FALSE)</f>
        <v>1143.04</v>
      </c>
      <c r="L807" s="31">
        <f t="shared" si="74"/>
        <v>-95</v>
      </c>
      <c r="M807" s="31">
        <f t="shared" si="74"/>
        <v>-710.07999999999993</v>
      </c>
      <c r="N807" s="35">
        <f t="shared" si="76"/>
        <v>-0.62122060470324747</v>
      </c>
    </row>
    <row r="808" spans="1:14" x14ac:dyDescent="0.25">
      <c r="A808" s="31" t="s">
        <v>191</v>
      </c>
      <c r="B808" s="32" t="s">
        <v>190</v>
      </c>
      <c r="C808" s="33">
        <f>VLOOKUP(A808,[3]v_03_24!F:I,3,FALSE)</f>
        <v>4</v>
      </c>
      <c r="D808" s="32">
        <f>VLOOKUP(A808,[3]v_03_24!F:I,4,FALSE)</f>
        <v>88.2</v>
      </c>
      <c r="E808" s="33">
        <v>0</v>
      </c>
      <c r="F808" s="32">
        <v>0</v>
      </c>
      <c r="G808" s="34">
        <f t="shared" si="75"/>
        <v>0</v>
      </c>
      <c r="H808" s="33">
        <f t="shared" si="73"/>
        <v>4</v>
      </c>
      <c r="I808" s="32">
        <f t="shared" si="73"/>
        <v>88.2</v>
      </c>
      <c r="J808" s="33">
        <f>VLOOKUP(A808,[3]v_03_23!F:I,3,FALSE)</f>
        <v>16</v>
      </c>
      <c r="K808" s="32">
        <f>VLOOKUP(A808,[3]v_03_23!F:I,4,FALSE)</f>
        <v>288.51</v>
      </c>
      <c r="L808" s="31">
        <f t="shared" si="74"/>
        <v>-12</v>
      </c>
      <c r="M808" s="31">
        <f t="shared" si="74"/>
        <v>-200.31</v>
      </c>
      <c r="N808" s="35">
        <f t="shared" si="76"/>
        <v>-0.69429135905167938</v>
      </c>
    </row>
    <row r="809" spans="1:14" x14ac:dyDescent="0.25">
      <c r="A809" s="31" t="s">
        <v>193</v>
      </c>
      <c r="B809" s="32" t="s">
        <v>192</v>
      </c>
      <c r="C809" s="33">
        <f>VLOOKUP(A809,[3]v_03_24!F:I,3,FALSE)</f>
        <v>1</v>
      </c>
      <c r="D809" s="32">
        <f>VLOOKUP(A809,[3]v_03_24!F:I,4,FALSE)</f>
        <v>9.75</v>
      </c>
      <c r="E809" s="33">
        <v>0</v>
      </c>
      <c r="F809" s="32">
        <v>0</v>
      </c>
      <c r="G809" s="34">
        <f t="shared" si="75"/>
        <v>0</v>
      </c>
      <c r="H809" s="33">
        <f t="shared" si="73"/>
        <v>1</v>
      </c>
      <c r="I809" s="32">
        <f t="shared" si="73"/>
        <v>9.75</v>
      </c>
      <c r="J809" s="33">
        <f>VLOOKUP(A809,[3]v_03_23!F:I,3,FALSE)</f>
        <v>1</v>
      </c>
      <c r="K809" s="32">
        <f>VLOOKUP(A809,[3]v_03_23!F:I,4,FALSE)</f>
        <v>12.21</v>
      </c>
      <c r="L809" s="31">
        <f t="shared" si="74"/>
        <v>0</v>
      </c>
      <c r="M809" s="31">
        <f t="shared" si="74"/>
        <v>-2.4600000000000009</v>
      </c>
      <c r="N809" s="35">
        <f t="shared" si="76"/>
        <v>-0.20147420147420153</v>
      </c>
    </row>
    <row r="810" spans="1:14" x14ac:dyDescent="0.25">
      <c r="A810" s="31" t="s">
        <v>195</v>
      </c>
      <c r="B810" s="32" t="s">
        <v>194</v>
      </c>
      <c r="C810" s="33">
        <v>0</v>
      </c>
      <c r="D810" s="32">
        <v>0</v>
      </c>
      <c r="E810" s="33">
        <v>0</v>
      </c>
      <c r="F810" s="32">
        <v>0</v>
      </c>
      <c r="G810" s="34"/>
      <c r="H810" s="33">
        <f t="shared" si="73"/>
        <v>0</v>
      </c>
      <c r="I810" s="32">
        <f t="shared" si="73"/>
        <v>0</v>
      </c>
      <c r="J810" s="33">
        <v>0</v>
      </c>
      <c r="K810" s="32">
        <v>0</v>
      </c>
      <c r="L810" s="31">
        <f t="shared" si="74"/>
        <v>0</v>
      </c>
      <c r="M810" s="31">
        <f t="shared" si="74"/>
        <v>0</v>
      </c>
      <c r="N810" s="35"/>
    </row>
    <row r="811" spans="1:14" x14ac:dyDescent="0.25">
      <c r="A811" s="31" t="s">
        <v>197</v>
      </c>
      <c r="B811" s="32" t="s">
        <v>196</v>
      </c>
      <c r="C811" s="33">
        <v>0</v>
      </c>
      <c r="D811" s="32">
        <v>0</v>
      </c>
      <c r="E811" s="33">
        <v>0</v>
      </c>
      <c r="F811" s="32">
        <v>0</v>
      </c>
      <c r="G811" s="34"/>
      <c r="H811" s="33">
        <f t="shared" si="73"/>
        <v>0</v>
      </c>
      <c r="I811" s="32">
        <f t="shared" si="73"/>
        <v>0</v>
      </c>
      <c r="J811" s="33">
        <f>VLOOKUP(A811,[3]v_03_23!F:I,3,FALSE)</f>
        <v>1</v>
      </c>
      <c r="K811" s="32">
        <f>VLOOKUP(A811,[3]v_03_23!F:I,4,FALSE)</f>
        <v>12.21</v>
      </c>
      <c r="L811" s="31">
        <f t="shared" si="74"/>
        <v>-1</v>
      </c>
      <c r="M811" s="31">
        <f t="shared" si="74"/>
        <v>-12.21</v>
      </c>
      <c r="N811" s="35">
        <f t="shared" si="76"/>
        <v>-1</v>
      </c>
    </row>
    <row r="812" spans="1:14" x14ac:dyDescent="0.25">
      <c r="A812" s="31" t="s">
        <v>199</v>
      </c>
      <c r="B812" s="32" t="s">
        <v>198</v>
      </c>
      <c r="C812" s="33">
        <v>0</v>
      </c>
      <c r="D812" s="32">
        <v>0</v>
      </c>
      <c r="E812" s="33">
        <v>0</v>
      </c>
      <c r="F812" s="32">
        <v>0</v>
      </c>
      <c r="G812" s="34"/>
      <c r="H812" s="33">
        <f t="shared" si="73"/>
        <v>0</v>
      </c>
      <c r="I812" s="32">
        <f t="shared" si="73"/>
        <v>0</v>
      </c>
      <c r="J812" s="33">
        <v>0</v>
      </c>
      <c r="K812" s="32">
        <v>0</v>
      </c>
      <c r="L812" s="31">
        <f t="shared" si="74"/>
        <v>0</v>
      </c>
      <c r="M812" s="31">
        <f t="shared" si="74"/>
        <v>0</v>
      </c>
      <c r="N812" s="35"/>
    </row>
    <row r="813" spans="1:14" x14ac:dyDescent="0.25">
      <c r="A813" s="31" t="s">
        <v>201</v>
      </c>
      <c r="B813" s="32" t="s">
        <v>200</v>
      </c>
      <c r="C813" s="33">
        <f>VLOOKUP(A813,[3]v_03_24!F:I,3,FALSE)</f>
        <v>6</v>
      </c>
      <c r="D813" s="32">
        <f>VLOOKUP(A813,[3]v_03_24!F:I,4,FALSE)</f>
        <v>147.06</v>
      </c>
      <c r="E813" s="33">
        <f>VLOOKUP(A813,[3]s_03_24!E:G,2,FALSE)</f>
        <v>2</v>
      </c>
      <c r="F813" s="32">
        <f>VLOOKUP(A813,[3]s_03_24!E:G,3,FALSE)</f>
        <v>69.8</v>
      </c>
      <c r="G813" s="34">
        <f t="shared" si="75"/>
        <v>0.32186664207322696</v>
      </c>
      <c r="H813" s="33">
        <f t="shared" si="73"/>
        <v>8</v>
      </c>
      <c r="I813" s="32">
        <f t="shared" si="73"/>
        <v>216.86</v>
      </c>
      <c r="J813" s="33">
        <f>VLOOKUP(A813,[3]v_03_23!F:I,3,FALSE)</f>
        <v>13</v>
      </c>
      <c r="K813" s="32">
        <f>VLOOKUP(A813,[3]v_03_23!F:I,4,FALSE)</f>
        <v>318.63</v>
      </c>
      <c r="L813" s="31">
        <f t="shared" si="74"/>
        <v>-5</v>
      </c>
      <c r="M813" s="31">
        <f t="shared" si="74"/>
        <v>-101.76999999999998</v>
      </c>
      <c r="N813" s="35">
        <f t="shared" si="76"/>
        <v>-0.3193986755798261</v>
      </c>
    </row>
    <row r="814" spans="1:14" x14ac:dyDescent="0.25">
      <c r="A814" s="36" t="s">
        <v>203</v>
      </c>
      <c r="B814" s="32" t="s">
        <v>202</v>
      </c>
      <c r="C814" s="33">
        <f>VLOOKUP(A814,[3]v_03_24!F:I,3,FALSE)</f>
        <v>2</v>
      </c>
      <c r="D814" s="32">
        <f>VLOOKUP(A814,[3]v_03_24!F:I,4,FALSE)</f>
        <v>54.55</v>
      </c>
      <c r="E814" s="33">
        <v>0</v>
      </c>
      <c r="F814" s="32">
        <v>0</v>
      </c>
      <c r="G814" s="34">
        <f t="shared" si="75"/>
        <v>0</v>
      </c>
      <c r="H814" s="33">
        <f t="shared" si="73"/>
        <v>2</v>
      </c>
      <c r="I814" s="32">
        <f t="shared" si="73"/>
        <v>54.55</v>
      </c>
      <c r="J814" s="33">
        <f>VLOOKUP(A814,[3]v_03_23!F:I,3,FALSE)</f>
        <v>7</v>
      </c>
      <c r="K814" s="32">
        <f>VLOOKUP(A814,[3]v_03_23!F:I,4,FALSE)</f>
        <v>177.75</v>
      </c>
      <c r="L814" s="31">
        <f t="shared" si="74"/>
        <v>-5</v>
      </c>
      <c r="M814" s="31">
        <f t="shared" si="74"/>
        <v>-123.2</v>
      </c>
      <c r="N814" s="35">
        <f t="shared" si="76"/>
        <v>-0.69310829817158937</v>
      </c>
    </row>
    <row r="815" spans="1:14" x14ac:dyDescent="0.25">
      <c r="A815" s="31" t="s">
        <v>205</v>
      </c>
      <c r="B815" s="32" t="s">
        <v>204</v>
      </c>
      <c r="C815" s="33">
        <v>0</v>
      </c>
      <c r="D815" s="32">
        <v>0</v>
      </c>
      <c r="E815" s="33">
        <v>0</v>
      </c>
      <c r="F815" s="32">
        <v>0</v>
      </c>
      <c r="G815" s="34"/>
      <c r="H815" s="33">
        <f t="shared" si="73"/>
        <v>0</v>
      </c>
      <c r="I815" s="32">
        <f t="shared" si="73"/>
        <v>0</v>
      </c>
      <c r="J815" s="33">
        <f>VLOOKUP(A815,[3]v_03_23!F:I,3,FALSE)</f>
        <v>4</v>
      </c>
      <c r="K815" s="32">
        <f>VLOOKUP(A815,[3]v_03_23!F:I,4,FALSE)</f>
        <v>64.099999999999994</v>
      </c>
      <c r="L815" s="31">
        <f t="shared" si="74"/>
        <v>-4</v>
      </c>
      <c r="M815" s="31">
        <f t="shared" si="74"/>
        <v>-64.099999999999994</v>
      </c>
      <c r="N815" s="35">
        <f t="shared" si="76"/>
        <v>-1</v>
      </c>
    </row>
    <row r="816" spans="1:14" x14ac:dyDescent="0.25">
      <c r="A816" s="31" t="s">
        <v>207</v>
      </c>
      <c r="B816" s="32" t="s">
        <v>206</v>
      </c>
      <c r="C816" s="33">
        <f>VLOOKUP(A816,[3]v_03_24!F:I,3,FALSE)</f>
        <v>9</v>
      </c>
      <c r="D816" s="32">
        <f>VLOOKUP(A816,[3]v_03_24!F:I,4,FALSE)</f>
        <v>182.97</v>
      </c>
      <c r="E816" s="33">
        <v>0</v>
      </c>
      <c r="F816" s="32">
        <v>0</v>
      </c>
      <c r="G816" s="34">
        <f t="shared" si="75"/>
        <v>0</v>
      </c>
      <c r="H816" s="33">
        <f t="shared" si="73"/>
        <v>9</v>
      </c>
      <c r="I816" s="32">
        <f t="shared" si="73"/>
        <v>182.97</v>
      </c>
      <c r="J816" s="33">
        <f>VLOOKUP(A816,[3]v_03_23!F:I,3,FALSE)</f>
        <v>88</v>
      </c>
      <c r="K816" s="32">
        <f>VLOOKUP(A816,[3]v_03_23!F:I,4,FALSE)</f>
        <v>1595.46</v>
      </c>
      <c r="L816" s="31">
        <f t="shared" si="74"/>
        <v>-79</v>
      </c>
      <c r="M816" s="31">
        <f t="shared" si="74"/>
        <v>-1412.49</v>
      </c>
      <c r="N816" s="35">
        <f t="shared" si="76"/>
        <v>-0.88531834079199723</v>
      </c>
    </row>
    <row r="817" spans="1:14" x14ac:dyDescent="0.25">
      <c r="A817" s="31" t="s">
        <v>209</v>
      </c>
      <c r="B817" s="32" t="s">
        <v>208</v>
      </c>
      <c r="C817" s="33">
        <v>0</v>
      </c>
      <c r="D817" s="32">
        <v>0</v>
      </c>
      <c r="E817" s="33">
        <v>0</v>
      </c>
      <c r="F817" s="32">
        <v>0</v>
      </c>
      <c r="G817" s="34"/>
      <c r="H817" s="33">
        <f t="shared" si="73"/>
        <v>0</v>
      </c>
      <c r="I817" s="32">
        <f t="shared" si="73"/>
        <v>0</v>
      </c>
      <c r="J817" s="33">
        <v>0</v>
      </c>
      <c r="K817" s="32">
        <v>0</v>
      </c>
      <c r="L817" s="31">
        <f t="shared" si="74"/>
        <v>0</v>
      </c>
      <c r="M817" s="31">
        <f t="shared" si="74"/>
        <v>0</v>
      </c>
      <c r="N817" s="35"/>
    </row>
    <row r="818" spans="1:14" x14ac:dyDescent="0.25">
      <c r="A818" s="31" t="s">
        <v>211</v>
      </c>
      <c r="B818" s="32" t="s">
        <v>210</v>
      </c>
      <c r="C818" s="33">
        <f>VLOOKUP(A818,[3]v_03_24!F:I,3,FALSE)</f>
        <v>30</v>
      </c>
      <c r="D818" s="32">
        <f>VLOOKUP(A818,[3]v_03_24!F:I,4,FALSE)</f>
        <v>488.1</v>
      </c>
      <c r="E818" s="33">
        <f>VLOOKUP(A818,[3]s_03_24!E:G,2,FALSE)</f>
        <v>27</v>
      </c>
      <c r="F818" s="32">
        <f>VLOOKUP(A818,[3]s_03_24!E:G,3,FALSE)</f>
        <v>556.34999999999968</v>
      </c>
      <c r="G818" s="34">
        <f t="shared" si="75"/>
        <v>0.53267269854947563</v>
      </c>
      <c r="H818" s="33">
        <f t="shared" si="73"/>
        <v>57</v>
      </c>
      <c r="I818" s="32">
        <f t="shared" si="73"/>
        <v>1044.4499999999998</v>
      </c>
      <c r="J818" s="33">
        <f>VLOOKUP(A818,[3]v_03_23!F:I,3,FALSE)</f>
        <v>100</v>
      </c>
      <c r="K818" s="32">
        <f>VLOOKUP(A818,[3]v_03_23!F:I,4,FALSE)</f>
        <v>1626</v>
      </c>
      <c r="L818" s="31">
        <f t="shared" si="74"/>
        <v>-43</v>
      </c>
      <c r="M818" s="31">
        <f t="shared" si="74"/>
        <v>-581.55000000000018</v>
      </c>
      <c r="N818" s="35">
        <f t="shared" si="76"/>
        <v>-0.35765682656826581</v>
      </c>
    </row>
    <row r="819" spans="1:14" x14ac:dyDescent="0.25">
      <c r="A819" s="31" t="s">
        <v>213</v>
      </c>
      <c r="B819" s="32" t="s">
        <v>212</v>
      </c>
      <c r="C819" s="33">
        <v>0</v>
      </c>
      <c r="D819" s="32">
        <v>0</v>
      </c>
      <c r="E819" s="33">
        <v>0</v>
      </c>
      <c r="F819" s="32">
        <v>0</v>
      </c>
      <c r="G819" s="34"/>
      <c r="H819" s="33">
        <f t="shared" si="73"/>
        <v>0</v>
      </c>
      <c r="I819" s="32">
        <f t="shared" si="73"/>
        <v>0</v>
      </c>
      <c r="J819" s="33">
        <v>0</v>
      </c>
      <c r="K819" s="32">
        <v>0</v>
      </c>
      <c r="L819" s="31">
        <f t="shared" si="74"/>
        <v>0</v>
      </c>
      <c r="M819" s="31">
        <f t="shared" si="74"/>
        <v>0</v>
      </c>
      <c r="N819" s="35"/>
    </row>
    <row r="820" spans="1:14" x14ac:dyDescent="0.25">
      <c r="A820" s="31" t="s">
        <v>215</v>
      </c>
      <c r="B820" s="32" t="s">
        <v>214</v>
      </c>
      <c r="C820" s="33">
        <f>VLOOKUP(A820,[3]v_03_24!F:I,3,FALSE)</f>
        <v>7</v>
      </c>
      <c r="D820" s="32">
        <f>VLOOKUP(A820,[3]v_03_24!F:I,4,FALSE)</f>
        <v>121.73</v>
      </c>
      <c r="E820" s="33">
        <v>0</v>
      </c>
      <c r="F820" s="32">
        <v>0</v>
      </c>
      <c r="G820" s="34">
        <f t="shared" si="75"/>
        <v>0</v>
      </c>
      <c r="H820" s="33">
        <f t="shared" si="73"/>
        <v>7</v>
      </c>
      <c r="I820" s="32">
        <f t="shared" si="73"/>
        <v>121.73</v>
      </c>
      <c r="J820" s="33">
        <f>VLOOKUP(A820,[3]v_03_23!F:I,3,FALSE)</f>
        <v>29</v>
      </c>
      <c r="K820" s="32">
        <f>VLOOKUP(A820,[3]v_03_23!F:I,4,FALSE)</f>
        <v>482.67</v>
      </c>
      <c r="L820" s="31">
        <f t="shared" si="74"/>
        <v>-22</v>
      </c>
      <c r="M820" s="31">
        <f t="shared" si="74"/>
        <v>-360.94</v>
      </c>
      <c r="N820" s="35">
        <f t="shared" si="76"/>
        <v>-0.74779870304763085</v>
      </c>
    </row>
    <row r="821" spans="1:14" x14ac:dyDescent="0.25">
      <c r="A821" s="31" t="s">
        <v>217</v>
      </c>
      <c r="B821" s="32" t="s">
        <v>216</v>
      </c>
      <c r="C821" s="33">
        <f>VLOOKUP(A821,[3]v_03_24!F:I,3,FALSE)</f>
        <v>191</v>
      </c>
      <c r="D821" s="32">
        <f>VLOOKUP(A821,[3]v_03_24!F:I,4,FALSE)</f>
        <v>2651.93</v>
      </c>
      <c r="E821" s="33">
        <f>VLOOKUP(A821,[3]s_03_24!E:G,2,FALSE)</f>
        <v>9</v>
      </c>
      <c r="F821" s="32">
        <f>VLOOKUP(A821,[3]s_03_24!E:G,3,FALSE)</f>
        <v>197.10000000000002</v>
      </c>
      <c r="G821" s="34">
        <f t="shared" si="75"/>
        <v>6.9181440700870137E-2</v>
      </c>
      <c r="H821" s="33">
        <f t="shared" si="73"/>
        <v>200</v>
      </c>
      <c r="I821" s="32">
        <f t="shared" si="73"/>
        <v>2849.0299999999997</v>
      </c>
      <c r="J821" s="33">
        <f>VLOOKUP(A821,[3]v_03_23!F:I,3,FALSE)</f>
        <v>199</v>
      </c>
      <c r="K821" s="32">
        <f>VLOOKUP(A821,[3]v_03_23!F:I,4,FALSE)</f>
        <v>3586.73</v>
      </c>
      <c r="L821" s="31">
        <f t="shared" si="74"/>
        <v>1</v>
      </c>
      <c r="M821" s="31">
        <f t="shared" si="74"/>
        <v>-737.70000000000027</v>
      </c>
      <c r="N821" s="35">
        <f t="shared" si="76"/>
        <v>-0.20567480685749981</v>
      </c>
    </row>
    <row r="822" spans="1:14" x14ac:dyDescent="0.25">
      <c r="A822" s="31" t="s">
        <v>219</v>
      </c>
      <c r="B822" s="32" t="s">
        <v>218</v>
      </c>
      <c r="C822" s="33">
        <f>VLOOKUP(A822,[3]v_03_24!F:I,3,FALSE)</f>
        <v>17</v>
      </c>
      <c r="D822" s="32">
        <f>VLOOKUP(A822,[3]v_03_24!F:I,4,FALSE)</f>
        <v>179.69</v>
      </c>
      <c r="E822" s="33">
        <v>0</v>
      </c>
      <c r="F822" s="32">
        <v>0</v>
      </c>
      <c r="G822" s="34">
        <f t="shared" si="75"/>
        <v>0</v>
      </c>
      <c r="H822" s="33">
        <f t="shared" si="73"/>
        <v>17</v>
      </c>
      <c r="I822" s="32">
        <f t="shared" si="73"/>
        <v>179.69</v>
      </c>
      <c r="J822" s="33">
        <f>VLOOKUP(A822,[3]v_03_23!F:I,3,FALSE)</f>
        <v>54</v>
      </c>
      <c r="K822" s="32">
        <f>VLOOKUP(A822,[3]v_03_23!F:I,4,FALSE)</f>
        <v>875</v>
      </c>
      <c r="L822" s="31">
        <f t="shared" si="74"/>
        <v>-37</v>
      </c>
      <c r="M822" s="31">
        <f t="shared" si="74"/>
        <v>-695.31</v>
      </c>
      <c r="N822" s="35">
        <f t="shared" si="76"/>
        <v>-0.7946399999999999</v>
      </c>
    </row>
    <row r="823" spans="1:14" x14ac:dyDescent="0.25">
      <c r="A823" s="31" t="s">
        <v>221</v>
      </c>
      <c r="B823" s="32" t="s">
        <v>220</v>
      </c>
      <c r="C823" s="33">
        <f>VLOOKUP(A823,[3]v_03_24!F:I,3,FALSE)</f>
        <v>1</v>
      </c>
      <c r="D823" s="32">
        <f>VLOOKUP(A823,[3]v_03_24!F:I,4,FALSE)</f>
        <v>12.48</v>
      </c>
      <c r="E823" s="33">
        <v>0</v>
      </c>
      <c r="F823" s="32">
        <v>0</v>
      </c>
      <c r="G823" s="34">
        <f t="shared" si="75"/>
        <v>0</v>
      </c>
      <c r="H823" s="33">
        <f t="shared" si="73"/>
        <v>1</v>
      </c>
      <c r="I823" s="32">
        <f t="shared" si="73"/>
        <v>12.48</v>
      </c>
      <c r="J823" s="33">
        <f>VLOOKUP(A823,[3]v_03_23!F:I,3,FALSE)</f>
        <v>2</v>
      </c>
      <c r="K823" s="32">
        <f>VLOOKUP(A823,[3]v_03_23!F:I,4,FALSE)</f>
        <v>21.75</v>
      </c>
      <c r="L823" s="31">
        <f t="shared" si="74"/>
        <v>-1</v>
      </c>
      <c r="M823" s="31">
        <f t="shared" si="74"/>
        <v>-9.27</v>
      </c>
      <c r="N823" s="35">
        <f t="shared" si="76"/>
        <v>-0.42620689655172411</v>
      </c>
    </row>
    <row r="824" spans="1:14" x14ac:dyDescent="0.25">
      <c r="A824" s="31" t="s">
        <v>223</v>
      </c>
      <c r="B824" s="32" t="s">
        <v>222</v>
      </c>
      <c r="C824" s="33">
        <f>VLOOKUP(A824,[3]v_03_24!F:I,3,FALSE)</f>
        <v>2</v>
      </c>
      <c r="D824" s="32">
        <f>VLOOKUP(A824,[3]v_03_24!F:I,4,FALSE)</f>
        <v>21.14</v>
      </c>
      <c r="E824" s="33">
        <f>VLOOKUP(A824,[3]s_03_24!E:G,2,FALSE)</f>
        <v>158</v>
      </c>
      <c r="F824" s="32">
        <f>VLOOKUP(A824,[3]s_03_24!E:G,3,FALSE)</f>
        <v>2588.2000000000035</v>
      </c>
      <c r="G824" s="34">
        <f t="shared" si="75"/>
        <v>0.99189833444472553</v>
      </c>
      <c r="H824" s="33">
        <f t="shared" si="73"/>
        <v>160</v>
      </c>
      <c r="I824" s="32">
        <f t="shared" si="73"/>
        <v>2609.3400000000033</v>
      </c>
      <c r="J824" s="33">
        <f>VLOOKUP(A824,[3]v_03_23!F:I,3,FALSE)</f>
        <v>506</v>
      </c>
      <c r="K824" s="32">
        <f>VLOOKUP(A824,[3]v_03_23!F:I,4,FALSE)</f>
        <v>4080.61</v>
      </c>
      <c r="L824" s="31">
        <f t="shared" si="74"/>
        <v>-346</v>
      </c>
      <c r="M824" s="31">
        <f t="shared" si="74"/>
        <v>-1471.2699999999968</v>
      </c>
      <c r="N824" s="35">
        <f t="shared" si="76"/>
        <v>-0.36055148617486033</v>
      </c>
    </row>
    <row r="825" spans="1:14" x14ac:dyDescent="0.25">
      <c r="A825" s="31" t="s">
        <v>225</v>
      </c>
      <c r="B825" s="32" t="s">
        <v>224</v>
      </c>
      <c r="C825" s="33">
        <f>VLOOKUP(A825,[3]v_03_24!F:I,3,FALSE)</f>
        <v>63</v>
      </c>
      <c r="D825" s="32">
        <f>VLOOKUP(A825,[3]v_03_24!F:I,4,FALSE)</f>
        <v>567.63</v>
      </c>
      <c r="E825" s="33">
        <v>0</v>
      </c>
      <c r="F825" s="32">
        <v>0</v>
      </c>
      <c r="G825" s="34">
        <f t="shared" si="75"/>
        <v>0</v>
      </c>
      <c r="H825" s="33">
        <f t="shared" si="73"/>
        <v>63</v>
      </c>
      <c r="I825" s="32">
        <f t="shared" si="73"/>
        <v>567.63</v>
      </c>
      <c r="J825" s="33">
        <f>VLOOKUP(A825,[3]v_03_23!F:I,3,FALSE)</f>
        <v>742</v>
      </c>
      <c r="K825" s="32">
        <f>VLOOKUP(A825,[3]v_03_23!F:I,4,FALSE)</f>
        <v>5416.6</v>
      </c>
      <c r="L825" s="31">
        <f t="shared" si="74"/>
        <v>-679</v>
      </c>
      <c r="M825" s="31">
        <f t="shared" si="74"/>
        <v>-4848.97</v>
      </c>
      <c r="N825" s="35">
        <f t="shared" si="76"/>
        <v>-0.89520547945205475</v>
      </c>
    </row>
    <row r="826" spans="1:14" x14ac:dyDescent="0.25">
      <c r="A826" s="31" t="s">
        <v>227</v>
      </c>
      <c r="B826" s="32" t="s">
        <v>226</v>
      </c>
      <c r="C826" s="33">
        <v>0</v>
      </c>
      <c r="D826" s="32">
        <v>0</v>
      </c>
      <c r="E826" s="33">
        <v>0</v>
      </c>
      <c r="F826" s="32">
        <v>0</v>
      </c>
      <c r="G826" s="34"/>
      <c r="H826" s="33">
        <f t="shared" si="73"/>
        <v>0</v>
      </c>
      <c r="I826" s="32">
        <f t="shared" si="73"/>
        <v>0</v>
      </c>
      <c r="J826" s="33">
        <f>VLOOKUP(A826,[3]v_03_23!F:I,3,FALSE)</f>
        <v>9</v>
      </c>
      <c r="K826" s="32">
        <f>VLOOKUP(A826,[3]v_03_23!F:I,4,FALSE)</f>
        <v>120.69</v>
      </c>
      <c r="L826" s="31">
        <f t="shared" si="74"/>
        <v>-9</v>
      </c>
      <c r="M826" s="31">
        <f t="shared" si="74"/>
        <v>-120.69</v>
      </c>
      <c r="N826" s="35">
        <f t="shared" si="76"/>
        <v>-1</v>
      </c>
    </row>
    <row r="827" spans="1:14" x14ac:dyDescent="0.25">
      <c r="A827" s="31" t="s">
        <v>229</v>
      </c>
      <c r="B827" s="32" t="s">
        <v>228</v>
      </c>
      <c r="C827" s="33">
        <v>0</v>
      </c>
      <c r="D827" s="32">
        <v>0</v>
      </c>
      <c r="E827" s="33">
        <f>VLOOKUP(A827,[3]s_03_24!E:G,2,FALSE)</f>
        <v>15</v>
      </c>
      <c r="F827" s="32">
        <f>VLOOKUP(A827,[3]s_03_24!E:G,3,FALSE)</f>
        <v>598.49999999999989</v>
      </c>
      <c r="G827" s="34">
        <f t="shared" si="75"/>
        <v>1</v>
      </c>
      <c r="H827" s="33">
        <f t="shared" si="73"/>
        <v>15</v>
      </c>
      <c r="I827" s="32">
        <f t="shared" si="73"/>
        <v>598.49999999999989</v>
      </c>
      <c r="J827" s="33">
        <v>0</v>
      </c>
      <c r="K827" s="32">
        <v>0</v>
      </c>
      <c r="L827" s="31">
        <f t="shared" si="74"/>
        <v>15</v>
      </c>
      <c r="M827" s="31">
        <f t="shared" si="74"/>
        <v>598.49999999999989</v>
      </c>
      <c r="N827" s="35"/>
    </row>
    <row r="828" spans="1:14" x14ac:dyDescent="0.25">
      <c r="A828" s="31" t="s">
        <v>231</v>
      </c>
      <c r="B828" s="32" t="s">
        <v>230</v>
      </c>
      <c r="C828" s="33">
        <f>VLOOKUP(A828,[3]v_03_24!F:I,3,FALSE)</f>
        <v>4</v>
      </c>
      <c r="D828" s="32">
        <f>VLOOKUP(A828,[3]v_03_24!F:I,4,FALSE)</f>
        <v>158.49</v>
      </c>
      <c r="E828" s="33">
        <v>0</v>
      </c>
      <c r="F828" s="32">
        <v>0</v>
      </c>
      <c r="G828" s="34">
        <f t="shared" si="75"/>
        <v>0</v>
      </c>
      <c r="H828" s="33">
        <f t="shared" si="73"/>
        <v>4</v>
      </c>
      <c r="I828" s="32">
        <f t="shared" si="73"/>
        <v>158.49</v>
      </c>
      <c r="J828" s="33">
        <f>VLOOKUP(A828,[3]v_03_23!F:I,3,FALSE)</f>
        <v>38</v>
      </c>
      <c r="K828" s="32">
        <f>VLOOKUP(A828,[3]v_03_23!F:I,4,FALSE)</f>
        <v>1650.82</v>
      </c>
      <c r="L828" s="31">
        <f t="shared" si="74"/>
        <v>-34</v>
      </c>
      <c r="M828" s="31">
        <f t="shared" si="74"/>
        <v>-1492.33</v>
      </c>
      <c r="N828" s="35">
        <f t="shared" si="76"/>
        <v>-0.90399316703214161</v>
      </c>
    </row>
    <row r="829" spans="1:14" x14ac:dyDescent="0.25">
      <c r="A829" s="31" t="s">
        <v>233</v>
      </c>
      <c r="B829" s="32" t="s">
        <v>232</v>
      </c>
      <c r="C829" s="33">
        <f>VLOOKUP(A829,[3]v_03_24!F:I,3,FALSE)</f>
        <v>19</v>
      </c>
      <c r="D829" s="32">
        <f>VLOOKUP(A829,[3]v_03_24!F:I,4,FALSE)</f>
        <v>1088.7</v>
      </c>
      <c r="E829" s="33">
        <v>0</v>
      </c>
      <c r="F829" s="32">
        <v>0</v>
      </c>
      <c r="G829" s="34">
        <f t="shared" si="75"/>
        <v>0</v>
      </c>
      <c r="H829" s="33">
        <f t="shared" si="73"/>
        <v>19</v>
      </c>
      <c r="I829" s="32">
        <f t="shared" si="73"/>
        <v>1088.7</v>
      </c>
      <c r="J829" s="33">
        <f>VLOOKUP(A829,[3]v_03_23!F:I,3,FALSE)</f>
        <v>71</v>
      </c>
      <c r="K829" s="32">
        <f>VLOOKUP(A829,[3]v_03_23!F:I,4,FALSE)</f>
        <v>3502.16</v>
      </c>
      <c r="L829" s="31">
        <f t="shared" si="74"/>
        <v>-52</v>
      </c>
      <c r="M829" s="31">
        <f t="shared" si="74"/>
        <v>-2413.46</v>
      </c>
      <c r="N829" s="35">
        <f t="shared" si="76"/>
        <v>-0.68913470543892918</v>
      </c>
    </row>
    <row r="830" spans="1:14" x14ac:dyDescent="0.25">
      <c r="A830" s="31" t="s">
        <v>235</v>
      </c>
      <c r="B830" s="32" t="s">
        <v>234</v>
      </c>
      <c r="C830" s="33">
        <f>VLOOKUP(A830,[3]v_03_24!F:I,3,FALSE)</f>
        <v>2</v>
      </c>
      <c r="D830" s="32">
        <f>VLOOKUP(A830,[3]v_03_24!F:I,4,FALSE)</f>
        <v>9.82</v>
      </c>
      <c r="E830" s="33">
        <v>0</v>
      </c>
      <c r="F830" s="32">
        <v>0</v>
      </c>
      <c r="G830" s="34">
        <f t="shared" si="75"/>
        <v>0</v>
      </c>
      <c r="H830" s="33">
        <f t="shared" si="73"/>
        <v>2</v>
      </c>
      <c r="I830" s="32">
        <f t="shared" si="73"/>
        <v>9.82</v>
      </c>
      <c r="J830" s="33">
        <f>VLOOKUP(A830,[3]v_03_23!F:I,3,FALSE)</f>
        <v>4</v>
      </c>
      <c r="K830" s="32">
        <f>VLOOKUP(A830,[3]v_03_23!F:I,4,FALSE)</f>
        <v>16.079999999999998</v>
      </c>
      <c r="L830" s="31">
        <f t="shared" si="74"/>
        <v>-2</v>
      </c>
      <c r="M830" s="31">
        <f t="shared" si="74"/>
        <v>-6.259999999999998</v>
      </c>
      <c r="N830" s="35">
        <f t="shared" si="76"/>
        <v>-0.3893034825870646</v>
      </c>
    </row>
    <row r="831" spans="1:14" x14ac:dyDescent="0.25">
      <c r="A831" s="31" t="s">
        <v>237</v>
      </c>
      <c r="B831" s="32" t="s">
        <v>236</v>
      </c>
      <c r="C831" s="33">
        <f>VLOOKUP(A831,[3]v_03_24!F:I,3,FALSE)</f>
        <v>4</v>
      </c>
      <c r="D831" s="32">
        <f>VLOOKUP(A831,[3]v_03_24!F:I,4,FALSE)</f>
        <v>65.239999999999995</v>
      </c>
      <c r="E831" s="33">
        <v>0</v>
      </c>
      <c r="F831" s="32">
        <v>0</v>
      </c>
      <c r="G831" s="34">
        <f t="shared" si="75"/>
        <v>0</v>
      </c>
      <c r="H831" s="33">
        <f t="shared" si="73"/>
        <v>4</v>
      </c>
      <c r="I831" s="32">
        <f t="shared" si="73"/>
        <v>65.239999999999995</v>
      </c>
      <c r="J831" s="33">
        <f>VLOOKUP(A831,[3]v_03_23!F:I,3,FALSE)</f>
        <v>2</v>
      </c>
      <c r="K831" s="32">
        <f>VLOOKUP(A831,[3]v_03_23!F:I,4,FALSE)</f>
        <v>32.619999999999997</v>
      </c>
      <c r="L831" s="31">
        <f t="shared" si="74"/>
        <v>2</v>
      </c>
      <c r="M831" s="31">
        <f t="shared" si="74"/>
        <v>32.619999999999997</v>
      </c>
      <c r="N831" s="35">
        <f t="shared" si="76"/>
        <v>1</v>
      </c>
    </row>
    <row r="832" spans="1:14" x14ac:dyDescent="0.25">
      <c r="A832" s="31" t="s">
        <v>239</v>
      </c>
      <c r="B832" s="32" t="s">
        <v>238</v>
      </c>
      <c r="C832" s="33">
        <v>0</v>
      </c>
      <c r="D832" s="32">
        <v>0</v>
      </c>
      <c r="E832" s="33">
        <f>VLOOKUP(A832,[3]s_03_24!E:G,2,FALSE)</f>
        <v>19</v>
      </c>
      <c r="F832" s="32">
        <f>VLOOKUP(A832,[3]s_03_24!E:G,3,FALSE)</f>
        <v>1430.1</v>
      </c>
      <c r="G832" s="34">
        <f t="shared" si="75"/>
        <v>1</v>
      </c>
      <c r="H832" s="33">
        <f t="shared" si="73"/>
        <v>19</v>
      </c>
      <c r="I832" s="32">
        <f t="shared" si="73"/>
        <v>1430.1</v>
      </c>
      <c r="J832" s="33">
        <v>0</v>
      </c>
      <c r="K832" s="32">
        <v>0</v>
      </c>
      <c r="L832" s="31">
        <f t="shared" si="74"/>
        <v>19</v>
      </c>
      <c r="M832" s="31">
        <f t="shared" si="74"/>
        <v>1430.1</v>
      </c>
      <c r="N832" s="35"/>
    </row>
    <row r="833" spans="1:14" x14ac:dyDescent="0.25">
      <c r="A833" s="31" t="s">
        <v>241</v>
      </c>
      <c r="B833" s="32" t="s">
        <v>240</v>
      </c>
      <c r="C833" s="33">
        <f>VLOOKUP(A833,[3]v_03_24!F:I,3,FALSE)</f>
        <v>0</v>
      </c>
      <c r="D833" s="32">
        <f>VLOOKUP(A833,[3]v_03_24!F:I,4,FALSE)</f>
        <v>0</v>
      </c>
      <c r="E833" s="33">
        <v>0</v>
      </c>
      <c r="F833" s="32">
        <v>0</v>
      </c>
      <c r="G833" s="34"/>
      <c r="H833" s="33">
        <f t="shared" si="73"/>
        <v>0</v>
      </c>
      <c r="I833" s="32">
        <f t="shared" si="73"/>
        <v>0</v>
      </c>
      <c r="J833" s="33">
        <f>VLOOKUP(A833,[3]v_03_23!F:I,3,FALSE)</f>
        <v>9</v>
      </c>
      <c r="K833" s="32">
        <f>VLOOKUP(A833,[3]v_03_23!F:I,4,FALSE)</f>
        <v>249.35</v>
      </c>
      <c r="L833" s="31">
        <f t="shared" si="74"/>
        <v>-9</v>
      </c>
      <c r="M833" s="31">
        <f t="shared" si="74"/>
        <v>-249.35</v>
      </c>
      <c r="N833" s="35">
        <f t="shared" si="76"/>
        <v>-1</v>
      </c>
    </row>
    <row r="834" spans="1:14" x14ac:dyDescent="0.25">
      <c r="A834" s="31" t="s">
        <v>243</v>
      </c>
      <c r="B834" s="32" t="s">
        <v>242</v>
      </c>
      <c r="C834" s="33">
        <f>VLOOKUP(A834,[3]v_03_24!F:I,3,FALSE)</f>
        <v>4</v>
      </c>
      <c r="D834" s="32">
        <f>VLOOKUP(A834,[3]v_03_24!F:I,4,FALSE)</f>
        <v>52.22</v>
      </c>
      <c r="E834" s="33">
        <v>0</v>
      </c>
      <c r="F834" s="32">
        <v>0</v>
      </c>
      <c r="G834" s="34">
        <f t="shared" si="75"/>
        <v>0</v>
      </c>
      <c r="H834" s="33">
        <f t="shared" si="73"/>
        <v>4</v>
      </c>
      <c r="I834" s="32">
        <f t="shared" si="73"/>
        <v>52.22</v>
      </c>
      <c r="J834" s="33">
        <f>VLOOKUP(A834,[3]v_03_23!F:I,3,FALSE)</f>
        <v>50</v>
      </c>
      <c r="K834" s="32">
        <f>VLOOKUP(A834,[3]v_03_23!F:I,4,FALSE)</f>
        <v>610.5</v>
      </c>
      <c r="L834" s="31">
        <f t="shared" si="74"/>
        <v>-46</v>
      </c>
      <c r="M834" s="31">
        <f t="shared" si="74"/>
        <v>-558.28</v>
      </c>
      <c r="N834" s="35">
        <f t="shared" si="76"/>
        <v>-0.91446355446355443</v>
      </c>
    </row>
    <row r="835" spans="1:14" x14ac:dyDescent="0.25">
      <c r="A835" s="31" t="s">
        <v>245</v>
      </c>
      <c r="B835" s="32" t="s">
        <v>244</v>
      </c>
      <c r="C835" s="33">
        <v>0</v>
      </c>
      <c r="D835" s="32">
        <v>0</v>
      </c>
      <c r="E835" s="33">
        <v>0</v>
      </c>
      <c r="F835" s="32">
        <v>0</v>
      </c>
      <c r="G835" s="34"/>
      <c r="H835" s="33">
        <f t="shared" si="73"/>
        <v>0</v>
      </c>
      <c r="I835" s="32">
        <f t="shared" si="73"/>
        <v>0</v>
      </c>
      <c r="J835" s="33">
        <v>0</v>
      </c>
      <c r="K835" s="32">
        <v>0</v>
      </c>
      <c r="L835" s="31">
        <f t="shared" si="74"/>
        <v>0</v>
      </c>
      <c r="M835" s="31">
        <f t="shared" si="74"/>
        <v>0</v>
      </c>
      <c r="N835" s="35"/>
    </row>
    <row r="836" spans="1:14" x14ac:dyDescent="0.25">
      <c r="A836" s="31" t="s">
        <v>247</v>
      </c>
      <c r="B836" s="32" t="s">
        <v>246</v>
      </c>
      <c r="C836" s="33">
        <f>VLOOKUP(A836,[3]v_03_24!F:I,3,FALSE)</f>
        <v>9</v>
      </c>
      <c r="D836" s="32">
        <f>VLOOKUP(A836,[3]v_03_24!F:I,4,FALSE)</f>
        <v>203.19</v>
      </c>
      <c r="E836" s="33">
        <v>0</v>
      </c>
      <c r="F836" s="32">
        <v>0</v>
      </c>
      <c r="G836" s="34">
        <f t="shared" si="75"/>
        <v>0</v>
      </c>
      <c r="H836" s="33">
        <f t="shared" si="73"/>
        <v>9</v>
      </c>
      <c r="I836" s="32">
        <f t="shared" si="73"/>
        <v>203.19</v>
      </c>
      <c r="J836" s="33">
        <f>VLOOKUP(A836,[3]v_03_23!F:I,3,FALSE)</f>
        <v>9</v>
      </c>
      <c r="K836" s="32">
        <f>VLOOKUP(A836,[3]v_03_23!F:I,4,FALSE)</f>
        <v>220.59</v>
      </c>
      <c r="L836" s="31">
        <f t="shared" si="74"/>
        <v>0</v>
      </c>
      <c r="M836" s="31">
        <f t="shared" si="74"/>
        <v>-17.400000000000006</v>
      </c>
      <c r="N836" s="35">
        <f t="shared" si="76"/>
        <v>-7.887936896504831E-2</v>
      </c>
    </row>
    <row r="837" spans="1:14" x14ac:dyDescent="0.25">
      <c r="A837" s="31" t="s">
        <v>249</v>
      </c>
      <c r="B837" s="32" t="s">
        <v>248</v>
      </c>
      <c r="C837" s="33">
        <f>VLOOKUP(A837,[3]v_03_24!F:I,3,FALSE)</f>
        <v>0</v>
      </c>
      <c r="D837" s="32">
        <f>VLOOKUP(A837,[3]v_03_24!F:I,4,FALSE)</f>
        <v>0</v>
      </c>
      <c r="E837" s="33">
        <v>0</v>
      </c>
      <c r="F837" s="32">
        <v>0</v>
      </c>
      <c r="G837" s="34"/>
      <c r="H837" s="33">
        <f t="shared" si="73"/>
        <v>0</v>
      </c>
      <c r="I837" s="32">
        <f t="shared" si="73"/>
        <v>0</v>
      </c>
      <c r="J837" s="33">
        <f>VLOOKUP(A837,[3]v_03_23!F:I,3,FALSE)</f>
        <v>4</v>
      </c>
      <c r="K837" s="32">
        <f>VLOOKUP(A837,[3]v_03_23!F:I,4,FALSE)</f>
        <v>48.84</v>
      </c>
      <c r="L837" s="31">
        <f t="shared" si="74"/>
        <v>-4</v>
      </c>
      <c r="M837" s="31">
        <f t="shared" si="74"/>
        <v>-48.84</v>
      </c>
      <c r="N837" s="35">
        <f t="shared" si="76"/>
        <v>-1</v>
      </c>
    </row>
    <row r="838" spans="1:14" x14ac:dyDescent="0.25">
      <c r="A838" s="31" t="s">
        <v>251</v>
      </c>
      <c r="B838" s="32" t="s">
        <v>250</v>
      </c>
      <c r="C838" s="33">
        <f>VLOOKUP(A838,[3]v_03_24!F:I,3,FALSE)</f>
        <v>9</v>
      </c>
      <c r="D838" s="32">
        <f>VLOOKUP(A838,[3]v_03_24!F:I,4,FALSE)</f>
        <v>45.88</v>
      </c>
      <c r="E838" s="33">
        <v>0</v>
      </c>
      <c r="F838" s="32">
        <v>0</v>
      </c>
      <c r="G838" s="34">
        <f t="shared" si="75"/>
        <v>0</v>
      </c>
      <c r="H838" s="33">
        <f t="shared" si="73"/>
        <v>9</v>
      </c>
      <c r="I838" s="32">
        <f t="shared" si="73"/>
        <v>45.88</v>
      </c>
      <c r="J838" s="33">
        <f>VLOOKUP(A838,[3]v_03_23!F:I,3,FALSE)</f>
        <v>11</v>
      </c>
      <c r="K838" s="32">
        <f>VLOOKUP(A838,[3]v_03_23!F:I,4,FALSE)</f>
        <v>68.97</v>
      </c>
      <c r="L838" s="31">
        <f t="shared" si="74"/>
        <v>-2</v>
      </c>
      <c r="M838" s="31">
        <f t="shared" si="74"/>
        <v>-23.089999999999996</v>
      </c>
      <c r="N838" s="35">
        <f t="shared" si="76"/>
        <v>-0.33478323908945912</v>
      </c>
    </row>
    <row r="839" spans="1:14" x14ac:dyDescent="0.25">
      <c r="A839" s="31" t="s">
        <v>253</v>
      </c>
      <c r="B839" s="32" t="s">
        <v>252</v>
      </c>
      <c r="C839" s="33">
        <f>VLOOKUP(A839,[3]v_03_24!F:I,3,FALSE)</f>
        <v>0</v>
      </c>
      <c r="D839" s="32">
        <f>VLOOKUP(A839,[3]v_03_24!F:I,4,FALSE)</f>
        <v>0</v>
      </c>
      <c r="E839" s="33">
        <v>0</v>
      </c>
      <c r="F839" s="32">
        <v>0</v>
      </c>
      <c r="G839" s="34"/>
      <c r="H839" s="33">
        <f t="shared" si="73"/>
        <v>0</v>
      </c>
      <c r="I839" s="32">
        <f t="shared" si="73"/>
        <v>0</v>
      </c>
      <c r="J839" s="33">
        <f>VLOOKUP(A839,[3]v_03_23!F:I,3,FALSE)</f>
        <v>21</v>
      </c>
      <c r="K839" s="32">
        <f>VLOOKUP(A839,[3]v_03_23!F:I,4,FALSE)</f>
        <v>189.17</v>
      </c>
      <c r="L839" s="31">
        <f t="shared" si="74"/>
        <v>-21</v>
      </c>
      <c r="M839" s="31">
        <f t="shared" si="74"/>
        <v>-189.17</v>
      </c>
      <c r="N839" s="35">
        <f t="shared" si="76"/>
        <v>-1</v>
      </c>
    </row>
    <row r="840" spans="1:14" x14ac:dyDescent="0.25">
      <c r="A840" s="31" t="s">
        <v>255</v>
      </c>
      <c r="B840" s="32" t="s">
        <v>254</v>
      </c>
      <c r="C840" s="33">
        <v>0</v>
      </c>
      <c r="D840" s="32">
        <v>0</v>
      </c>
      <c r="E840" s="33">
        <v>0</v>
      </c>
      <c r="F840" s="32">
        <v>0</v>
      </c>
      <c r="G840" s="34"/>
      <c r="H840" s="33">
        <f t="shared" si="73"/>
        <v>0</v>
      </c>
      <c r="I840" s="32">
        <f t="shared" si="73"/>
        <v>0</v>
      </c>
      <c r="J840" s="33">
        <v>0</v>
      </c>
      <c r="K840" s="32">
        <v>0</v>
      </c>
      <c r="L840" s="31">
        <f t="shared" si="74"/>
        <v>0</v>
      </c>
      <c r="M840" s="31">
        <f t="shared" si="74"/>
        <v>0</v>
      </c>
      <c r="N840" s="35"/>
    </row>
    <row r="841" spans="1:14" x14ac:dyDescent="0.25">
      <c r="A841" s="31" t="s">
        <v>257</v>
      </c>
      <c r="B841" s="32" t="s">
        <v>256</v>
      </c>
      <c r="C841" s="33">
        <f>VLOOKUP(A841,[3]v_03_24!F:I,3,FALSE)</f>
        <v>2</v>
      </c>
      <c r="D841" s="32">
        <f>VLOOKUP(A841,[3]v_03_24!F:I,4,FALSE)</f>
        <v>30.66</v>
      </c>
      <c r="E841" s="33">
        <v>0</v>
      </c>
      <c r="F841" s="32">
        <v>0</v>
      </c>
      <c r="G841" s="34">
        <f t="shared" si="75"/>
        <v>0</v>
      </c>
      <c r="H841" s="33">
        <f t="shared" si="73"/>
        <v>2</v>
      </c>
      <c r="I841" s="32">
        <f t="shared" si="73"/>
        <v>30.66</v>
      </c>
      <c r="J841" s="33">
        <f>VLOOKUP(A841,[3]v_03_23!F:I,3,FALSE)</f>
        <v>8</v>
      </c>
      <c r="K841" s="32">
        <f>VLOOKUP(A841,[3]v_03_23!F:I,4,FALSE)</f>
        <v>88.9</v>
      </c>
      <c r="L841" s="31">
        <f t="shared" si="74"/>
        <v>-6</v>
      </c>
      <c r="M841" s="31">
        <f t="shared" si="74"/>
        <v>-58.240000000000009</v>
      </c>
      <c r="N841" s="35">
        <f t="shared" si="76"/>
        <v>-0.65511811023622057</v>
      </c>
    </row>
    <row r="842" spans="1:14" x14ac:dyDescent="0.25">
      <c r="A842" s="31" t="s">
        <v>259</v>
      </c>
      <c r="B842" s="32" t="s">
        <v>258</v>
      </c>
      <c r="C842" s="33">
        <f>VLOOKUP(A842,[3]v_03_24!F:I,3,FALSE)</f>
        <v>0</v>
      </c>
      <c r="D842" s="32">
        <f>VLOOKUP(A842,[3]v_03_24!F:I,4,FALSE)</f>
        <v>0</v>
      </c>
      <c r="E842" s="33">
        <v>0</v>
      </c>
      <c r="F842" s="32">
        <v>0</v>
      </c>
      <c r="G842" s="34"/>
      <c r="H842" s="33">
        <f t="shared" si="73"/>
        <v>0</v>
      </c>
      <c r="I842" s="32">
        <f t="shared" si="73"/>
        <v>0</v>
      </c>
      <c r="J842" s="33">
        <f>VLOOKUP(A842,[3]v_03_23!F:I,3,FALSE)</f>
        <v>0</v>
      </c>
      <c r="K842" s="32">
        <f>VLOOKUP(A842,[3]v_03_23!F:I,4,FALSE)</f>
        <v>0</v>
      </c>
      <c r="L842" s="31">
        <f t="shared" si="74"/>
        <v>0</v>
      </c>
      <c r="M842" s="31">
        <f t="shared" si="74"/>
        <v>0</v>
      </c>
      <c r="N842" s="35"/>
    </row>
    <row r="843" spans="1:14" x14ac:dyDescent="0.25">
      <c r="A843" s="31" t="s">
        <v>261</v>
      </c>
      <c r="B843" s="32" t="s">
        <v>260</v>
      </c>
      <c r="C843" s="33">
        <v>0</v>
      </c>
      <c r="D843" s="32">
        <v>0</v>
      </c>
      <c r="E843" s="33">
        <v>0</v>
      </c>
      <c r="F843" s="32">
        <v>0</v>
      </c>
      <c r="G843" s="34"/>
      <c r="H843" s="33">
        <f t="shared" si="73"/>
        <v>0</v>
      </c>
      <c r="I843" s="32">
        <f t="shared" si="73"/>
        <v>0</v>
      </c>
      <c r="J843" s="33">
        <v>0</v>
      </c>
      <c r="K843" s="32">
        <v>0</v>
      </c>
      <c r="L843" s="31">
        <f t="shared" si="74"/>
        <v>0</v>
      </c>
      <c r="M843" s="31">
        <f t="shared" si="74"/>
        <v>0</v>
      </c>
      <c r="N843" s="35"/>
    </row>
    <row r="844" spans="1:14" x14ac:dyDescent="0.25">
      <c r="A844" s="31" t="s">
        <v>263</v>
      </c>
      <c r="B844" s="32" t="s">
        <v>262</v>
      </c>
      <c r="C844" s="33">
        <v>0</v>
      </c>
      <c r="D844" s="32">
        <v>0</v>
      </c>
      <c r="E844" s="33">
        <v>0</v>
      </c>
      <c r="F844" s="32">
        <v>0</v>
      </c>
      <c r="G844" s="34"/>
      <c r="H844" s="33">
        <f t="shared" si="73"/>
        <v>0</v>
      </c>
      <c r="I844" s="32">
        <f t="shared" si="73"/>
        <v>0</v>
      </c>
      <c r="J844" s="33">
        <f>VLOOKUP(A844,[3]v_03_23!F:I,3,FALSE)</f>
        <v>3</v>
      </c>
      <c r="K844" s="32">
        <f>VLOOKUP(A844,[3]v_03_23!F:I,4,FALSE)</f>
        <v>33.159999999999997</v>
      </c>
      <c r="L844" s="31">
        <f t="shared" si="74"/>
        <v>-3</v>
      </c>
      <c r="M844" s="31">
        <f t="shared" si="74"/>
        <v>-33.159999999999997</v>
      </c>
      <c r="N844" s="35">
        <f t="shared" si="76"/>
        <v>-1</v>
      </c>
    </row>
    <row r="845" spans="1:14" x14ac:dyDescent="0.25">
      <c r="A845" s="31" t="s">
        <v>265</v>
      </c>
      <c r="B845" s="32" t="s">
        <v>264</v>
      </c>
      <c r="C845" s="33">
        <f>VLOOKUP(A845,[3]v_03_24!F:I,3,FALSE)</f>
        <v>0</v>
      </c>
      <c r="D845" s="32">
        <f>VLOOKUP(A845,[3]v_03_24!F:I,4,FALSE)</f>
        <v>0</v>
      </c>
      <c r="E845" s="33">
        <v>0</v>
      </c>
      <c r="F845" s="32">
        <v>0</v>
      </c>
      <c r="G845" s="34"/>
      <c r="H845" s="33">
        <f t="shared" si="73"/>
        <v>0</v>
      </c>
      <c r="I845" s="32">
        <f t="shared" si="73"/>
        <v>0</v>
      </c>
      <c r="J845" s="33">
        <v>0</v>
      </c>
      <c r="K845" s="32">
        <v>0</v>
      </c>
      <c r="L845" s="31">
        <f t="shared" si="74"/>
        <v>0</v>
      </c>
      <c r="M845" s="31">
        <f t="shared" si="74"/>
        <v>0</v>
      </c>
      <c r="N845" s="35"/>
    </row>
    <row r="846" spans="1:14" x14ac:dyDescent="0.25">
      <c r="A846" s="31" t="s">
        <v>267</v>
      </c>
      <c r="B846" s="32" t="s">
        <v>266</v>
      </c>
      <c r="C846" s="33">
        <f>VLOOKUP(A846,[3]v_03_24!F:I,3,FALSE)</f>
        <v>544</v>
      </c>
      <c r="D846" s="32">
        <f>VLOOKUP(A846,[3]v_03_24!F:I,4,FALSE)</f>
        <v>5723.45</v>
      </c>
      <c r="E846" s="33">
        <v>0</v>
      </c>
      <c r="F846" s="32">
        <v>0</v>
      </c>
      <c r="G846" s="34">
        <f t="shared" si="75"/>
        <v>0</v>
      </c>
      <c r="H846" s="33">
        <f t="shared" si="73"/>
        <v>544</v>
      </c>
      <c r="I846" s="32">
        <f t="shared" si="73"/>
        <v>5723.45</v>
      </c>
      <c r="J846" s="33">
        <f>VLOOKUP(A846,[3]v_03_23!F:I,3,FALSE)</f>
        <v>1179</v>
      </c>
      <c r="K846" s="32">
        <f>VLOOKUP(A846,[3]v_03_23!F:I,4,FALSE)</f>
        <v>9561.69</v>
      </c>
      <c r="L846" s="31">
        <f t="shared" si="74"/>
        <v>-635</v>
      </c>
      <c r="M846" s="31">
        <f t="shared" si="74"/>
        <v>-3838.2400000000007</v>
      </c>
      <c r="N846" s="35">
        <f t="shared" si="76"/>
        <v>-0.40141857767821382</v>
      </c>
    </row>
    <row r="847" spans="1:14" x14ac:dyDescent="0.25">
      <c r="A847" s="31" t="s">
        <v>269</v>
      </c>
      <c r="B847" s="32" t="s">
        <v>268</v>
      </c>
      <c r="C847" s="33">
        <v>0</v>
      </c>
      <c r="D847" s="32">
        <v>0</v>
      </c>
      <c r="E847" s="33">
        <v>0</v>
      </c>
      <c r="F847" s="32">
        <v>0</v>
      </c>
      <c r="G847" s="34"/>
      <c r="H847" s="33">
        <f t="shared" ref="H847:I910" si="77">C847+E847</f>
        <v>0</v>
      </c>
      <c r="I847" s="32">
        <f t="shared" si="77"/>
        <v>0</v>
      </c>
      <c r="J847" s="33">
        <f>VLOOKUP(A847,[3]v_03_23!F:I,3,FALSE)</f>
        <v>1</v>
      </c>
      <c r="K847" s="32">
        <f>VLOOKUP(A847,[3]v_03_23!F:I,4,FALSE)</f>
        <v>65.89</v>
      </c>
      <c r="L847" s="31">
        <f t="shared" ref="L847:M910" si="78">H847-J847</f>
        <v>-1</v>
      </c>
      <c r="M847" s="31">
        <f t="shared" si="78"/>
        <v>-65.89</v>
      </c>
      <c r="N847" s="35">
        <f t="shared" si="76"/>
        <v>-1</v>
      </c>
    </row>
    <row r="848" spans="1:14" x14ac:dyDescent="0.25">
      <c r="A848" s="31" t="s">
        <v>271</v>
      </c>
      <c r="B848" s="32" t="s">
        <v>270</v>
      </c>
      <c r="C848" s="33">
        <f>VLOOKUP(A848,[3]v_03_24!F:I,3,FALSE)</f>
        <v>7</v>
      </c>
      <c r="D848" s="32">
        <f>VLOOKUP(A848,[3]v_03_24!F:I,4,FALSE)</f>
        <v>415.55</v>
      </c>
      <c r="E848" s="33">
        <v>0</v>
      </c>
      <c r="F848" s="32">
        <v>0</v>
      </c>
      <c r="G848" s="34">
        <f t="shared" ref="G848:G910" si="79">F848/I848</f>
        <v>0</v>
      </c>
      <c r="H848" s="33">
        <f t="shared" si="77"/>
        <v>7</v>
      </c>
      <c r="I848" s="32">
        <f t="shared" si="77"/>
        <v>415.55</v>
      </c>
      <c r="J848" s="33">
        <f>VLOOKUP(A848,[3]v_03_23!F:I,3,FALSE)</f>
        <v>89</v>
      </c>
      <c r="K848" s="32">
        <f>VLOOKUP(A848,[3]v_03_23!F:I,4,FALSE)</f>
        <v>5825.41</v>
      </c>
      <c r="L848" s="31">
        <f t="shared" si="78"/>
        <v>-82</v>
      </c>
      <c r="M848" s="31">
        <f t="shared" si="78"/>
        <v>-5409.86</v>
      </c>
      <c r="N848" s="35">
        <f t="shared" ref="N848:N911" si="80">M848/K848</f>
        <v>-0.92866596514236766</v>
      </c>
    </row>
    <row r="849" spans="1:14" x14ac:dyDescent="0.25">
      <c r="A849" s="31" t="s">
        <v>273</v>
      </c>
      <c r="B849" s="32" t="s">
        <v>272</v>
      </c>
      <c r="C849" s="33">
        <f>VLOOKUP(A849,[3]v_03_24!F:I,3,FALSE)</f>
        <v>1</v>
      </c>
      <c r="D849" s="32">
        <f>VLOOKUP(A849,[3]v_03_24!F:I,4,FALSE)</f>
        <v>18.18</v>
      </c>
      <c r="E849" s="33">
        <v>0</v>
      </c>
      <c r="F849" s="32">
        <v>0</v>
      </c>
      <c r="G849" s="34">
        <f t="shared" si="79"/>
        <v>0</v>
      </c>
      <c r="H849" s="33">
        <f t="shared" si="77"/>
        <v>1</v>
      </c>
      <c r="I849" s="32">
        <f t="shared" si="77"/>
        <v>18.18</v>
      </c>
      <c r="J849" s="33">
        <f>VLOOKUP(A849,[3]v_03_23!F:I,3,FALSE)</f>
        <v>3</v>
      </c>
      <c r="K849" s="32">
        <f>VLOOKUP(A849,[3]v_03_23!F:I,4,FALSE)</f>
        <v>48.93</v>
      </c>
      <c r="L849" s="31">
        <f t="shared" si="78"/>
        <v>-2</v>
      </c>
      <c r="M849" s="31">
        <f t="shared" si="78"/>
        <v>-30.75</v>
      </c>
      <c r="N849" s="35">
        <f t="shared" si="80"/>
        <v>-0.62844880441446971</v>
      </c>
    </row>
    <row r="850" spans="1:14" x14ac:dyDescent="0.25">
      <c r="A850" s="31" t="s">
        <v>275</v>
      </c>
      <c r="B850" s="32" t="s">
        <v>274</v>
      </c>
      <c r="C850" s="33">
        <f>VLOOKUP(A850,[3]v_03_24!F:I,3,FALSE)</f>
        <v>2</v>
      </c>
      <c r="D850" s="32">
        <f>VLOOKUP(A850,[3]v_03_24!F:I,4,FALSE)</f>
        <v>32.01</v>
      </c>
      <c r="E850" s="33">
        <v>0</v>
      </c>
      <c r="F850" s="32">
        <v>0</v>
      </c>
      <c r="G850" s="34">
        <f t="shared" si="79"/>
        <v>0</v>
      </c>
      <c r="H850" s="33">
        <f t="shared" si="77"/>
        <v>2</v>
      </c>
      <c r="I850" s="32">
        <f t="shared" si="77"/>
        <v>32.01</v>
      </c>
      <c r="J850" s="33">
        <f>VLOOKUP(A850,[3]v_03_23!F:I,3,FALSE)</f>
        <v>3</v>
      </c>
      <c r="K850" s="32">
        <f>VLOOKUP(A850,[3]v_03_23!F:I,4,FALSE)</f>
        <v>48.93</v>
      </c>
      <c r="L850" s="31">
        <f t="shared" si="78"/>
        <v>-1</v>
      </c>
      <c r="M850" s="31">
        <f t="shared" si="78"/>
        <v>-16.920000000000002</v>
      </c>
      <c r="N850" s="35">
        <f t="shared" si="80"/>
        <v>-0.34580012262415699</v>
      </c>
    </row>
    <row r="851" spans="1:14" x14ac:dyDescent="0.25">
      <c r="A851" s="31" t="s">
        <v>277</v>
      </c>
      <c r="B851" s="32" t="s">
        <v>276</v>
      </c>
      <c r="C851" s="33">
        <f>VLOOKUP(A851,[3]v_03_24!F:I,3,FALSE)</f>
        <v>6</v>
      </c>
      <c r="D851" s="32">
        <f>VLOOKUP(A851,[3]v_03_24!F:I,4,FALSE)</f>
        <v>58.74</v>
      </c>
      <c r="E851" s="33">
        <v>0</v>
      </c>
      <c r="F851" s="32">
        <v>0</v>
      </c>
      <c r="G851" s="34">
        <f t="shared" si="79"/>
        <v>0</v>
      </c>
      <c r="H851" s="33">
        <f t="shared" si="77"/>
        <v>6</v>
      </c>
      <c r="I851" s="32">
        <f t="shared" si="77"/>
        <v>58.74</v>
      </c>
      <c r="J851" s="33">
        <v>0</v>
      </c>
      <c r="K851" s="32">
        <v>0</v>
      </c>
      <c r="L851" s="31">
        <f t="shared" si="78"/>
        <v>6</v>
      </c>
      <c r="M851" s="31">
        <f t="shared" si="78"/>
        <v>58.74</v>
      </c>
      <c r="N851" s="35"/>
    </row>
    <row r="852" spans="1:14" x14ac:dyDescent="0.25">
      <c r="A852" s="31" t="s">
        <v>279</v>
      </c>
      <c r="B852" s="32" t="s">
        <v>278</v>
      </c>
      <c r="C852" s="33">
        <f>VLOOKUP(A852,[3]v_03_24!F:I,3,FALSE)</f>
        <v>4</v>
      </c>
      <c r="D852" s="32">
        <f>VLOOKUP(A852,[3]v_03_24!F:I,4,FALSE)</f>
        <v>81.040000000000006</v>
      </c>
      <c r="E852" s="33">
        <v>0</v>
      </c>
      <c r="F852" s="32">
        <v>0</v>
      </c>
      <c r="G852" s="34">
        <f t="shared" si="79"/>
        <v>0</v>
      </c>
      <c r="H852" s="33">
        <f t="shared" si="77"/>
        <v>4</v>
      </c>
      <c r="I852" s="32">
        <f t="shared" si="77"/>
        <v>81.040000000000006</v>
      </c>
      <c r="J852" s="33">
        <v>0</v>
      </c>
      <c r="K852" s="32">
        <v>0</v>
      </c>
      <c r="L852" s="31">
        <f t="shared" si="78"/>
        <v>4</v>
      </c>
      <c r="M852" s="31">
        <f t="shared" si="78"/>
        <v>81.040000000000006</v>
      </c>
      <c r="N852" s="35"/>
    </row>
    <row r="853" spans="1:14" x14ac:dyDescent="0.25">
      <c r="A853" s="31" t="s">
        <v>281</v>
      </c>
      <c r="B853" s="32" t="s">
        <v>280</v>
      </c>
      <c r="C853" s="33">
        <v>0</v>
      </c>
      <c r="D853" s="32">
        <v>0</v>
      </c>
      <c r="E853" s="33">
        <v>0</v>
      </c>
      <c r="F853" s="32">
        <v>0</v>
      </c>
      <c r="G853" s="34"/>
      <c r="H853" s="33">
        <f t="shared" si="77"/>
        <v>0</v>
      </c>
      <c r="I853" s="32">
        <f t="shared" si="77"/>
        <v>0</v>
      </c>
      <c r="J853" s="33">
        <v>0</v>
      </c>
      <c r="K853" s="32">
        <v>0</v>
      </c>
      <c r="L853" s="31">
        <f t="shared" si="78"/>
        <v>0</v>
      </c>
      <c r="M853" s="31">
        <f t="shared" si="78"/>
        <v>0</v>
      </c>
      <c r="N853" s="35"/>
    </row>
    <row r="854" spans="1:14" x14ac:dyDescent="0.25">
      <c r="A854" s="31" t="s">
        <v>283</v>
      </c>
      <c r="B854" s="32" t="s">
        <v>282</v>
      </c>
      <c r="C854" s="33">
        <f>VLOOKUP(A854,[3]v_03_24!F:I,3,FALSE)</f>
        <v>0</v>
      </c>
      <c r="D854" s="32">
        <f>VLOOKUP(A854,[3]v_03_24!F:I,4,FALSE)</f>
        <v>0</v>
      </c>
      <c r="E854" s="33">
        <v>0</v>
      </c>
      <c r="F854" s="32">
        <v>0</v>
      </c>
      <c r="G854" s="34"/>
      <c r="H854" s="33">
        <f t="shared" si="77"/>
        <v>0</v>
      </c>
      <c r="I854" s="32">
        <f t="shared" si="77"/>
        <v>0</v>
      </c>
      <c r="J854" s="33">
        <f>VLOOKUP(A854,[3]v_03_23!F:I,3,FALSE)</f>
        <v>45</v>
      </c>
      <c r="K854" s="32">
        <f>VLOOKUP(A854,[3]v_03_23!F:I,4,FALSE)</f>
        <v>328.5</v>
      </c>
      <c r="L854" s="31">
        <f t="shared" si="78"/>
        <v>-45</v>
      </c>
      <c r="M854" s="31">
        <f t="shared" si="78"/>
        <v>-328.5</v>
      </c>
      <c r="N854" s="35">
        <f t="shared" si="80"/>
        <v>-1</v>
      </c>
    </row>
    <row r="855" spans="1:14" x14ac:dyDescent="0.25">
      <c r="A855" s="31" t="s">
        <v>285</v>
      </c>
      <c r="B855" s="32" t="s">
        <v>284</v>
      </c>
      <c r="C855" s="33">
        <f>VLOOKUP(A855,[3]v_03_24!F:I,3,FALSE)</f>
        <v>6</v>
      </c>
      <c r="D855" s="32">
        <f>VLOOKUP(A855,[3]v_03_24!F:I,4,FALSE)</f>
        <v>109.67</v>
      </c>
      <c r="E855" s="33">
        <v>0</v>
      </c>
      <c r="F855" s="32">
        <v>0</v>
      </c>
      <c r="G855" s="34">
        <f t="shared" si="79"/>
        <v>0</v>
      </c>
      <c r="H855" s="33">
        <f t="shared" si="77"/>
        <v>6</v>
      </c>
      <c r="I855" s="32">
        <f t="shared" si="77"/>
        <v>109.67</v>
      </c>
      <c r="J855" s="33">
        <f>VLOOKUP(A855,[3]v_03_23!F:I,3,FALSE)</f>
        <v>16</v>
      </c>
      <c r="K855" s="32">
        <f>VLOOKUP(A855,[3]v_03_23!F:I,4,FALSE)</f>
        <v>245.75</v>
      </c>
      <c r="L855" s="31">
        <f t="shared" si="78"/>
        <v>-10</v>
      </c>
      <c r="M855" s="31">
        <f t="shared" si="78"/>
        <v>-136.07999999999998</v>
      </c>
      <c r="N855" s="35">
        <f t="shared" si="80"/>
        <v>-0.55373346897253295</v>
      </c>
    </row>
    <row r="856" spans="1:14" x14ac:dyDescent="0.25">
      <c r="A856" s="31" t="s">
        <v>287</v>
      </c>
      <c r="B856" s="32" t="s">
        <v>286</v>
      </c>
      <c r="C856" s="33">
        <f>VLOOKUP(A856,[3]v_03_24!F:I,3,FALSE)</f>
        <v>2</v>
      </c>
      <c r="D856" s="32">
        <f>VLOOKUP(A856,[3]v_03_24!F:I,4,FALSE)</f>
        <v>32.619999999999997</v>
      </c>
      <c r="E856" s="33">
        <v>0</v>
      </c>
      <c r="F856" s="32">
        <v>0</v>
      </c>
      <c r="G856" s="34">
        <f t="shared" si="79"/>
        <v>0</v>
      </c>
      <c r="H856" s="33">
        <f t="shared" si="77"/>
        <v>2</v>
      </c>
      <c r="I856" s="32">
        <f t="shared" si="77"/>
        <v>32.619999999999997</v>
      </c>
      <c r="J856" s="33">
        <f>VLOOKUP(A856,[3]v_03_23!F:I,3,FALSE)</f>
        <v>457</v>
      </c>
      <c r="K856" s="32">
        <f>VLOOKUP(A856,[3]v_03_23!F:I,4,FALSE)</f>
        <v>7176.4</v>
      </c>
      <c r="L856" s="31">
        <f t="shared" si="78"/>
        <v>-455</v>
      </c>
      <c r="M856" s="31">
        <f t="shared" si="78"/>
        <v>-7143.78</v>
      </c>
      <c r="N856" s="35">
        <f t="shared" si="80"/>
        <v>-0.99545454545454548</v>
      </c>
    </row>
    <row r="857" spans="1:14" x14ac:dyDescent="0.25">
      <c r="A857" s="31" t="s">
        <v>289</v>
      </c>
      <c r="B857" s="32" t="s">
        <v>288</v>
      </c>
      <c r="C857" s="33">
        <f>VLOOKUP(A857,[3]v_03_24!F:I,3,FALSE)</f>
        <v>5</v>
      </c>
      <c r="D857" s="32">
        <f>VLOOKUP(A857,[3]v_03_24!F:I,4,FALSE)</f>
        <v>93.23</v>
      </c>
      <c r="E857" s="33">
        <v>0</v>
      </c>
      <c r="F857" s="32">
        <v>0</v>
      </c>
      <c r="G857" s="34">
        <f t="shared" si="79"/>
        <v>0</v>
      </c>
      <c r="H857" s="33">
        <f t="shared" si="77"/>
        <v>5</v>
      </c>
      <c r="I857" s="32">
        <f t="shared" si="77"/>
        <v>93.23</v>
      </c>
      <c r="J857" s="33">
        <f>VLOOKUP(A857,[3]v_03_23!F:I,3,FALSE)</f>
        <v>57</v>
      </c>
      <c r="K857" s="32">
        <f>VLOOKUP(A857,[3]v_03_23!F:I,4,FALSE)</f>
        <v>695.97</v>
      </c>
      <c r="L857" s="31">
        <f t="shared" si="78"/>
        <v>-52</v>
      </c>
      <c r="M857" s="31">
        <f t="shared" si="78"/>
        <v>-602.74</v>
      </c>
      <c r="N857" s="35">
        <f t="shared" si="80"/>
        <v>-0.86604307656939239</v>
      </c>
    </row>
    <row r="858" spans="1:14" x14ac:dyDescent="0.25">
      <c r="A858" s="31" t="s">
        <v>291</v>
      </c>
      <c r="B858" s="32" t="s">
        <v>290</v>
      </c>
      <c r="C858" s="33">
        <v>0</v>
      </c>
      <c r="D858" s="32">
        <v>0</v>
      </c>
      <c r="E858" s="33">
        <v>0</v>
      </c>
      <c r="F858" s="32">
        <v>0</v>
      </c>
      <c r="G858" s="34"/>
      <c r="H858" s="33">
        <f t="shared" si="77"/>
        <v>0</v>
      </c>
      <c r="I858" s="32">
        <f t="shared" si="77"/>
        <v>0</v>
      </c>
      <c r="J858" s="33">
        <v>0</v>
      </c>
      <c r="K858" s="32">
        <v>0</v>
      </c>
      <c r="L858" s="31">
        <f t="shared" si="78"/>
        <v>0</v>
      </c>
      <c r="M858" s="31">
        <f t="shared" si="78"/>
        <v>0</v>
      </c>
      <c r="N858" s="35"/>
    </row>
    <row r="859" spans="1:14" x14ac:dyDescent="0.25">
      <c r="A859" s="31" t="s">
        <v>293</v>
      </c>
      <c r="B859" s="32" t="s">
        <v>292</v>
      </c>
      <c r="C859" s="33">
        <f>VLOOKUP(A859,[3]v_03_24!F:I,3,FALSE)</f>
        <v>81</v>
      </c>
      <c r="D859" s="32">
        <f>VLOOKUP(A859,[3]v_03_24!F:I,4,FALSE)</f>
        <v>906.26</v>
      </c>
      <c r="E859" s="33">
        <v>0</v>
      </c>
      <c r="F859" s="32">
        <v>0</v>
      </c>
      <c r="G859" s="34">
        <f t="shared" si="79"/>
        <v>0</v>
      </c>
      <c r="H859" s="33">
        <f t="shared" si="77"/>
        <v>81</v>
      </c>
      <c r="I859" s="32">
        <f t="shared" si="77"/>
        <v>906.26</v>
      </c>
      <c r="J859" s="33">
        <f>VLOOKUP(A859,[3]v_03_23!F:I,3,FALSE)</f>
        <v>501</v>
      </c>
      <c r="K859" s="32">
        <f>VLOOKUP(A859,[3]v_03_23!F:I,4,FALSE)</f>
        <v>4063.11</v>
      </c>
      <c r="L859" s="31">
        <f t="shared" si="78"/>
        <v>-420</v>
      </c>
      <c r="M859" s="31">
        <f t="shared" si="78"/>
        <v>-3156.8500000000004</v>
      </c>
      <c r="N859" s="35">
        <f t="shared" si="80"/>
        <v>-0.77695410658338082</v>
      </c>
    </row>
    <row r="860" spans="1:14" x14ac:dyDescent="0.25">
      <c r="A860" s="31" t="s">
        <v>295</v>
      </c>
      <c r="B860" s="32" t="s">
        <v>294</v>
      </c>
      <c r="C860" s="33">
        <f>VLOOKUP(A860,[3]v_03_24!F:I,3,FALSE)</f>
        <v>11</v>
      </c>
      <c r="D860" s="32">
        <f>VLOOKUP(A860,[3]v_03_24!F:I,4,FALSE)</f>
        <v>84.03</v>
      </c>
      <c r="E860" s="33">
        <v>0</v>
      </c>
      <c r="F860" s="32">
        <v>0</v>
      </c>
      <c r="G860" s="34">
        <f t="shared" si="79"/>
        <v>0</v>
      </c>
      <c r="H860" s="33">
        <f t="shared" si="77"/>
        <v>11</v>
      </c>
      <c r="I860" s="32">
        <f t="shared" si="77"/>
        <v>84.03</v>
      </c>
      <c r="J860" s="33">
        <f>VLOOKUP(A860,[3]v_03_23!F:I,3,FALSE)</f>
        <v>16</v>
      </c>
      <c r="K860" s="32">
        <f>VLOOKUP(A860,[3]v_03_23!F:I,4,FALSE)</f>
        <v>109.8</v>
      </c>
      <c r="L860" s="31">
        <f t="shared" si="78"/>
        <v>-5</v>
      </c>
      <c r="M860" s="31">
        <f t="shared" si="78"/>
        <v>-25.769999999999996</v>
      </c>
      <c r="N860" s="35">
        <f t="shared" si="80"/>
        <v>-0.23469945355191255</v>
      </c>
    </row>
    <row r="861" spans="1:14" x14ac:dyDescent="0.25">
      <c r="A861" s="31" t="s">
        <v>297</v>
      </c>
      <c r="B861" s="32" t="s">
        <v>296</v>
      </c>
      <c r="C861" s="33">
        <f>VLOOKUP(A861,[3]v_03_24!F:I,3,FALSE)</f>
        <v>1</v>
      </c>
      <c r="D861" s="32">
        <f>VLOOKUP(A861,[3]v_03_24!F:I,4,FALSE)</f>
        <v>9.51</v>
      </c>
      <c r="E861" s="33">
        <v>0</v>
      </c>
      <c r="F861" s="32">
        <v>0</v>
      </c>
      <c r="G861" s="34">
        <f t="shared" si="79"/>
        <v>0</v>
      </c>
      <c r="H861" s="33">
        <f t="shared" si="77"/>
        <v>1</v>
      </c>
      <c r="I861" s="32">
        <f t="shared" si="77"/>
        <v>9.51</v>
      </c>
      <c r="J861" s="33">
        <f>VLOOKUP(A861,[3]v_03_23!F:I,3,FALSE)</f>
        <v>59</v>
      </c>
      <c r="K861" s="32">
        <f>VLOOKUP(A861,[3]v_03_23!F:I,4,FALSE)</f>
        <v>962.29</v>
      </c>
      <c r="L861" s="31">
        <f t="shared" si="78"/>
        <v>-58</v>
      </c>
      <c r="M861" s="31">
        <f t="shared" si="78"/>
        <v>-952.78</v>
      </c>
      <c r="N861" s="35">
        <f t="shared" si="80"/>
        <v>-0.99011732429932764</v>
      </c>
    </row>
    <row r="862" spans="1:14" x14ac:dyDescent="0.25">
      <c r="A862" s="31" t="s">
        <v>299</v>
      </c>
      <c r="B862" s="32" t="s">
        <v>298</v>
      </c>
      <c r="C862" s="33">
        <v>0</v>
      </c>
      <c r="D862" s="32">
        <v>0</v>
      </c>
      <c r="E862" s="33">
        <v>0</v>
      </c>
      <c r="F862" s="32">
        <v>0</v>
      </c>
      <c r="G862" s="34"/>
      <c r="H862" s="33">
        <f t="shared" si="77"/>
        <v>0</v>
      </c>
      <c r="I862" s="32">
        <f t="shared" si="77"/>
        <v>0</v>
      </c>
      <c r="J862" s="33">
        <f>VLOOKUP(A862,[3]v_03_23!F:I,3,FALSE)</f>
        <v>20</v>
      </c>
      <c r="K862" s="32">
        <f>VLOOKUP(A862,[3]v_03_23!F:I,4,FALSE)</f>
        <v>197.56</v>
      </c>
      <c r="L862" s="31">
        <f t="shared" si="78"/>
        <v>-20</v>
      </c>
      <c r="M862" s="31">
        <f t="shared" si="78"/>
        <v>-197.56</v>
      </c>
      <c r="N862" s="35">
        <f t="shared" si="80"/>
        <v>-1</v>
      </c>
    </row>
    <row r="863" spans="1:14" x14ac:dyDescent="0.25">
      <c r="A863" s="31" t="s">
        <v>301</v>
      </c>
      <c r="B863" s="32" t="s">
        <v>300</v>
      </c>
      <c r="C863" s="33">
        <f>VLOOKUP(A863,[3]v_03_24!F:I,3,FALSE)</f>
        <v>84</v>
      </c>
      <c r="D863" s="32">
        <f>VLOOKUP(A863,[3]v_03_24!F:I,4,FALSE)</f>
        <v>1179.03</v>
      </c>
      <c r="E863" s="33">
        <f>VLOOKUP(A863,[3]s_03_24!E:G,2,FALSE)</f>
        <v>6</v>
      </c>
      <c r="F863" s="32">
        <f>VLOOKUP(A863,[3]s_03_24!E:G,3,FALSE)</f>
        <v>91.4</v>
      </c>
      <c r="G863" s="34">
        <f t="shared" si="79"/>
        <v>7.1944144895822681E-2</v>
      </c>
      <c r="H863" s="33">
        <f t="shared" si="77"/>
        <v>90</v>
      </c>
      <c r="I863" s="32">
        <f t="shared" si="77"/>
        <v>1270.43</v>
      </c>
      <c r="J863" s="33">
        <f>VLOOKUP(A863,[3]v_03_23!F:I,3,FALSE)</f>
        <v>484</v>
      </c>
      <c r="K863" s="32">
        <f>VLOOKUP(A863,[3]v_03_23!F:I,4,FALSE)</f>
        <v>5909.64</v>
      </c>
      <c r="L863" s="31">
        <f t="shared" si="78"/>
        <v>-394</v>
      </c>
      <c r="M863" s="31">
        <f t="shared" si="78"/>
        <v>-4639.21</v>
      </c>
      <c r="N863" s="35">
        <f t="shared" si="80"/>
        <v>-0.78502413006545235</v>
      </c>
    </row>
    <row r="864" spans="1:14" x14ac:dyDescent="0.25">
      <c r="A864" s="31" t="s">
        <v>303</v>
      </c>
      <c r="B864" s="32" t="s">
        <v>302</v>
      </c>
      <c r="C864" s="33">
        <f>VLOOKUP(A864,[3]v_03_24!F:I,3,FALSE)</f>
        <v>12</v>
      </c>
      <c r="D864" s="32">
        <f>VLOOKUP(A864,[3]v_03_24!F:I,4,FALSE)</f>
        <v>132.43</v>
      </c>
      <c r="E864" s="33">
        <v>0</v>
      </c>
      <c r="F864" s="32">
        <v>0</v>
      </c>
      <c r="G864" s="34">
        <f t="shared" si="79"/>
        <v>0</v>
      </c>
      <c r="H864" s="33">
        <f t="shared" si="77"/>
        <v>12</v>
      </c>
      <c r="I864" s="32">
        <f t="shared" si="77"/>
        <v>132.43</v>
      </c>
      <c r="J864" s="33">
        <f>VLOOKUP(A864,[3]v_03_23!F:I,3,FALSE)</f>
        <v>14</v>
      </c>
      <c r="K864" s="32">
        <f>VLOOKUP(A864,[3]v_03_23!F:I,4,FALSE)</f>
        <v>134.22999999999999</v>
      </c>
      <c r="L864" s="31">
        <f t="shared" si="78"/>
        <v>-2</v>
      </c>
      <c r="M864" s="31">
        <f t="shared" si="78"/>
        <v>-1.7999999999999829</v>
      </c>
      <c r="N864" s="35">
        <f t="shared" si="80"/>
        <v>-1.3409818967443813E-2</v>
      </c>
    </row>
    <row r="865" spans="1:14" x14ac:dyDescent="0.25">
      <c r="A865" s="31" t="s">
        <v>305</v>
      </c>
      <c r="B865" s="32" t="s">
        <v>304</v>
      </c>
      <c r="C865" s="33">
        <v>0</v>
      </c>
      <c r="D865" s="32">
        <v>0</v>
      </c>
      <c r="E865" s="33">
        <v>0</v>
      </c>
      <c r="F865" s="32">
        <v>0</v>
      </c>
      <c r="G865" s="34"/>
      <c r="H865" s="33">
        <f t="shared" si="77"/>
        <v>0</v>
      </c>
      <c r="I865" s="32">
        <f t="shared" si="77"/>
        <v>0</v>
      </c>
      <c r="J865" s="33">
        <v>0</v>
      </c>
      <c r="K865" s="32">
        <v>0</v>
      </c>
      <c r="L865" s="31">
        <f t="shared" si="78"/>
        <v>0</v>
      </c>
      <c r="M865" s="31">
        <f t="shared" si="78"/>
        <v>0</v>
      </c>
      <c r="N865" s="35"/>
    </row>
    <row r="866" spans="1:14" x14ac:dyDescent="0.25">
      <c r="A866" s="31" t="s">
        <v>307</v>
      </c>
      <c r="B866" s="32" t="s">
        <v>306</v>
      </c>
      <c r="C866" s="33">
        <f>VLOOKUP(A866,[3]v_03_24!F:I,3,FALSE)</f>
        <v>13</v>
      </c>
      <c r="D866" s="32">
        <f>VLOOKUP(A866,[3]v_03_24!F:I,4,FALSE)</f>
        <v>158.72999999999999</v>
      </c>
      <c r="E866" s="33">
        <v>0</v>
      </c>
      <c r="F866" s="32">
        <v>0</v>
      </c>
      <c r="G866" s="34">
        <f t="shared" si="79"/>
        <v>0</v>
      </c>
      <c r="H866" s="33">
        <f t="shared" si="77"/>
        <v>13</v>
      </c>
      <c r="I866" s="32">
        <f t="shared" si="77"/>
        <v>158.72999999999999</v>
      </c>
      <c r="J866" s="33">
        <f>VLOOKUP(A866,[3]v_03_23!F:I,3,FALSE)</f>
        <v>34</v>
      </c>
      <c r="K866" s="32">
        <f>VLOOKUP(A866,[3]v_03_23!F:I,4,FALSE)</f>
        <v>385.34</v>
      </c>
      <c r="L866" s="31">
        <f t="shared" si="78"/>
        <v>-21</v>
      </c>
      <c r="M866" s="31">
        <f t="shared" si="78"/>
        <v>-226.60999999999999</v>
      </c>
      <c r="N866" s="35">
        <f t="shared" si="80"/>
        <v>-0.58807806093320181</v>
      </c>
    </row>
    <row r="867" spans="1:14" x14ac:dyDescent="0.25">
      <c r="A867" s="31" t="s">
        <v>309</v>
      </c>
      <c r="B867" s="32" t="s">
        <v>308</v>
      </c>
      <c r="C867" s="33">
        <f>VLOOKUP(A867,[3]v_03_24!F:I,3,FALSE)</f>
        <v>2</v>
      </c>
      <c r="D867" s="32">
        <f>VLOOKUP(A867,[3]v_03_24!F:I,4,FALSE)</f>
        <v>65.400000000000006</v>
      </c>
      <c r="E867" s="33">
        <v>0</v>
      </c>
      <c r="F867" s="32">
        <v>0</v>
      </c>
      <c r="G867" s="34">
        <f t="shared" si="79"/>
        <v>0</v>
      </c>
      <c r="H867" s="33">
        <f t="shared" si="77"/>
        <v>2</v>
      </c>
      <c r="I867" s="32">
        <f t="shared" si="77"/>
        <v>65.400000000000006</v>
      </c>
      <c r="J867" s="33">
        <f>VLOOKUP(A867,[3]v_03_23!F:I,3,FALSE)</f>
        <v>1</v>
      </c>
      <c r="K867" s="32">
        <f>VLOOKUP(A867,[3]v_03_23!F:I,4,FALSE)</f>
        <v>21.82</v>
      </c>
      <c r="L867" s="31">
        <f t="shared" si="78"/>
        <v>1</v>
      </c>
      <c r="M867" s="31">
        <f t="shared" si="78"/>
        <v>43.580000000000005</v>
      </c>
      <c r="N867" s="35">
        <f t="shared" si="80"/>
        <v>1.9972502291475713</v>
      </c>
    </row>
    <row r="868" spans="1:14" x14ac:dyDescent="0.25">
      <c r="A868" s="31" t="s">
        <v>311</v>
      </c>
      <c r="B868" s="32" t="s">
        <v>310</v>
      </c>
      <c r="C868" s="33">
        <f>VLOOKUP(A868,[3]v_03_24!F:I,3,FALSE)</f>
        <v>1</v>
      </c>
      <c r="D868" s="32">
        <f>VLOOKUP(A868,[3]v_03_24!F:I,4,FALSE)</f>
        <v>28.61</v>
      </c>
      <c r="E868" s="33">
        <f>VLOOKUP(A868,[3]s_03_24!E:G,2,FALSE)</f>
        <v>5</v>
      </c>
      <c r="F868" s="32">
        <f>VLOOKUP(A868,[3]s_03_24!E:G,3,FALSE)</f>
        <v>189.5</v>
      </c>
      <c r="G868" s="34">
        <f t="shared" si="79"/>
        <v>0.8688276557700243</v>
      </c>
      <c r="H868" s="33">
        <f t="shared" si="77"/>
        <v>6</v>
      </c>
      <c r="I868" s="32">
        <f t="shared" si="77"/>
        <v>218.11</v>
      </c>
      <c r="J868" s="33">
        <f>VLOOKUP(A868,[3]v_03_23!F:I,3,FALSE)</f>
        <v>36</v>
      </c>
      <c r="K868" s="32">
        <f>VLOOKUP(A868,[3]v_03_23!F:I,4,FALSE)</f>
        <v>1029.96</v>
      </c>
      <c r="L868" s="31">
        <f t="shared" si="78"/>
        <v>-30</v>
      </c>
      <c r="M868" s="31">
        <f t="shared" si="78"/>
        <v>-811.85</v>
      </c>
      <c r="N868" s="35">
        <f t="shared" si="80"/>
        <v>-0.78823449454347738</v>
      </c>
    </row>
    <row r="869" spans="1:14" x14ac:dyDescent="0.25">
      <c r="A869" s="31" t="s">
        <v>313</v>
      </c>
      <c r="B869" s="32" t="s">
        <v>312</v>
      </c>
      <c r="C869" s="33">
        <f>VLOOKUP(A869,[3]v_03_24!F:I,3,FALSE)</f>
        <v>7</v>
      </c>
      <c r="D869" s="32">
        <f>VLOOKUP(A869,[3]v_03_24!F:I,4,FALSE)</f>
        <v>433.99</v>
      </c>
      <c r="E869" s="33">
        <v>0</v>
      </c>
      <c r="F869" s="32">
        <v>0</v>
      </c>
      <c r="G869" s="34">
        <f t="shared" si="79"/>
        <v>0</v>
      </c>
      <c r="H869" s="33">
        <f t="shared" si="77"/>
        <v>7</v>
      </c>
      <c r="I869" s="32">
        <f t="shared" si="77"/>
        <v>433.99</v>
      </c>
      <c r="J869" s="33">
        <f>VLOOKUP(A869,[3]v_03_23!F:I,3,FALSE)</f>
        <v>2</v>
      </c>
      <c r="K869" s="32">
        <f>VLOOKUP(A869,[3]v_03_23!F:I,4,FALSE)</f>
        <v>107.2</v>
      </c>
      <c r="L869" s="31">
        <f t="shared" si="78"/>
        <v>5</v>
      </c>
      <c r="M869" s="31">
        <f t="shared" si="78"/>
        <v>326.79000000000002</v>
      </c>
      <c r="N869" s="35">
        <f t="shared" si="80"/>
        <v>3.0484141791044777</v>
      </c>
    </row>
    <row r="870" spans="1:14" x14ac:dyDescent="0.25">
      <c r="A870" s="31" t="s">
        <v>315</v>
      </c>
      <c r="B870" s="32" t="s">
        <v>314</v>
      </c>
      <c r="C870" s="33">
        <f>VLOOKUP(A870,[3]v_03_24!F:I,3,FALSE)</f>
        <v>1</v>
      </c>
      <c r="D870" s="32">
        <f>VLOOKUP(A870,[3]v_03_24!F:I,4,FALSE)</f>
        <v>2.93</v>
      </c>
      <c r="E870" s="33">
        <v>0</v>
      </c>
      <c r="F870" s="32">
        <v>0</v>
      </c>
      <c r="G870" s="34">
        <f t="shared" si="79"/>
        <v>0</v>
      </c>
      <c r="H870" s="33">
        <f t="shared" si="77"/>
        <v>1</v>
      </c>
      <c r="I870" s="32">
        <f t="shared" si="77"/>
        <v>2.93</v>
      </c>
      <c r="J870" s="33">
        <f>VLOOKUP(A870,[3]v_03_23!F:I,3,FALSE)</f>
        <v>1</v>
      </c>
      <c r="K870" s="32">
        <f>VLOOKUP(A870,[3]v_03_23!F:I,4,FALSE)</f>
        <v>4.0199999999999996</v>
      </c>
      <c r="L870" s="31">
        <f t="shared" si="78"/>
        <v>0</v>
      </c>
      <c r="M870" s="31">
        <f t="shared" si="78"/>
        <v>-1.0899999999999994</v>
      </c>
      <c r="N870" s="35">
        <f t="shared" si="80"/>
        <v>-0.27114427860696505</v>
      </c>
    </row>
    <row r="871" spans="1:14" x14ac:dyDescent="0.25">
      <c r="A871" s="31" t="s">
        <v>317</v>
      </c>
      <c r="B871" s="32" t="s">
        <v>316</v>
      </c>
      <c r="C871" s="33">
        <v>0</v>
      </c>
      <c r="D871" s="32">
        <v>0</v>
      </c>
      <c r="E871" s="33">
        <v>0</v>
      </c>
      <c r="F871" s="32">
        <v>0</v>
      </c>
      <c r="G871" s="34"/>
      <c r="H871" s="33">
        <f t="shared" si="77"/>
        <v>0</v>
      </c>
      <c r="I871" s="32">
        <f t="shared" si="77"/>
        <v>0</v>
      </c>
      <c r="J871" s="33">
        <v>0</v>
      </c>
      <c r="K871" s="32">
        <v>0</v>
      </c>
      <c r="L871" s="31">
        <f t="shared" si="78"/>
        <v>0</v>
      </c>
      <c r="M871" s="31">
        <f t="shared" si="78"/>
        <v>0</v>
      </c>
      <c r="N871" s="35"/>
    </row>
    <row r="872" spans="1:14" x14ac:dyDescent="0.25">
      <c r="A872" s="31" t="s">
        <v>319</v>
      </c>
      <c r="B872" s="32" t="s">
        <v>318</v>
      </c>
      <c r="C872" s="33">
        <f>VLOOKUP(A872,[3]v_03_24!F:I,3,FALSE)</f>
        <v>13</v>
      </c>
      <c r="D872" s="32">
        <f>VLOOKUP(A872,[3]v_03_24!F:I,4,FALSE)</f>
        <v>187.88</v>
      </c>
      <c r="E872" s="33">
        <v>0</v>
      </c>
      <c r="F872" s="32">
        <v>0</v>
      </c>
      <c r="G872" s="34">
        <f t="shared" si="79"/>
        <v>0</v>
      </c>
      <c r="H872" s="33">
        <f t="shared" si="77"/>
        <v>13</v>
      </c>
      <c r="I872" s="32">
        <f t="shared" si="77"/>
        <v>187.88</v>
      </c>
      <c r="J872" s="33">
        <f>VLOOKUP(A872,[3]v_03_23!F:I,3,FALSE)</f>
        <v>0</v>
      </c>
      <c r="K872" s="32">
        <f>VLOOKUP(A872,[3]v_03_23!F:I,4,FALSE)</f>
        <v>0</v>
      </c>
      <c r="L872" s="31">
        <f t="shared" si="78"/>
        <v>13</v>
      </c>
      <c r="M872" s="31">
        <f t="shared" si="78"/>
        <v>187.88</v>
      </c>
      <c r="N872" s="35"/>
    </row>
    <row r="873" spans="1:14" x14ac:dyDescent="0.25">
      <c r="A873" s="31" t="s">
        <v>321</v>
      </c>
      <c r="B873" s="32" t="s">
        <v>320</v>
      </c>
      <c r="C873" s="33">
        <v>0</v>
      </c>
      <c r="D873" s="32">
        <v>0</v>
      </c>
      <c r="E873" s="33">
        <v>0</v>
      </c>
      <c r="F873" s="32">
        <v>0</v>
      </c>
      <c r="G873" s="34"/>
      <c r="H873" s="33">
        <f t="shared" si="77"/>
        <v>0</v>
      </c>
      <c r="I873" s="32">
        <f t="shared" si="77"/>
        <v>0</v>
      </c>
      <c r="J873" s="33">
        <v>0</v>
      </c>
      <c r="K873" s="32">
        <v>0</v>
      </c>
      <c r="L873" s="31">
        <f t="shared" si="78"/>
        <v>0</v>
      </c>
      <c r="M873" s="31">
        <f t="shared" si="78"/>
        <v>0</v>
      </c>
      <c r="N873" s="35"/>
    </row>
    <row r="874" spans="1:14" x14ac:dyDescent="0.25">
      <c r="A874" s="31" t="s">
        <v>323</v>
      </c>
      <c r="B874" s="32" t="s">
        <v>322</v>
      </c>
      <c r="C874" s="33">
        <f>VLOOKUP(A874,[3]v_03_24!F:I,3,FALSE)</f>
        <v>0</v>
      </c>
      <c r="D874" s="32">
        <f>VLOOKUP(A874,[3]v_03_24!F:I,4,FALSE)</f>
        <v>0</v>
      </c>
      <c r="E874" s="33">
        <v>0</v>
      </c>
      <c r="F874" s="32">
        <v>0</v>
      </c>
      <c r="G874" s="34"/>
      <c r="H874" s="33">
        <f t="shared" si="77"/>
        <v>0</v>
      </c>
      <c r="I874" s="32">
        <f t="shared" si="77"/>
        <v>0</v>
      </c>
      <c r="J874" s="33">
        <f>VLOOKUP(A874,[3]v_03_23!F:I,3,FALSE)</f>
        <v>2</v>
      </c>
      <c r="K874" s="32">
        <f>VLOOKUP(A874,[3]v_03_23!F:I,4,FALSE)</f>
        <v>65.400000000000006</v>
      </c>
      <c r="L874" s="31">
        <f t="shared" si="78"/>
        <v>-2</v>
      </c>
      <c r="M874" s="31">
        <f t="shared" si="78"/>
        <v>-65.400000000000006</v>
      </c>
      <c r="N874" s="35">
        <f t="shared" si="80"/>
        <v>-1</v>
      </c>
    </row>
    <row r="875" spans="1:14" x14ac:dyDescent="0.25">
      <c r="A875" s="31" t="s">
        <v>325</v>
      </c>
      <c r="B875" s="32" t="s">
        <v>324</v>
      </c>
      <c r="C875" s="33">
        <f>VLOOKUP(A875,[3]v_03_24!F:I,3,FALSE)</f>
        <v>4</v>
      </c>
      <c r="D875" s="32">
        <f>VLOOKUP(A875,[3]v_03_24!F:I,4,FALSE)</f>
        <v>112.32</v>
      </c>
      <c r="E875" s="33">
        <v>0</v>
      </c>
      <c r="F875" s="32">
        <v>0</v>
      </c>
      <c r="G875" s="34">
        <f t="shared" si="79"/>
        <v>0</v>
      </c>
      <c r="H875" s="33">
        <f t="shared" si="77"/>
        <v>4</v>
      </c>
      <c r="I875" s="32">
        <f t="shared" si="77"/>
        <v>112.32</v>
      </c>
      <c r="J875" s="33">
        <f>VLOOKUP(A875,[3]v_03_23!F:I,3,FALSE)</f>
        <v>4</v>
      </c>
      <c r="K875" s="32">
        <f>VLOOKUP(A875,[3]v_03_23!F:I,4,FALSE)</f>
        <v>114.44</v>
      </c>
      <c r="L875" s="31">
        <f t="shared" si="78"/>
        <v>0</v>
      </c>
      <c r="M875" s="31">
        <f t="shared" si="78"/>
        <v>-2.1200000000000045</v>
      </c>
      <c r="N875" s="35">
        <f t="shared" si="80"/>
        <v>-1.8524991261796613E-2</v>
      </c>
    </row>
    <row r="876" spans="1:14" x14ac:dyDescent="0.25">
      <c r="A876" s="31" t="s">
        <v>327</v>
      </c>
      <c r="B876" s="32" t="s">
        <v>326</v>
      </c>
      <c r="C876" s="33">
        <v>0</v>
      </c>
      <c r="D876" s="32">
        <v>0</v>
      </c>
      <c r="E876" s="33">
        <v>0</v>
      </c>
      <c r="F876" s="32">
        <v>0</v>
      </c>
      <c r="G876" s="34"/>
      <c r="H876" s="33">
        <f t="shared" si="77"/>
        <v>0</v>
      </c>
      <c r="I876" s="32">
        <f t="shared" si="77"/>
        <v>0</v>
      </c>
      <c r="J876" s="33">
        <f>VLOOKUP(A876,[3]v_03_23!F:I,3,FALSE)</f>
        <v>1</v>
      </c>
      <c r="K876" s="32">
        <f>VLOOKUP(A876,[3]v_03_23!F:I,4,FALSE)</f>
        <v>60.04</v>
      </c>
      <c r="L876" s="31">
        <f t="shared" si="78"/>
        <v>-1</v>
      </c>
      <c r="M876" s="31">
        <f t="shared" si="78"/>
        <v>-60.04</v>
      </c>
      <c r="N876" s="35">
        <f t="shared" si="80"/>
        <v>-1</v>
      </c>
    </row>
    <row r="877" spans="1:14" x14ac:dyDescent="0.25">
      <c r="A877" s="31" t="s">
        <v>329</v>
      </c>
      <c r="B877" s="32" t="s">
        <v>328</v>
      </c>
      <c r="C877" s="33">
        <f>VLOOKUP(A877,[3]v_03_24!F:I,3,FALSE)</f>
        <v>5</v>
      </c>
      <c r="D877" s="32">
        <f>VLOOKUP(A877,[3]v_03_24!F:I,4,FALSE)</f>
        <v>79.12</v>
      </c>
      <c r="E877" s="33">
        <v>0</v>
      </c>
      <c r="F877" s="32">
        <v>0</v>
      </c>
      <c r="G877" s="34">
        <f t="shared" si="79"/>
        <v>0</v>
      </c>
      <c r="H877" s="33">
        <f t="shared" si="77"/>
        <v>5</v>
      </c>
      <c r="I877" s="32">
        <f t="shared" si="77"/>
        <v>79.12</v>
      </c>
      <c r="J877" s="33">
        <f>VLOOKUP(A877,[3]v_03_23!F:I,3,FALSE)</f>
        <v>115</v>
      </c>
      <c r="K877" s="32">
        <f>VLOOKUP(A877,[3]v_03_23!F:I,4,FALSE)</f>
        <v>1322.11</v>
      </c>
      <c r="L877" s="31">
        <f t="shared" si="78"/>
        <v>-110</v>
      </c>
      <c r="M877" s="31">
        <f t="shared" si="78"/>
        <v>-1242.9899999999998</v>
      </c>
      <c r="N877" s="35">
        <f t="shared" si="80"/>
        <v>-0.9401562653636989</v>
      </c>
    </row>
    <row r="878" spans="1:14" x14ac:dyDescent="0.25">
      <c r="A878" s="31" t="s">
        <v>331</v>
      </c>
      <c r="B878" s="32" t="s">
        <v>330</v>
      </c>
      <c r="C878" s="33">
        <f>VLOOKUP(A878,[3]v_03_24!F:I,3,FALSE)</f>
        <v>0</v>
      </c>
      <c r="D878" s="32">
        <f>VLOOKUP(A878,[3]v_03_24!F:I,4,FALSE)</f>
        <v>0</v>
      </c>
      <c r="E878" s="33">
        <v>0</v>
      </c>
      <c r="F878" s="32">
        <v>0</v>
      </c>
      <c r="G878" s="34"/>
      <c r="H878" s="33">
        <f t="shared" si="77"/>
        <v>0</v>
      </c>
      <c r="I878" s="32">
        <f t="shared" si="77"/>
        <v>0</v>
      </c>
      <c r="J878" s="33">
        <f>VLOOKUP(A878,[3]v_03_23!F:I,3,FALSE)</f>
        <v>10</v>
      </c>
      <c r="K878" s="32">
        <f>VLOOKUP(A878,[3]v_03_23!F:I,4,FALSE)</f>
        <v>258.82</v>
      </c>
      <c r="L878" s="31">
        <f t="shared" si="78"/>
        <v>-10</v>
      </c>
      <c r="M878" s="31">
        <f t="shared" si="78"/>
        <v>-258.82</v>
      </c>
      <c r="N878" s="35">
        <f t="shared" si="80"/>
        <v>-1</v>
      </c>
    </row>
    <row r="879" spans="1:14" x14ac:dyDescent="0.25">
      <c r="A879" s="31" t="s">
        <v>333</v>
      </c>
      <c r="B879" s="32" t="s">
        <v>332</v>
      </c>
      <c r="C879" s="33">
        <f>VLOOKUP(A879,[3]v_03_24!F:I,3,FALSE)</f>
        <v>8</v>
      </c>
      <c r="D879" s="32">
        <f>VLOOKUP(A879,[3]v_03_24!F:I,4,FALSE)</f>
        <v>842.72</v>
      </c>
      <c r="E879" s="33">
        <v>0</v>
      </c>
      <c r="F879" s="32">
        <v>0</v>
      </c>
      <c r="G879" s="34">
        <f t="shared" si="79"/>
        <v>0</v>
      </c>
      <c r="H879" s="33">
        <f t="shared" si="77"/>
        <v>8</v>
      </c>
      <c r="I879" s="32">
        <f t="shared" si="77"/>
        <v>842.72</v>
      </c>
      <c r="J879" s="33">
        <f>VLOOKUP(A879,[3]v_03_23!F:I,3,FALSE)</f>
        <v>18</v>
      </c>
      <c r="K879" s="32">
        <f>VLOOKUP(A879,[3]v_03_23!F:I,4,FALSE)</f>
        <v>1705.28</v>
      </c>
      <c r="L879" s="31">
        <f t="shared" si="78"/>
        <v>-10</v>
      </c>
      <c r="M879" s="31">
        <f t="shared" si="78"/>
        <v>-862.56</v>
      </c>
      <c r="N879" s="35">
        <f t="shared" si="80"/>
        <v>-0.50581722649652838</v>
      </c>
    </row>
    <row r="880" spans="1:14" x14ac:dyDescent="0.25">
      <c r="A880" s="31" t="s">
        <v>335</v>
      </c>
      <c r="B880" s="32" t="s">
        <v>334</v>
      </c>
      <c r="C880" s="33">
        <f>VLOOKUP(A880,[3]v_03_24!F:I,3,FALSE)</f>
        <v>4</v>
      </c>
      <c r="D880" s="32">
        <f>VLOOKUP(A880,[3]v_03_24!F:I,4,FALSE)</f>
        <v>314.75</v>
      </c>
      <c r="E880" s="33">
        <v>0</v>
      </c>
      <c r="F880" s="32">
        <v>0</v>
      </c>
      <c r="G880" s="34">
        <f t="shared" si="79"/>
        <v>0</v>
      </c>
      <c r="H880" s="33">
        <f t="shared" si="77"/>
        <v>4</v>
      </c>
      <c r="I880" s="32">
        <f t="shared" si="77"/>
        <v>314.75</v>
      </c>
      <c r="J880" s="33">
        <f>VLOOKUP(A880,[3]v_03_23!F:I,3,FALSE)</f>
        <v>0</v>
      </c>
      <c r="K880" s="32">
        <f>VLOOKUP(A880,[3]v_03_23!F:I,4,FALSE)</f>
        <v>0</v>
      </c>
      <c r="L880" s="31">
        <f t="shared" si="78"/>
        <v>4</v>
      </c>
      <c r="M880" s="31">
        <f t="shared" si="78"/>
        <v>314.75</v>
      </c>
      <c r="N880" s="35"/>
    </row>
    <row r="881" spans="1:14" x14ac:dyDescent="0.25">
      <c r="A881" s="31" t="s">
        <v>337</v>
      </c>
      <c r="B881" s="32" t="s">
        <v>336</v>
      </c>
      <c r="C881" s="33">
        <f>VLOOKUP(A881,[3]v_03_24!F:I,3,FALSE)</f>
        <v>1</v>
      </c>
      <c r="D881" s="32">
        <f>VLOOKUP(A881,[3]v_03_24!F:I,4,FALSE)</f>
        <v>58.2</v>
      </c>
      <c r="E881" s="33">
        <v>0</v>
      </c>
      <c r="F881" s="32">
        <v>0</v>
      </c>
      <c r="G881" s="34">
        <f t="shared" si="79"/>
        <v>0</v>
      </c>
      <c r="H881" s="33">
        <f t="shared" si="77"/>
        <v>1</v>
      </c>
      <c r="I881" s="32">
        <f t="shared" si="77"/>
        <v>58.2</v>
      </c>
      <c r="J881" s="33">
        <f>VLOOKUP(A881,[3]v_03_23!F:I,3,FALSE)</f>
        <v>1</v>
      </c>
      <c r="K881" s="32">
        <f>VLOOKUP(A881,[3]v_03_23!F:I,4,FALSE)</f>
        <v>57.3</v>
      </c>
      <c r="L881" s="31">
        <f t="shared" si="78"/>
        <v>0</v>
      </c>
      <c r="M881" s="31">
        <f t="shared" si="78"/>
        <v>0.90000000000000568</v>
      </c>
      <c r="N881" s="35">
        <f t="shared" si="80"/>
        <v>1.5706806282722613E-2</v>
      </c>
    </row>
    <row r="882" spans="1:14" x14ac:dyDescent="0.25">
      <c r="A882" s="31" t="s">
        <v>339</v>
      </c>
      <c r="B882" s="32" t="s">
        <v>338</v>
      </c>
      <c r="C882" s="33">
        <f>VLOOKUP(A882,[3]v_03_24!F:I,3,FALSE)</f>
        <v>21</v>
      </c>
      <c r="D882" s="32">
        <f>VLOOKUP(A882,[3]v_03_24!F:I,4,FALSE)</f>
        <v>549.39</v>
      </c>
      <c r="E882" s="33">
        <v>0</v>
      </c>
      <c r="F882" s="32">
        <v>0</v>
      </c>
      <c r="G882" s="34">
        <f t="shared" si="79"/>
        <v>0</v>
      </c>
      <c r="H882" s="33">
        <f t="shared" si="77"/>
        <v>21</v>
      </c>
      <c r="I882" s="32">
        <f t="shared" si="77"/>
        <v>549.39</v>
      </c>
      <c r="J882" s="33">
        <f>VLOOKUP(A882,[3]v_03_23!F:I,3,FALSE)</f>
        <v>206</v>
      </c>
      <c r="K882" s="32">
        <f>VLOOKUP(A882,[3]v_03_23!F:I,4,FALSE)</f>
        <v>4121.03</v>
      </c>
      <c r="L882" s="31">
        <f t="shared" si="78"/>
        <v>-185</v>
      </c>
      <c r="M882" s="31">
        <f t="shared" si="78"/>
        <v>-3571.64</v>
      </c>
      <c r="N882" s="35">
        <f t="shared" si="80"/>
        <v>-0.86668624106109393</v>
      </c>
    </row>
    <row r="883" spans="1:14" x14ac:dyDescent="0.25">
      <c r="A883" s="31" t="s">
        <v>341</v>
      </c>
      <c r="B883" s="32" t="s">
        <v>340</v>
      </c>
      <c r="C883" s="33">
        <f>VLOOKUP(A883,[3]v_03_24!F:I,3,FALSE)</f>
        <v>20</v>
      </c>
      <c r="D883" s="32">
        <f>VLOOKUP(A883,[3]v_03_24!F:I,4,FALSE)</f>
        <v>490.2</v>
      </c>
      <c r="E883" s="33">
        <v>0</v>
      </c>
      <c r="F883" s="32">
        <v>0</v>
      </c>
      <c r="G883" s="34">
        <f t="shared" si="79"/>
        <v>0</v>
      </c>
      <c r="H883" s="33">
        <f t="shared" si="77"/>
        <v>20</v>
      </c>
      <c r="I883" s="32">
        <f t="shared" si="77"/>
        <v>490.2</v>
      </c>
      <c r="J883" s="33">
        <f>VLOOKUP(A883,[3]v_03_23!F:I,3,FALSE)</f>
        <v>14</v>
      </c>
      <c r="K883" s="32">
        <f>VLOOKUP(A883,[3]v_03_23!F:I,4,FALSE)</f>
        <v>343.14</v>
      </c>
      <c r="L883" s="31">
        <f t="shared" si="78"/>
        <v>6</v>
      </c>
      <c r="M883" s="31">
        <f t="shared" si="78"/>
        <v>147.06</v>
      </c>
      <c r="N883" s="35">
        <f t="shared" si="80"/>
        <v>0.4285714285714286</v>
      </c>
    </row>
    <row r="884" spans="1:14" x14ac:dyDescent="0.25">
      <c r="A884" s="31" t="s">
        <v>343</v>
      </c>
      <c r="B884" s="32" t="s">
        <v>342</v>
      </c>
      <c r="C884" s="33">
        <f>VLOOKUP(A884,[3]v_03_24!F:I,3,FALSE)</f>
        <v>28</v>
      </c>
      <c r="D884" s="32">
        <f>VLOOKUP(A884,[3]v_03_24!F:I,4,FALSE)</f>
        <v>516.37</v>
      </c>
      <c r="E884" s="33">
        <v>0</v>
      </c>
      <c r="F884" s="32">
        <v>0</v>
      </c>
      <c r="G884" s="34">
        <f t="shared" si="79"/>
        <v>0</v>
      </c>
      <c r="H884" s="33">
        <f t="shared" si="77"/>
        <v>28</v>
      </c>
      <c r="I884" s="32">
        <f t="shared" si="77"/>
        <v>516.37</v>
      </c>
      <c r="J884" s="33">
        <f>VLOOKUP(A884,[3]v_03_23!F:I,3,FALSE)</f>
        <v>42</v>
      </c>
      <c r="K884" s="32">
        <f>VLOOKUP(A884,[3]v_03_23!F:I,4,FALSE)</f>
        <v>813.76</v>
      </c>
      <c r="L884" s="31">
        <f t="shared" si="78"/>
        <v>-14</v>
      </c>
      <c r="M884" s="31">
        <f t="shared" si="78"/>
        <v>-297.39</v>
      </c>
      <c r="N884" s="35">
        <f t="shared" si="80"/>
        <v>-0.36545173023987415</v>
      </c>
    </row>
    <row r="885" spans="1:14" x14ac:dyDescent="0.25">
      <c r="A885" s="31" t="s">
        <v>345</v>
      </c>
      <c r="B885" s="32" t="s">
        <v>344</v>
      </c>
      <c r="C885" s="33">
        <f>VLOOKUP(A885,[3]v_03_24!F:I,3,FALSE)</f>
        <v>1</v>
      </c>
      <c r="D885" s="32">
        <f>VLOOKUP(A885,[3]v_03_24!F:I,4,FALSE)</f>
        <v>49.1</v>
      </c>
      <c r="E885" s="33">
        <v>0</v>
      </c>
      <c r="F885" s="32">
        <v>0</v>
      </c>
      <c r="G885" s="34">
        <f t="shared" si="79"/>
        <v>0</v>
      </c>
      <c r="H885" s="33">
        <f t="shared" si="77"/>
        <v>1</v>
      </c>
      <c r="I885" s="32">
        <f t="shared" si="77"/>
        <v>49.1</v>
      </c>
      <c r="J885" s="33">
        <f>VLOOKUP(A885,[3]v_03_23!F:I,3,FALSE)</f>
        <v>4</v>
      </c>
      <c r="K885" s="32">
        <f>VLOOKUP(A885,[3]v_03_23!F:I,4,FALSE)</f>
        <v>193.97</v>
      </c>
      <c r="L885" s="31">
        <f t="shared" si="78"/>
        <v>-3</v>
      </c>
      <c r="M885" s="31">
        <f t="shared" si="78"/>
        <v>-144.87</v>
      </c>
      <c r="N885" s="35">
        <f t="shared" si="80"/>
        <v>-0.74686807238232722</v>
      </c>
    </row>
    <row r="886" spans="1:14" x14ac:dyDescent="0.25">
      <c r="A886" s="31" t="s">
        <v>347</v>
      </c>
      <c r="B886" s="32" t="s">
        <v>346</v>
      </c>
      <c r="C886" s="33">
        <f>VLOOKUP(A886,[3]v_03_24!F:I,3,FALSE)</f>
        <v>0</v>
      </c>
      <c r="D886" s="32">
        <f>VLOOKUP(A886,[3]v_03_24!F:I,4,FALSE)</f>
        <v>0</v>
      </c>
      <c r="E886" s="33">
        <v>0</v>
      </c>
      <c r="F886" s="32">
        <v>0</v>
      </c>
      <c r="G886" s="34"/>
      <c r="H886" s="33">
        <f t="shared" si="77"/>
        <v>0</v>
      </c>
      <c r="I886" s="32">
        <f t="shared" si="77"/>
        <v>0</v>
      </c>
      <c r="J886" s="33">
        <f>VLOOKUP(A886,[3]v_03_23!F:I,3,FALSE)</f>
        <v>71</v>
      </c>
      <c r="K886" s="32">
        <f>VLOOKUP(A886,[3]v_03_23!F:I,4,FALSE)</f>
        <v>1361.47</v>
      </c>
      <c r="L886" s="31">
        <f t="shared" si="78"/>
        <v>-71</v>
      </c>
      <c r="M886" s="31">
        <f t="shared" si="78"/>
        <v>-1361.47</v>
      </c>
      <c r="N886" s="35">
        <f t="shared" si="80"/>
        <v>-1</v>
      </c>
    </row>
    <row r="887" spans="1:14" x14ac:dyDescent="0.25">
      <c r="A887" s="31" t="s">
        <v>349</v>
      </c>
      <c r="B887" s="32" t="s">
        <v>348</v>
      </c>
      <c r="C887" s="33">
        <f>VLOOKUP(A887,[3]v_03_24!F:I,3,FALSE)</f>
        <v>2</v>
      </c>
      <c r="D887" s="32">
        <f>VLOOKUP(A887,[3]v_03_24!F:I,4,FALSE)</f>
        <v>12.32</v>
      </c>
      <c r="E887" s="33">
        <v>0</v>
      </c>
      <c r="F887" s="32">
        <v>0</v>
      </c>
      <c r="G887" s="34">
        <f t="shared" si="79"/>
        <v>0</v>
      </c>
      <c r="H887" s="33">
        <f t="shared" si="77"/>
        <v>2</v>
      </c>
      <c r="I887" s="32">
        <f t="shared" si="77"/>
        <v>12.32</v>
      </c>
      <c r="J887" s="33">
        <v>0</v>
      </c>
      <c r="K887" s="32">
        <v>0</v>
      </c>
      <c r="L887" s="31">
        <f t="shared" si="78"/>
        <v>2</v>
      </c>
      <c r="M887" s="31">
        <f t="shared" si="78"/>
        <v>12.32</v>
      </c>
      <c r="N887" s="35"/>
    </row>
    <row r="888" spans="1:14" x14ac:dyDescent="0.25">
      <c r="A888" s="31" t="s">
        <v>351</v>
      </c>
      <c r="B888" s="32" t="s">
        <v>350</v>
      </c>
      <c r="C888" s="33">
        <f>VLOOKUP(A888,[3]v_03_24!F:I,3,FALSE)</f>
        <v>8</v>
      </c>
      <c r="D888" s="32">
        <f>VLOOKUP(A888,[3]v_03_24!F:I,4,FALSE)</f>
        <v>115.44</v>
      </c>
      <c r="E888" s="33">
        <v>0</v>
      </c>
      <c r="F888" s="32">
        <v>0</v>
      </c>
      <c r="G888" s="34">
        <f t="shared" si="79"/>
        <v>0</v>
      </c>
      <c r="H888" s="33">
        <f t="shared" si="77"/>
        <v>8</v>
      </c>
      <c r="I888" s="32">
        <f t="shared" si="77"/>
        <v>115.44</v>
      </c>
      <c r="J888" s="33">
        <f>VLOOKUP(A888,[3]v_03_23!F:I,3,FALSE)</f>
        <v>5</v>
      </c>
      <c r="K888" s="32">
        <f>VLOOKUP(A888,[3]v_03_23!F:I,4,FALSE)</f>
        <v>79.16</v>
      </c>
      <c r="L888" s="31">
        <f t="shared" si="78"/>
        <v>3</v>
      </c>
      <c r="M888" s="31">
        <f t="shared" si="78"/>
        <v>36.28</v>
      </c>
      <c r="N888" s="35">
        <f t="shared" si="80"/>
        <v>0.45831227892875193</v>
      </c>
    </row>
    <row r="889" spans="1:14" x14ac:dyDescent="0.25">
      <c r="A889" s="31" t="s">
        <v>353</v>
      </c>
      <c r="B889" s="32" t="s">
        <v>352</v>
      </c>
      <c r="C889" s="33">
        <v>0</v>
      </c>
      <c r="D889" s="32">
        <v>0</v>
      </c>
      <c r="E889" s="33">
        <v>0</v>
      </c>
      <c r="F889" s="32">
        <v>0</v>
      </c>
      <c r="G889" s="34"/>
      <c r="H889" s="33">
        <f t="shared" si="77"/>
        <v>0</v>
      </c>
      <c r="I889" s="32">
        <f t="shared" si="77"/>
        <v>0</v>
      </c>
      <c r="J889" s="33">
        <v>0</v>
      </c>
      <c r="K889" s="32">
        <v>0</v>
      </c>
      <c r="L889" s="31">
        <f t="shared" si="78"/>
        <v>0</v>
      </c>
      <c r="M889" s="31">
        <f t="shared" si="78"/>
        <v>0</v>
      </c>
      <c r="N889" s="35"/>
    </row>
    <row r="890" spans="1:14" x14ac:dyDescent="0.25">
      <c r="A890" s="31" t="s">
        <v>355</v>
      </c>
      <c r="B890" s="32" t="s">
        <v>354</v>
      </c>
      <c r="C890" s="33">
        <f>VLOOKUP(A890,[3]v_03_24!F:I,3,FALSE)</f>
        <v>0</v>
      </c>
      <c r="D890" s="32">
        <f>VLOOKUP(A890,[3]v_03_24!F:I,4,FALSE)</f>
        <v>0</v>
      </c>
      <c r="E890" s="33">
        <v>0</v>
      </c>
      <c r="F890" s="32">
        <v>0</v>
      </c>
      <c r="G890" s="34"/>
      <c r="H890" s="33">
        <f t="shared" si="77"/>
        <v>0</v>
      </c>
      <c r="I890" s="32">
        <f t="shared" si="77"/>
        <v>0</v>
      </c>
      <c r="J890" s="33">
        <f>VLOOKUP(A890,[3]v_03_23!F:I,3,FALSE)</f>
        <v>1</v>
      </c>
      <c r="K890" s="32">
        <f>VLOOKUP(A890,[3]v_03_23!F:I,4,FALSE)</f>
        <v>32.08</v>
      </c>
      <c r="L890" s="31">
        <f t="shared" si="78"/>
        <v>-1</v>
      </c>
      <c r="M890" s="31">
        <f t="shared" si="78"/>
        <v>-32.08</v>
      </c>
      <c r="N890" s="35">
        <f t="shared" si="80"/>
        <v>-1</v>
      </c>
    </row>
    <row r="891" spans="1:14" x14ac:dyDescent="0.25">
      <c r="A891" s="31" t="s">
        <v>357</v>
      </c>
      <c r="B891" s="32" t="s">
        <v>356</v>
      </c>
      <c r="C891" s="33">
        <f>VLOOKUP(A891,[3]v_03_24!F:I,3,FALSE)</f>
        <v>1</v>
      </c>
      <c r="D891" s="32">
        <f>VLOOKUP(A891,[3]v_03_24!F:I,4,FALSE)</f>
        <v>98.22</v>
      </c>
      <c r="E891" s="33">
        <v>0</v>
      </c>
      <c r="F891" s="32">
        <v>0</v>
      </c>
      <c r="G891" s="34">
        <f t="shared" si="79"/>
        <v>0</v>
      </c>
      <c r="H891" s="33">
        <f t="shared" si="77"/>
        <v>1</v>
      </c>
      <c r="I891" s="32">
        <f t="shared" si="77"/>
        <v>98.22</v>
      </c>
      <c r="J891" s="33">
        <f>VLOOKUP(A891,[3]v_03_23!F:I,3,FALSE)</f>
        <v>8</v>
      </c>
      <c r="K891" s="32">
        <f>VLOOKUP(A891,[3]v_03_23!F:I,4,FALSE)</f>
        <v>583.6</v>
      </c>
      <c r="L891" s="31">
        <f t="shared" si="78"/>
        <v>-7</v>
      </c>
      <c r="M891" s="31">
        <f t="shared" si="78"/>
        <v>-485.38</v>
      </c>
      <c r="N891" s="35">
        <f t="shared" si="80"/>
        <v>-0.83169979437971209</v>
      </c>
    </row>
    <row r="892" spans="1:14" x14ac:dyDescent="0.25">
      <c r="A892" s="31" t="s">
        <v>359</v>
      </c>
      <c r="B892" s="32" t="s">
        <v>358</v>
      </c>
      <c r="C892" s="33">
        <v>0</v>
      </c>
      <c r="D892" s="32">
        <v>0</v>
      </c>
      <c r="E892" s="33">
        <v>0</v>
      </c>
      <c r="F892" s="32">
        <v>0</v>
      </c>
      <c r="G892" s="34"/>
      <c r="H892" s="33">
        <f t="shared" si="77"/>
        <v>0</v>
      </c>
      <c r="I892" s="32">
        <f t="shared" si="77"/>
        <v>0</v>
      </c>
      <c r="J892" s="33">
        <v>0</v>
      </c>
      <c r="K892" s="32">
        <v>0</v>
      </c>
      <c r="L892" s="31">
        <f t="shared" si="78"/>
        <v>0</v>
      </c>
      <c r="M892" s="31">
        <f t="shared" si="78"/>
        <v>0</v>
      </c>
      <c r="N892" s="35"/>
    </row>
    <row r="893" spans="1:14" x14ac:dyDescent="0.25">
      <c r="A893" s="31" t="s">
        <v>361</v>
      </c>
      <c r="B893" s="32" t="s">
        <v>360</v>
      </c>
      <c r="C893" s="33">
        <f>VLOOKUP(A893,[3]v_03_24!F:I,3,FALSE)</f>
        <v>92</v>
      </c>
      <c r="D893" s="32">
        <f>VLOOKUP(A893,[3]v_03_24!F:I,4,FALSE)</f>
        <v>1274.2</v>
      </c>
      <c r="E893" s="33">
        <f>VLOOKUP(A893,[3]s_03_24!E:G,2,FALSE)</f>
        <v>4</v>
      </c>
      <c r="F893" s="32">
        <f>VLOOKUP(A893,[3]s_03_24!E:G,3,FALSE)</f>
        <v>99.6</v>
      </c>
      <c r="G893" s="34">
        <f t="shared" si="79"/>
        <v>7.249963604600379E-2</v>
      </c>
      <c r="H893" s="33">
        <f t="shared" si="77"/>
        <v>96</v>
      </c>
      <c r="I893" s="32">
        <f t="shared" si="77"/>
        <v>1373.8</v>
      </c>
      <c r="J893" s="33">
        <f>VLOOKUP(A893,[3]v_03_23!F:I,3,FALSE)</f>
        <v>454</v>
      </c>
      <c r="K893" s="32">
        <f>VLOOKUP(A893,[3]v_03_23!F:I,4,FALSE)</f>
        <v>5808.2</v>
      </c>
      <c r="L893" s="31">
        <f t="shared" si="78"/>
        <v>-358</v>
      </c>
      <c r="M893" s="31">
        <f t="shared" si="78"/>
        <v>-4434.3999999999996</v>
      </c>
      <c r="N893" s="35">
        <f t="shared" si="80"/>
        <v>-0.7634723322199648</v>
      </c>
    </row>
    <row r="894" spans="1:14" x14ac:dyDescent="0.25">
      <c r="A894" s="31" t="s">
        <v>363</v>
      </c>
      <c r="B894" s="32" t="s">
        <v>362</v>
      </c>
      <c r="C894" s="33">
        <v>0</v>
      </c>
      <c r="D894" s="32">
        <v>0</v>
      </c>
      <c r="E894" s="33">
        <v>0</v>
      </c>
      <c r="F894" s="32">
        <v>0</v>
      </c>
      <c r="G894" s="34"/>
      <c r="H894" s="33">
        <f t="shared" si="77"/>
        <v>0</v>
      </c>
      <c r="I894" s="32">
        <f t="shared" si="77"/>
        <v>0</v>
      </c>
      <c r="J894" s="33">
        <f>VLOOKUP(A894,[3]v_03_23!F:I,3,FALSE)</f>
        <v>1</v>
      </c>
      <c r="K894" s="32">
        <f>VLOOKUP(A894,[3]v_03_23!F:I,4,FALSE)</f>
        <v>12.21</v>
      </c>
      <c r="L894" s="31">
        <f t="shared" si="78"/>
        <v>-1</v>
      </c>
      <c r="M894" s="31">
        <f t="shared" si="78"/>
        <v>-12.21</v>
      </c>
      <c r="N894" s="35">
        <f t="shared" si="80"/>
        <v>-1</v>
      </c>
    </row>
    <row r="895" spans="1:14" x14ac:dyDescent="0.25">
      <c r="A895" s="31" t="s">
        <v>365</v>
      </c>
      <c r="B895" s="32" t="s">
        <v>364</v>
      </c>
      <c r="C895" s="33">
        <f>VLOOKUP(A895,[3]v_03_24!F:I,3,FALSE)</f>
        <v>12</v>
      </c>
      <c r="D895" s="32">
        <f>VLOOKUP(A895,[3]v_03_24!F:I,4,FALSE)</f>
        <v>451.55</v>
      </c>
      <c r="E895" s="33">
        <v>0</v>
      </c>
      <c r="F895" s="32">
        <v>0</v>
      </c>
      <c r="G895" s="34">
        <f t="shared" si="79"/>
        <v>0</v>
      </c>
      <c r="H895" s="33">
        <f t="shared" si="77"/>
        <v>12</v>
      </c>
      <c r="I895" s="32">
        <f t="shared" si="77"/>
        <v>451.55</v>
      </c>
      <c r="J895" s="33">
        <f>VLOOKUP(A895,[3]v_03_23!F:I,3,FALSE)</f>
        <v>32</v>
      </c>
      <c r="K895" s="32">
        <f>VLOOKUP(A895,[3]v_03_23!F:I,4,FALSE)</f>
        <v>1121.43</v>
      </c>
      <c r="L895" s="31">
        <f t="shared" si="78"/>
        <v>-20</v>
      </c>
      <c r="M895" s="31">
        <f t="shared" si="78"/>
        <v>-669.88000000000011</v>
      </c>
      <c r="N895" s="35">
        <f t="shared" si="80"/>
        <v>-0.5973444619815772</v>
      </c>
    </row>
    <row r="896" spans="1:14" x14ac:dyDescent="0.25">
      <c r="A896" s="31" t="s">
        <v>367</v>
      </c>
      <c r="B896" s="32" t="s">
        <v>366</v>
      </c>
      <c r="C896" s="33">
        <f>VLOOKUP(A896,[3]v_03_24!F:I,3,FALSE)</f>
        <v>6</v>
      </c>
      <c r="D896" s="32">
        <f>VLOOKUP(A896,[3]v_03_24!F:I,4,FALSE)</f>
        <v>154.62</v>
      </c>
      <c r="E896" s="33">
        <v>0</v>
      </c>
      <c r="F896" s="32">
        <v>0</v>
      </c>
      <c r="G896" s="34">
        <f t="shared" si="79"/>
        <v>0</v>
      </c>
      <c r="H896" s="33">
        <f t="shared" si="77"/>
        <v>6</v>
      </c>
      <c r="I896" s="32">
        <f t="shared" si="77"/>
        <v>154.62</v>
      </c>
      <c r="J896" s="33">
        <f>VLOOKUP(A896,[3]v_03_23!F:I,3,FALSE)</f>
        <v>10</v>
      </c>
      <c r="K896" s="32">
        <f>VLOOKUP(A896,[3]v_03_23!F:I,4,FALSE)</f>
        <v>220.5</v>
      </c>
      <c r="L896" s="31">
        <f t="shared" si="78"/>
        <v>-4</v>
      </c>
      <c r="M896" s="31">
        <f t="shared" si="78"/>
        <v>-65.88</v>
      </c>
      <c r="N896" s="35">
        <f t="shared" si="80"/>
        <v>-0.29877551020408161</v>
      </c>
    </row>
    <row r="897" spans="1:14" x14ac:dyDescent="0.25">
      <c r="A897" s="31" t="s">
        <v>369</v>
      </c>
      <c r="B897" s="32" t="s">
        <v>368</v>
      </c>
      <c r="C897" s="33">
        <f>VLOOKUP(A897,[3]v_03_24!F:I,3,FALSE)</f>
        <v>222</v>
      </c>
      <c r="D897" s="32">
        <f>VLOOKUP(A897,[3]v_03_24!F:I,4,FALSE)</f>
        <v>2397.59</v>
      </c>
      <c r="E897" s="33">
        <f>VLOOKUP(A897,[3]s_03_24!E:G,2,FALSE)</f>
        <v>7</v>
      </c>
      <c r="F897" s="32">
        <f>VLOOKUP(A897,[3]s_03_24!E:G,3,FALSE)</f>
        <v>76.300000000000011</v>
      </c>
      <c r="G897" s="34">
        <f t="shared" si="79"/>
        <v>3.084211504957779E-2</v>
      </c>
      <c r="H897" s="33">
        <f t="shared" si="77"/>
        <v>229</v>
      </c>
      <c r="I897" s="32">
        <f t="shared" si="77"/>
        <v>2473.8900000000003</v>
      </c>
      <c r="J897" s="33">
        <f>VLOOKUP(A897,[3]v_03_23!F:I,3,FALSE)</f>
        <v>1110</v>
      </c>
      <c r="K897" s="32">
        <f>VLOOKUP(A897,[3]v_03_23!F:I,4,FALSE)</f>
        <v>9002.1</v>
      </c>
      <c r="L897" s="31">
        <f t="shared" si="78"/>
        <v>-881</v>
      </c>
      <c r="M897" s="31">
        <f t="shared" si="78"/>
        <v>-6528.21</v>
      </c>
      <c r="N897" s="35">
        <f t="shared" si="80"/>
        <v>-0.72518745626020598</v>
      </c>
    </row>
    <row r="898" spans="1:14" x14ac:dyDescent="0.25">
      <c r="A898" s="31" t="s">
        <v>371</v>
      </c>
      <c r="B898" s="32" t="s">
        <v>370</v>
      </c>
      <c r="C898" s="33">
        <f>VLOOKUP(A898,[3]v_03_24!F:I,3,FALSE)</f>
        <v>6</v>
      </c>
      <c r="D898" s="32">
        <f>VLOOKUP(A898,[3]v_03_24!F:I,4,FALSE)</f>
        <v>196.2</v>
      </c>
      <c r="E898" s="33">
        <v>0</v>
      </c>
      <c r="F898" s="32">
        <v>0</v>
      </c>
      <c r="G898" s="34">
        <f t="shared" si="79"/>
        <v>0</v>
      </c>
      <c r="H898" s="33">
        <f t="shared" si="77"/>
        <v>6</v>
      </c>
      <c r="I898" s="32">
        <f t="shared" si="77"/>
        <v>196.2</v>
      </c>
      <c r="J898" s="33">
        <f>VLOOKUP(A898,[3]v_03_23!F:I,3,FALSE)</f>
        <v>23</v>
      </c>
      <c r="K898" s="32">
        <f>VLOOKUP(A898,[3]v_03_23!F:I,4,FALSE)</f>
        <v>752.1</v>
      </c>
      <c r="L898" s="31">
        <f t="shared" si="78"/>
        <v>-17</v>
      </c>
      <c r="M898" s="31">
        <f t="shared" si="78"/>
        <v>-555.90000000000009</v>
      </c>
      <c r="N898" s="35">
        <f t="shared" si="80"/>
        <v>-0.73913043478260876</v>
      </c>
    </row>
    <row r="899" spans="1:14" x14ac:dyDescent="0.25">
      <c r="A899" s="31" t="s">
        <v>373</v>
      </c>
      <c r="B899" s="32" t="s">
        <v>372</v>
      </c>
      <c r="C899" s="33">
        <v>0</v>
      </c>
      <c r="D899" s="32">
        <v>0</v>
      </c>
      <c r="E899" s="33">
        <v>0</v>
      </c>
      <c r="F899" s="32">
        <v>0</v>
      </c>
      <c r="G899" s="34"/>
      <c r="H899" s="33">
        <f t="shared" si="77"/>
        <v>0</v>
      </c>
      <c r="I899" s="32">
        <f t="shared" si="77"/>
        <v>0</v>
      </c>
      <c r="J899" s="33">
        <v>0</v>
      </c>
      <c r="K899" s="32">
        <v>0</v>
      </c>
      <c r="L899" s="31">
        <f t="shared" si="78"/>
        <v>0</v>
      </c>
      <c r="M899" s="31">
        <f t="shared" si="78"/>
        <v>0</v>
      </c>
      <c r="N899" s="35"/>
    </row>
    <row r="900" spans="1:14" x14ac:dyDescent="0.25">
      <c r="A900" s="31" t="s">
        <v>375</v>
      </c>
      <c r="B900" s="32" t="s">
        <v>374</v>
      </c>
      <c r="C900" s="33">
        <f>VLOOKUP(A900,[3]v_03_24!F:I,3,FALSE)</f>
        <v>7</v>
      </c>
      <c r="D900" s="32">
        <f>VLOOKUP(A900,[3]v_03_24!F:I,4,FALSE)</f>
        <v>131.65</v>
      </c>
      <c r="E900" s="33">
        <v>0</v>
      </c>
      <c r="F900" s="32">
        <v>0</v>
      </c>
      <c r="G900" s="34">
        <f t="shared" si="79"/>
        <v>0</v>
      </c>
      <c r="H900" s="33">
        <f t="shared" si="77"/>
        <v>7</v>
      </c>
      <c r="I900" s="32">
        <f t="shared" si="77"/>
        <v>131.65</v>
      </c>
      <c r="J900" s="33">
        <f>VLOOKUP(A900,[3]v_03_23!F:I,3,FALSE)</f>
        <v>56</v>
      </c>
      <c r="K900" s="32">
        <f>VLOOKUP(A900,[3]v_03_23!F:I,4,FALSE)</f>
        <v>913.36</v>
      </c>
      <c r="L900" s="31">
        <f t="shared" si="78"/>
        <v>-49</v>
      </c>
      <c r="M900" s="31">
        <f t="shared" si="78"/>
        <v>-781.71</v>
      </c>
      <c r="N900" s="35">
        <f t="shared" si="80"/>
        <v>-0.85586187264605418</v>
      </c>
    </row>
    <row r="901" spans="1:14" x14ac:dyDescent="0.25">
      <c r="A901" s="31" t="s">
        <v>377</v>
      </c>
      <c r="B901" s="32" t="s">
        <v>376</v>
      </c>
      <c r="C901" s="33">
        <f>VLOOKUP(A901,[3]v_03_24!F:I,3,FALSE)</f>
        <v>5</v>
      </c>
      <c r="D901" s="32">
        <f>VLOOKUP(A901,[3]v_03_24!F:I,4,FALSE)</f>
        <v>93.85</v>
      </c>
      <c r="E901" s="33">
        <v>0</v>
      </c>
      <c r="F901" s="32">
        <v>0</v>
      </c>
      <c r="G901" s="34">
        <f t="shared" si="79"/>
        <v>0</v>
      </c>
      <c r="H901" s="33">
        <f t="shared" si="77"/>
        <v>5</v>
      </c>
      <c r="I901" s="32">
        <f t="shared" si="77"/>
        <v>93.85</v>
      </c>
      <c r="J901" s="33">
        <f>VLOOKUP(A901,[3]v_03_23!F:I,3,FALSE)</f>
        <v>13</v>
      </c>
      <c r="K901" s="32">
        <f>VLOOKUP(A901,[3]v_03_23!F:I,4,FALSE)</f>
        <v>212.03</v>
      </c>
      <c r="L901" s="31">
        <f t="shared" si="78"/>
        <v>-8</v>
      </c>
      <c r="M901" s="31">
        <f t="shared" si="78"/>
        <v>-118.18</v>
      </c>
      <c r="N901" s="35">
        <f t="shared" si="80"/>
        <v>-0.55737395651558741</v>
      </c>
    </row>
    <row r="902" spans="1:14" x14ac:dyDescent="0.25">
      <c r="A902" s="31" t="s">
        <v>379</v>
      </c>
      <c r="B902" s="32" t="s">
        <v>378</v>
      </c>
      <c r="C902" s="33">
        <f>VLOOKUP(A902,[3]v_03_24!F:I,3,FALSE)</f>
        <v>11</v>
      </c>
      <c r="D902" s="32">
        <f>VLOOKUP(A902,[3]v_03_24!F:I,4,FALSE)</f>
        <v>206.47</v>
      </c>
      <c r="E902" s="33">
        <f>VLOOKUP(A902,[3]s_03_24!E:G,2,FALSE)</f>
        <v>2</v>
      </c>
      <c r="F902" s="32">
        <f>VLOOKUP(A902,[3]s_03_24!E:G,3,FALSE)</f>
        <v>44.8</v>
      </c>
      <c r="G902" s="34">
        <f t="shared" si="79"/>
        <v>0.17829426513312374</v>
      </c>
      <c r="H902" s="33">
        <f t="shared" si="77"/>
        <v>13</v>
      </c>
      <c r="I902" s="32">
        <f t="shared" si="77"/>
        <v>251.26999999999998</v>
      </c>
      <c r="J902" s="33">
        <f>VLOOKUP(A902,[3]v_03_23!F:I,3,FALSE)</f>
        <v>2</v>
      </c>
      <c r="K902" s="32">
        <f>VLOOKUP(A902,[3]v_03_23!F:I,4,FALSE)</f>
        <v>32.619999999999997</v>
      </c>
      <c r="L902" s="31">
        <f t="shared" si="78"/>
        <v>11</v>
      </c>
      <c r="M902" s="31">
        <f t="shared" si="78"/>
        <v>218.64999999999998</v>
      </c>
      <c r="N902" s="35">
        <f t="shared" si="80"/>
        <v>6.7029429797670144</v>
      </c>
    </row>
    <row r="903" spans="1:14" x14ac:dyDescent="0.25">
      <c r="A903" s="31" t="s">
        <v>381</v>
      </c>
      <c r="B903" s="32" t="s">
        <v>380</v>
      </c>
      <c r="C903" s="33">
        <f>VLOOKUP(A903,[3]v_03_24!F:I,3,FALSE)</f>
        <v>2</v>
      </c>
      <c r="D903" s="32">
        <f>VLOOKUP(A903,[3]v_03_24!F:I,4,FALSE)</f>
        <v>87.72</v>
      </c>
      <c r="E903" s="33">
        <v>0</v>
      </c>
      <c r="F903" s="32">
        <v>0</v>
      </c>
      <c r="G903" s="34">
        <f t="shared" si="79"/>
        <v>0</v>
      </c>
      <c r="H903" s="33">
        <f t="shared" si="77"/>
        <v>2</v>
      </c>
      <c r="I903" s="32">
        <f t="shared" si="77"/>
        <v>87.72</v>
      </c>
      <c r="J903" s="33">
        <f>VLOOKUP(A903,[3]v_03_23!F:I,3,FALSE)</f>
        <v>4</v>
      </c>
      <c r="K903" s="32">
        <f>VLOOKUP(A903,[3]v_03_23!F:I,4,FALSE)</f>
        <v>163</v>
      </c>
      <c r="L903" s="31">
        <f t="shared" si="78"/>
        <v>-2</v>
      </c>
      <c r="M903" s="31">
        <f t="shared" si="78"/>
        <v>-75.28</v>
      </c>
      <c r="N903" s="35">
        <f t="shared" si="80"/>
        <v>-0.46184049079754602</v>
      </c>
    </row>
    <row r="904" spans="1:14" x14ac:dyDescent="0.25">
      <c r="A904" s="31" t="s">
        <v>383</v>
      </c>
      <c r="B904" s="32" t="s">
        <v>382</v>
      </c>
      <c r="C904" s="33">
        <f>VLOOKUP(A904,[3]v_03_24!F:I,3,FALSE)</f>
        <v>4</v>
      </c>
      <c r="D904" s="32">
        <f>VLOOKUP(A904,[3]v_03_24!F:I,4,FALSE)</f>
        <v>52.72</v>
      </c>
      <c r="E904" s="33">
        <v>0</v>
      </c>
      <c r="F904" s="32">
        <v>0</v>
      </c>
      <c r="G904" s="34">
        <f t="shared" si="79"/>
        <v>0</v>
      </c>
      <c r="H904" s="33">
        <f t="shared" si="77"/>
        <v>4</v>
      </c>
      <c r="I904" s="32">
        <f t="shared" si="77"/>
        <v>52.72</v>
      </c>
      <c r="J904" s="33">
        <f>VLOOKUP(A904,[3]v_03_23!F:I,3,FALSE)</f>
        <v>3</v>
      </c>
      <c r="K904" s="32">
        <f>VLOOKUP(A904,[3]v_03_23!F:I,4,FALSE)</f>
        <v>48.93</v>
      </c>
      <c r="L904" s="31">
        <f t="shared" si="78"/>
        <v>1</v>
      </c>
      <c r="M904" s="31">
        <f t="shared" si="78"/>
        <v>3.7899999999999991</v>
      </c>
      <c r="N904" s="35">
        <f t="shared" si="80"/>
        <v>7.7457592479051693E-2</v>
      </c>
    </row>
    <row r="905" spans="1:14" x14ac:dyDescent="0.25">
      <c r="A905" s="31" t="s">
        <v>385</v>
      </c>
      <c r="B905" s="32" t="s">
        <v>384</v>
      </c>
      <c r="C905" s="33">
        <f>VLOOKUP(A905,[3]v_03_24!F:I,3,FALSE)</f>
        <v>100</v>
      </c>
      <c r="D905" s="32">
        <f>VLOOKUP(A905,[3]v_03_24!F:I,4,FALSE)</f>
        <v>1631</v>
      </c>
      <c r="E905" s="33">
        <f>VLOOKUP(A905,[3]s_03_24!E:G,2,FALSE)</f>
        <v>8</v>
      </c>
      <c r="F905" s="32">
        <f>VLOOKUP(A905,[3]s_03_24!E:G,3,FALSE)</f>
        <v>199.20000000000002</v>
      </c>
      <c r="G905" s="34">
        <f t="shared" si="79"/>
        <v>0.10884056387280079</v>
      </c>
      <c r="H905" s="33">
        <f t="shared" si="77"/>
        <v>108</v>
      </c>
      <c r="I905" s="32">
        <f t="shared" si="77"/>
        <v>1830.2</v>
      </c>
      <c r="J905" s="33">
        <f>VLOOKUP(A905,[3]v_03_23!F:I,3,FALSE)</f>
        <v>820</v>
      </c>
      <c r="K905" s="32">
        <f>VLOOKUP(A905,[3]v_03_23!F:I,4,FALSE)</f>
        <v>13374.2</v>
      </c>
      <c r="L905" s="31">
        <f t="shared" si="78"/>
        <v>-712</v>
      </c>
      <c r="M905" s="31">
        <f t="shared" si="78"/>
        <v>-11544</v>
      </c>
      <c r="N905" s="35">
        <f t="shared" si="80"/>
        <v>-0.86315443166694072</v>
      </c>
    </row>
    <row r="906" spans="1:14" x14ac:dyDescent="0.25">
      <c r="A906" s="31" t="s">
        <v>387</v>
      </c>
      <c r="B906" s="32" t="s">
        <v>386</v>
      </c>
      <c r="C906" s="33">
        <v>0</v>
      </c>
      <c r="D906" s="32">
        <v>0</v>
      </c>
      <c r="E906" s="33">
        <v>0</v>
      </c>
      <c r="F906" s="32">
        <v>0</v>
      </c>
      <c r="G906" s="34"/>
      <c r="H906" s="33">
        <f t="shared" si="77"/>
        <v>0</v>
      </c>
      <c r="I906" s="32">
        <f t="shared" si="77"/>
        <v>0</v>
      </c>
      <c r="J906" s="33">
        <f>VLOOKUP(A906,[3]v_03_23!F:I,3,FALSE)</f>
        <v>1</v>
      </c>
      <c r="K906" s="32">
        <f>VLOOKUP(A906,[3]v_03_23!F:I,4,FALSE)</f>
        <v>40.21</v>
      </c>
      <c r="L906" s="31">
        <f t="shared" si="78"/>
        <v>-1</v>
      </c>
      <c r="M906" s="31">
        <f t="shared" si="78"/>
        <v>-40.21</v>
      </c>
      <c r="N906" s="35">
        <f t="shared" si="80"/>
        <v>-1</v>
      </c>
    </row>
    <row r="907" spans="1:14" x14ac:dyDescent="0.25">
      <c r="A907" s="31" t="s">
        <v>389</v>
      </c>
      <c r="B907" s="32" t="s">
        <v>388</v>
      </c>
      <c r="C907" s="33">
        <f>VLOOKUP(A907,[3]v_03_24!F:I,3,FALSE)</f>
        <v>9</v>
      </c>
      <c r="D907" s="32">
        <f>VLOOKUP(A907,[3]v_03_24!F:I,4,FALSE)</f>
        <v>72.989999999999995</v>
      </c>
      <c r="E907" s="33">
        <v>0</v>
      </c>
      <c r="F907" s="32">
        <v>0</v>
      </c>
      <c r="G907" s="34">
        <f t="shared" si="79"/>
        <v>0</v>
      </c>
      <c r="H907" s="33">
        <f t="shared" si="77"/>
        <v>9</v>
      </c>
      <c r="I907" s="32">
        <f t="shared" si="77"/>
        <v>72.989999999999995</v>
      </c>
      <c r="J907" s="33">
        <f>VLOOKUP(A907,[3]v_03_23!F:I,3,FALSE)</f>
        <v>21</v>
      </c>
      <c r="K907" s="32">
        <f>VLOOKUP(A907,[3]v_03_23!F:I,4,FALSE)</f>
        <v>170.31</v>
      </c>
      <c r="L907" s="31">
        <f t="shared" si="78"/>
        <v>-12</v>
      </c>
      <c r="M907" s="31">
        <f t="shared" si="78"/>
        <v>-97.320000000000007</v>
      </c>
      <c r="N907" s="35">
        <f t="shared" si="80"/>
        <v>-0.57142857142857151</v>
      </c>
    </row>
    <row r="908" spans="1:14" x14ac:dyDescent="0.25">
      <c r="A908" s="31" t="s">
        <v>391</v>
      </c>
      <c r="B908" s="32" t="s">
        <v>390</v>
      </c>
      <c r="C908" s="33">
        <f>VLOOKUP(A908,[3]v_03_24!F:I,3,FALSE)</f>
        <v>57</v>
      </c>
      <c r="D908" s="32">
        <f>VLOOKUP(A908,[3]v_03_24!F:I,4,FALSE)</f>
        <v>5001.34</v>
      </c>
      <c r="E908" s="33">
        <v>0</v>
      </c>
      <c r="F908" s="32">
        <v>0</v>
      </c>
      <c r="G908" s="34">
        <f t="shared" si="79"/>
        <v>0</v>
      </c>
      <c r="H908" s="33">
        <f t="shared" si="77"/>
        <v>57</v>
      </c>
      <c r="I908" s="32">
        <f t="shared" si="77"/>
        <v>5001.34</v>
      </c>
      <c r="J908" s="33">
        <f>VLOOKUP(A908,[3]v_03_23!F:I,3,FALSE)</f>
        <v>38</v>
      </c>
      <c r="K908" s="32">
        <f>VLOOKUP(A908,[3]v_03_23!F:I,4,FALSE)</f>
        <v>3092.63</v>
      </c>
      <c r="L908" s="31">
        <f t="shared" si="78"/>
        <v>19</v>
      </c>
      <c r="M908" s="31">
        <f t="shared" si="78"/>
        <v>1908.71</v>
      </c>
      <c r="N908" s="35">
        <f t="shared" si="80"/>
        <v>0.61718019937722912</v>
      </c>
    </row>
    <row r="909" spans="1:14" x14ac:dyDescent="0.25">
      <c r="A909" s="31" t="s">
        <v>393</v>
      </c>
      <c r="B909" s="32" t="s">
        <v>392</v>
      </c>
      <c r="C909" s="33">
        <f>VLOOKUP(A909,[3]v_03_24!F:I,3,FALSE)</f>
        <v>4</v>
      </c>
      <c r="D909" s="32">
        <f>VLOOKUP(A909,[3]v_03_24!F:I,4,FALSE)</f>
        <v>380.8</v>
      </c>
      <c r="E909" s="33">
        <v>0</v>
      </c>
      <c r="F909" s="32">
        <v>0</v>
      </c>
      <c r="G909" s="34">
        <f t="shared" si="79"/>
        <v>0</v>
      </c>
      <c r="H909" s="33">
        <f t="shared" si="77"/>
        <v>4</v>
      </c>
      <c r="I909" s="32">
        <f t="shared" si="77"/>
        <v>380.8</v>
      </c>
      <c r="J909" s="33">
        <f>VLOOKUP(A909,[3]v_03_23!F:I,3,FALSE)</f>
        <v>6</v>
      </c>
      <c r="K909" s="32">
        <f>VLOOKUP(A909,[3]v_03_23!F:I,4,FALSE)</f>
        <v>491.34</v>
      </c>
      <c r="L909" s="31">
        <f t="shared" si="78"/>
        <v>-2</v>
      </c>
      <c r="M909" s="31">
        <f t="shared" si="78"/>
        <v>-110.53999999999996</v>
      </c>
      <c r="N909" s="35">
        <f t="shared" si="80"/>
        <v>-0.22497659461879752</v>
      </c>
    </row>
    <row r="910" spans="1:14" x14ac:dyDescent="0.25">
      <c r="A910" s="36" t="s">
        <v>395</v>
      </c>
      <c r="B910" s="32" t="s">
        <v>394</v>
      </c>
      <c r="C910" s="33">
        <f>VLOOKUP(A910,[3]v_03_24!F:I,3,FALSE)</f>
        <v>62</v>
      </c>
      <c r="D910" s="32">
        <f>VLOOKUP(A910,[3]v_03_24!F:I,4,FALSE)</f>
        <v>690.53</v>
      </c>
      <c r="E910" s="33">
        <v>0</v>
      </c>
      <c r="F910" s="32">
        <v>0</v>
      </c>
      <c r="G910" s="34">
        <f t="shared" si="79"/>
        <v>0</v>
      </c>
      <c r="H910" s="33">
        <f t="shared" si="77"/>
        <v>62</v>
      </c>
      <c r="I910" s="32">
        <f t="shared" si="77"/>
        <v>690.53</v>
      </c>
      <c r="J910" s="33">
        <f>VLOOKUP(A910,[3]v_03_23!F:I,3,FALSE)</f>
        <v>229</v>
      </c>
      <c r="K910" s="32">
        <f>VLOOKUP(A910,[3]v_03_23!F:I,4,FALSE)</f>
        <v>2420.5300000000002</v>
      </c>
      <c r="L910" s="31">
        <f t="shared" si="78"/>
        <v>-167</v>
      </c>
      <c r="M910" s="31">
        <f t="shared" si="78"/>
        <v>-1730.0000000000002</v>
      </c>
      <c r="N910" s="35">
        <f t="shared" si="80"/>
        <v>-0.71471950357979452</v>
      </c>
    </row>
    <row r="911" spans="1:14" x14ac:dyDescent="0.25">
      <c r="A911" s="31" t="s">
        <v>397</v>
      </c>
      <c r="B911" s="32" t="s">
        <v>396</v>
      </c>
      <c r="C911" s="33">
        <v>0</v>
      </c>
      <c r="D911" s="32">
        <v>0</v>
      </c>
      <c r="E911" s="33">
        <v>0</v>
      </c>
      <c r="F911" s="32">
        <v>0</v>
      </c>
      <c r="G911" s="34"/>
      <c r="H911" s="33">
        <f t="shared" ref="H911:I974" si="81">C911+E911</f>
        <v>0</v>
      </c>
      <c r="I911" s="32">
        <f t="shared" si="81"/>
        <v>0</v>
      </c>
      <c r="J911" s="33">
        <f>VLOOKUP(A911,[3]v_03_23!F:I,3,FALSE)</f>
        <v>2</v>
      </c>
      <c r="K911" s="32">
        <f>VLOOKUP(A911,[3]v_03_23!F:I,4,FALSE)</f>
        <v>114.6</v>
      </c>
      <c r="L911" s="31">
        <f t="shared" ref="L911:M974" si="82">H911-J911</f>
        <v>-2</v>
      </c>
      <c r="M911" s="31">
        <f t="shared" si="82"/>
        <v>-114.6</v>
      </c>
      <c r="N911" s="35">
        <f t="shared" si="80"/>
        <v>-1</v>
      </c>
    </row>
    <row r="912" spans="1:14" x14ac:dyDescent="0.25">
      <c r="A912" s="31" t="s">
        <v>399</v>
      </c>
      <c r="B912" s="32" t="s">
        <v>398</v>
      </c>
      <c r="C912" s="33">
        <f>VLOOKUP(A912,[3]v_03_24!F:I,3,FALSE)</f>
        <v>2</v>
      </c>
      <c r="D912" s="32">
        <f>VLOOKUP(A912,[3]v_03_24!F:I,4,FALSE)</f>
        <v>88.34</v>
      </c>
      <c r="E912" s="33">
        <v>0</v>
      </c>
      <c r="F912" s="32">
        <v>0</v>
      </c>
      <c r="G912" s="34">
        <f t="shared" ref="G912:G974" si="83">F912/I912</f>
        <v>0</v>
      </c>
      <c r="H912" s="33">
        <f t="shared" si="81"/>
        <v>2</v>
      </c>
      <c r="I912" s="32">
        <f t="shared" si="81"/>
        <v>88.34</v>
      </c>
      <c r="J912" s="33">
        <f>VLOOKUP(A912,[3]v_03_23!F:I,3,FALSE)</f>
        <v>10</v>
      </c>
      <c r="K912" s="32">
        <f>VLOOKUP(A912,[3]v_03_23!F:I,4,FALSE)</f>
        <v>368</v>
      </c>
      <c r="L912" s="31">
        <f t="shared" si="82"/>
        <v>-8</v>
      </c>
      <c r="M912" s="31">
        <f t="shared" si="82"/>
        <v>-279.65999999999997</v>
      </c>
      <c r="N912" s="35">
        <f t="shared" ref="N912:N973" si="84">M912/K912</f>
        <v>-0.75994565217391297</v>
      </c>
    </row>
    <row r="913" spans="1:14" x14ac:dyDescent="0.25">
      <c r="A913" s="31" t="s">
        <v>401</v>
      </c>
      <c r="B913" s="32" t="s">
        <v>400</v>
      </c>
      <c r="C913" s="33">
        <f>VLOOKUP(A913,[3]v_03_24!F:I,3,FALSE)</f>
        <v>558</v>
      </c>
      <c r="D913" s="32">
        <f>VLOOKUP(A913,[3]v_03_24!F:I,4,FALSE)</f>
        <v>9074.8700000000008</v>
      </c>
      <c r="E913" s="33">
        <v>0</v>
      </c>
      <c r="F913" s="32">
        <v>0</v>
      </c>
      <c r="G913" s="34">
        <f t="shared" si="83"/>
        <v>0</v>
      </c>
      <c r="H913" s="33">
        <f t="shared" si="81"/>
        <v>558</v>
      </c>
      <c r="I913" s="32">
        <f t="shared" si="81"/>
        <v>9074.8700000000008</v>
      </c>
      <c r="J913" s="33">
        <f>VLOOKUP(A913,[3]v_03_23!F:I,3,FALSE)</f>
        <v>0</v>
      </c>
      <c r="K913" s="32">
        <f>VLOOKUP(A913,[3]v_03_23!F:I,4,FALSE)</f>
        <v>0</v>
      </c>
      <c r="L913" s="31">
        <f t="shared" si="82"/>
        <v>558</v>
      </c>
      <c r="M913" s="31">
        <f t="shared" si="82"/>
        <v>9074.8700000000008</v>
      </c>
      <c r="N913" s="35"/>
    </row>
    <row r="914" spans="1:14" x14ac:dyDescent="0.25">
      <c r="A914" s="31" t="s">
        <v>403</v>
      </c>
      <c r="B914" s="32" t="s">
        <v>402</v>
      </c>
      <c r="C914" s="33">
        <f>VLOOKUP(A914,[3]v_03_24!F:I,3,FALSE)</f>
        <v>0</v>
      </c>
      <c r="D914" s="32">
        <f>VLOOKUP(A914,[3]v_03_24!F:I,4,FALSE)</f>
        <v>0</v>
      </c>
      <c r="E914" s="33">
        <v>0</v>
      </c>
      <c r="F914" s="32">
        <v>0</v>
      </c>
      <c r="G914" s="34"/>
      <c r="H914" s="33">
        <f t="shared" si="81"/>
        <v>0</v>
      </c>
      <c r="I914" s="32">
        <f t="shared" si="81"/>
        <v>0</v>
      </c>
      <c r="J914" s="33">
        <f>VLOOKUP(A914,[3]v_03_23!F:I,3,FALSE)</f>
        <v>3</v>
      </c>
      <c r="K914" s="32">
        <f>VLOOKUP(A914,[3]v_03_23!F:I,4,FALSE)</f>
        <v>101.23</v>
      </c>
      <c r="L914" s="31">
        <f t="shared" si="82"/>
        <v>-3</v>
      </c>
      <c r="M914" s="31">
        <f t="shared" si="82"/>
        <v>-101.23</v>
      </c>
      <c r="N914" s="35">
        <f t="shared" si="84"/>
        <v>-1</v>
      </c>
    </row>
    <row r="915" spans="1:14" x14ac:dyDescent="0.25">
      <c r="A915" s="31" t="s">
        <v>405</v>
      </c>
      <c r="B915" s="32" t="s">
        <v>404</v>
      </c>
      <c r="C915" s="33">
        <f>VLOOKUP(A915,[3]v_03_24!F:I,3,FALSE)</f>
        <v>1</v>
      </c>
      <c r="D915" s="32">
        <f>VLOOKUP(A915,[3]v_03_24!F:I,4,FALSE)</f>
        <v>160.65</v>
      </c>
      <c r="E915" s="33">
        <v>0</v>
      </c>
      <c r="F915" s="32">
        <v>0</v>
      </c>
      <c r="G915" s="34">
        <f t="shared" si="83"/>
        <v>0</v>
      </c>
      <c r="H915" s="33">
        <f t="shared" si="81"/>
        <v>1</v>
      </c>
      <c r="I915" s="32">
        <f t="shared" si="81"/>
        <v>160.65</v>
      </c>
      <c r="J915" s="33">
        <f>VLOOKUP(A915,[3]v_03_23!F:I,3,FALSE)</f>
        <v>2</v>
      </c>
      <c r="K915" s="32">
        <f>VLOOKUP(A915,[3]v_03_23!F:I,4,FALSE)</f>
        <v>226.06</v>
      </c>
      <c r="L915" s="31">
        <f t="shared" si="82"/>
        <v>-1</v>
      </c>
      <c r="M915" s="31">
        <f t="shared" si="82"/>
        <v>-65.41</v>
      </c>
      <c r="N915" s="35">
        <f t="shared" si="84"/>
        <v>-0.2893479607183933</v>
      </c>
    </row>
    <row r="916" spans="1:14" x14ac:dyDescent="0.25">
      <c r="A916" s="31" t="s">
        <v>407</v>
      </c>
      <c r="B916" s="32" t="s">
        <v>406</v>
      </c>
      <c r="C916" s="33">
        <f>VLOOKUP(A916,[3]v_03_24!F:I,3,FALSE)</f>
        <v>453</v>
      </c>
      <c r="D916" s="32">
        <f>VLOOKUP(A916,[3]v_03_24!F:I,4,FALSE)</f>
        <v>2224.23</v>
      </c>
      <c r="E916" s="33">
        <v>0</v>
      </c>
      <c r="F916" s="32">
        <v>0</v>
      </c>
      <c r="G916" s="34">
        <f t="shared" si="83"/>
        <v>0</v>
      </c>
      <c r="H916" s="33">
        <f t="shared" si="81"/>
        <v>453</v>
      </c>
      <c r="I916" s="32">
        <f t="shared" si="81"/>
        <v>2224.23</v>
      </c>
      <c r="J916" s="33">
        <f>VLOOKUP(A916,[3]v_03_23!F:I,3,FALSE)</f>
        <v>879</v>
      </c>
      <c r="K916" s="32">
        <f>VLOOKUP(A916,[3]v_03_23!F:I,4,FALSE)</f>
        <v>3594.46</v>
      </c>
      <c r="L916" s="31">
        <f t="shared" si="82"/>
        <v>-426</v>
      </c>
      <c r="M916" s="31">
        <f t="shared" si="82"/>
        <v>-1370.23</v>
      </c>
      <c r="N916" s="35">
        <f t="shared" si="84"/>
        <v>-0.38120607824262892</v>
      </c>
    </row>
    <row r="917" spans="1:14" x14ac:dyDescent="0.25">
      <c r="A917" s="31" t="s">
        <v>409</v>
      </c>
      <c r="B917" s="32" t="s">
        <v>408</v>
      </c>
      <c r="C917" s="33">
        <f>VLOOKUP(A917,[3]v_03_24!F:I,3,FALSE)</f>
        <v>31</v>
      </c>
      <c r="D917" s="32">
        <f>VLOOKUP(A917,[3]v_03_24!F:I,4,FALSE)</f>
        <v>172.86</v>
      </c>
      <c r="E917" s="33">
        <v>0</v>
      </c>
      <c r="F917" s="32">
        <v>0</v>
      </c>
      <c r="G917" s="34">
        <f t="shared" si="83"/>
        <v>0</v>
      </c>
      <c r="H917" s="33">
        <f t="shared" si="81"/>
        <v>31</v>
      </c>
      <c r="I917" s="32">
        <f t="shared" si="81"/>
        <v>172.86</v>
      </c>
      <c r="J917" s="33">
        <f>VLOOKUP(A917,[3]v_03_23!F:I,3,FALSE)</f>
        <v>0</v>
      </c>
      <c r="K917" s="32">
        <f>VLOOKUP(A917,[3]v_03_23!F:I,4,FALSE)</f>
        <v>0</v>
      </c>
      <c r="L917" s="31">
        <f t="shared" si="82"/>
        <v>31</v>
      </c>
      <c r="M917" s="31">
        <f t="shared" si="82"/>
        <v>172.86</v>
      </c>
      <c r="N917" s="35"/>
    </row>
    <row r="918" spans="1:14" x14ac:dyDescent="0.25">
      <c r="A918" s="31" t="s">
        <v>411</v>
      </c>
      <c r="B918" s="32" t="s">
        <v>410</v>
      </c>
      <c r="C918" s="33">
        <f>VLOOKUP(A918,[3]v_03_24!F:I,3,FALSE)</f>
        <v>9</v>
      </c>
      <c r="D918" s="32">
        <f>VLOOKUP(A918,[3]v_03_24!F:I,4,FALSE)</f>
        <v>33.79</v>
      </c>
      <c r="E918" s="33">
        <v>0</v>
      </c>
      <c r="F918" s="32">
        <v>0</v>
      </c>
      <c r="G918" s="34">
        <f t="shared" si="83"/>
        <v>0</v>
      </c>
      <c r="H918" s="33">
        <f t="shared" si="81"/>
        <v>9</v>
      </c>
      <c r="I918" s="32">
        <f t="shared" si="81"/>
        <v>33.79</v>
      </c>
      <c r="J918" s="33">
        <v>0</v>
      </c>
      <c r="K918" s="32">
        <v>0</v>
      </c>
      <c r="L918" s="31">
        <f t="shared" si="82"/>
        <v>9</v>
      </c>
      <c r="M918" s="31">
        <f t="shared" si="82"/>
        <v>33.79</v>
      </c>
      <c r="N918" s="35"/>
    </row>
    <row r="919" spans="1:14" x14ac:dyDescent="0.25">
      <c r="A919" s="31" t="s">
        <v>413</v>
      </c>
      <c r="B919" s="32" t="s">
        <v>412</v>
      </c>
      <c r="C919" s="33">
        <v>0</v>
      </c>
      <c r="D919" s="32">
        <v>0</v>
      </c>
      <c r="E919" s="33">
        <v>0</v>
      </c>
      <c r="F919" s="32">
        <v>0</v>
      </c>
      <c r="G919" s="34"/>
      <c r="H919" s="33">
        <f t="shared" si="81"/>
        <v>0</v>
      </c>
      <c r="I919" s="32">
        <f t="shared" si="81"/>
        <v>0</v>
      </c>
      <c r="J919" s="33">
        <v>0</v>
      </c>
      <c r="K919" s="32">
        <v>0</v>
      </c>
      <c r="L919" s="31">
        <f t="shared" si="82"/>
        <v>0</v>
      </c>
      <c r="M919" s="31">
        <f t="shared" si="82"/>
        <v>0</v>
      </c>
      <c r="N919" s="35"/>
    </row>
    <row r="920" spans="1:14" x14ac:dyDescent="0.25">
      <c r="A920" s="31" t="s">
        <v>415</v>
      </c>
      <c r="B920" s="32" t="s">
        <v>414</v>
      </c>
      <c r="C920" s="33">
        <f>VLOOKUP(A920,[3]v_03_24!F:I,3,FALSE)</f>
        <v>99</v>
      </c>
      <c r="D920" s="32">
        <f>VLOOKUP(A920,[3]v_03_24!F:I,4,FALSE)</f>
        <v>1096.6500000000001</v>
      </c>
      <c r="E920" s="33">
        <v>0</v>
      </c>
      <c r="F920" s="32">
        <v>0</v>
      </c>
      <c r="G920" s="34">
        <f t="shared" si="83"/>
        <v>0</v>
      </c>
      <c r="H920" s="33">
        <f t="shared" si="81"/>
        <v>99</v>
      </c>
      <c r="I920" s="32">
        <f t="shared" si="81"/>
        <v>1096.6500000000001</v>
      </c>
      <c r="J920" s="33">
        <f>VLOOKUP(A920,[3]v_03_23!F:I,3,FALSE)</f>
        <v>0</v>
      </c>
      <c r="K920" s="32">
        <f>VLOOKUP(A920,[3]v_03_23!F:I,4,FALSE)</f>
        <v>0</v>
      </c>
      <c r="L920" s="31">
        <f t="shared" si="82"/>
        <v>99</v>
      </c>
      <c r="M920" s="31">
        <f t="shared" si="82"/>
        <v>1096.6500000000001</v>
      </c>
      <c r="N920" s="35"/>
    </row>
    <row r="921" spans="1:14" x14ac:dyDescent="0.25">
      <c r="A921" s="31" t="s">
        <v>417</v>
      </c>
      <c r="B921" s="32" t="s">
        <v>416</v>
      </c>
      <c r="C921" s="33">
        <v>0</v>
      </c>
      <c r="D921" s="32">
        <v>0</v>
      </c>
      <c r="E921" s="33">
        <v>0</v>
      </c>
      <c r="F921" s="32">
        <v>0</v>
      </c>
      <c r="G921" s="34"/>
      <c r="H921" s="33">
        <f t="shared" si="81"/>
        <v>0</v>
      </c>
      <c r="I921" s="32">
        <f t="shared" si="81"/>
        <v>0</v>
      </c>
      <c r="J921" s="33">
        <v>0</v>
      </c>
      <c r="K921" s="32">
        <v>0</v>
      </c>
      <c r="L921" s="31">
        <f t="shared" si="82"/>
        <v>0</v>
      </c>
      <c r="M921" s="31">
        <f t="shared" si="82"/>
        <v>0</v>
      </c>
      <c r="N921" s="35"/>
    </row>
    <row r="922" spans="1:14" x14ac:dyDescent="0.25">
      <c r="A922" s="31" t="s">
        <v>419</v>
      </c>
      <c r="B922" s="32" t="s">
        <v>418</v>
      </c>
      <c r="C922" s="33">
        <f>VLOOKUP(A922,[3]v_03_24!F:I,3,FALSE)</f>
        <v>168</v>
      </c>
      <c r="D922" s="32">
        <f>VLOOKUP(A922,[3]v_03_24!F:I,4,FALSE)</f>
        <v>1493.58</v>
      </c>
      <c r="E922" s="33">
        <v>0</v>
      </c>
      <c r="F922" s="32">
        <v>0</v>
      </c>
      <c r="G922" s="34">
        <f t="shared" si="83"/>
        <v>0</v>
      </c>
      <c r="H922" s="33">
        <f t="shared" si="81"/>
        <v>168</v>
      </c>
      <c r="I922" s="32">
        <f t="shared" si="81"/>
        <v>1493.58</v>
      </c>
      <c r="J922" s="33">
        <f>VLOOKUP(A922,[3]v_03_23!F:I,3,FALSE)</f>
        <v>36</v>
      </c>
      <c r="K922" s="32">
        <f>VLOOKUP(A922,[3]v_03_23!F:I,4,FALSE)</f>
        <v>304.26</v>
      </c>
      <c r="L922" s="31">
        <f t="shared" si="82"/>
        <v>132</v>
      </c>
      <c r="M922" s="31">
        <f t="shared" si="82"/>
        <v>1189.32</v>
      </c>
      <c r="N922" s="35">
        <f t="shared" si="84"/>
        <v>3.9088937093275486</v>
      </c>
    </row>
    <row r="923" spans="1:14" x14ac:dyDescent="0.25">
      <c r="A923" s="31" t="s">
        <v>421</v>
      </c>
      <c r="B923" s="32" t="s">
        <v>420</v>
      </c>
      <c r="C923" s="33">
        <f>VLOOKUP(A923,[3]v_03_24!F:I,3,FALSE)</f>
        <v>3</v>
      </c>
      <c r="D923" s="32">
        <f>VLOOKUP(A923,[3]v_03_24!F:I,4,FALSE)</f>
        <v>122.7</v>
      </c>
      <c r="E923" s="33">
        <v>0</v>
      </c>
      <c r="F923" s="32">
        <v>0</v>
      </c>
      <c r="G923" s="34">
        <f t="shared" si="83"/>
        <v>0</v>
      </c>
      <c r="H923" s="33">
        <f t="shared" si="81"/>
        <v>3</v>
      </c>
      <c r="I923" s="32">
        <f t="shared" si="81"/>
        <v>122.7</v>
      </c>
      <c r="J923" s="33">
        <v>0</v>
      </c>
      <c r="K923" s="32">
        <v>0</v>
      </c>
      <c r="L923" s="31">
        <f t="shared" si="82"/>
        <v>3</v>
      </c>
      <c r="M923" s="31">
        <f t="shared" si="82"/>
        <v>122.7</v>
      </c>
      <c r="N923" s="35"/>
    </row>
    <row r="924" spans="1:14" x14ac:dyDescent="0.25">
      <c r="A924" s="31" t="s">
        <v>423</v>
      </c>
      <c r="B924" s="32" t="s">
        <v>422</v>
      </c>
      <c r="C924" s="33">
        <f>VLOOKUP(A924,[3]v_03_24!F:I,3,FALSE)</f>
        <v>12</v>
      </c>
      <c r="D924" s="32">
        <f>VLOOKUP(A924,[3]v_03_24!F:I,4,FALSE)</f>
        <v>464.74</v>
      </c>
      <c r="E924" s="33">
        <v>0</v>
      </c>
      <c r="F924" s="32">
        <v>0</v>
      </c>
      <c r="G924" s="34">
        <f t="shared" si="83"/>
        <v>0</v>
      </c>
      <c r="H924" s="33">
        <f t="shared" si="81"/>
        <v>12</v>
      </c>
      <c r="I924" s="32">
        <f t="shared" si="81"/>
        <v>464.74</v>
      </c>
      <c r="J924" s="33">
        <v>0</v>
      </c>
      <c r="K924" s="32">
        <v>0</v>
      </c>
      <c r="L924" s="31">
        <f t="shared" si="82"/>
        <v>12</v>
      </c>
      <c r="M924" s="31">
        <f t="shared" si="82"/>
        <v>464.74</v>
      </c>
      <c r="N924" s="35"/>
    </row>
    <row r="925" spans="1:14" x14ac:dyDescent="0.25">
      <c r="A925" s="31" t="s">
        <v>425</v>
      </c>
      <c r="B925" s="32" t="s">
        <v>424</v>
      </c>
      <c r="C925" s="33">
        <f>VLOOKUP(A925,[3]v_03_24!F:I,3,FALSE)</f>
        <v>2</v>
      </c>
      <c r="D925" s="32">
        <f>VLOOKUP(A925,[3]v_03_24!F:I,4,FALSE)</f>
        <v>50.2</v>
      </c>
      <c r="E925" s="33">
        <v>0</v>
      </c>
      <c r="F925" s="32">
        <v>0</v>
      </c>
      <c r="G925" s="34">
        <f t="shared" si="83"/>
        <v>0</v>
      </c>
      <c r="H925" s="33">
        <f t="shared" si="81"/>
        <v>2</v>
      </c>
      <c r="I925" s="32">
        <f t="shared" si="81"/>
        <v>50.2</v>
      </c>
      <c r="J925" s="33">
        <v>0</v>
      </c>
      <c r="K925" s="32">
        <v>0</v>
      </c>
      <c r="L925" s="31">
        <f t="shared" si="82"/>
        <v>2</v>
      </c>
      <c r="M925" s="31">
        <f t="shared" si="82"/>
        <v>50.2</v>
      </c>
      <c r="N925" s="35"/>
    </row>
    <row r="926" spans="1:14" x14ac:dyDescent="0.25">
      <c r="A926" s="31" t="s">
        <v>427</v>
      </c>
      <c r="B926" s="32" t="s">
        <v>426</v>
      </c>
      <c r="C926" s="33">
        <f>VLOOKUP(A926,[3]v_03_24!F:I,3,FALSE)</f>
        <v>1</v>
      </c>
      <c r="D926" s="32">
        <f>VLOOKUP(A926,[3]v_03_24!F:I,4,FALSE)</f>
        <v>39.58</v>
      </c>
      <c r="E926" s="33">
        <v>0</v>
      </c>
      <c r="F926" s="32">
        <v>0</v>
      </c>
      <c r="G926" s="34">
        <f t="shared" si="83"/>
        <v>0</v>
      </c>
      <c r="H926" s="33">
        <f t="shared" si="81"/>
        <v>1</v>
      </c>
      <c r="I926" s="32">
        <f t="shared" si="81"/>
        <v>39.58</v>
      </c>
      <c r="J926" s="33">
        <v>0</v>
      </c>
      <c r="K926" s="32">
        <v>0</v>
      </c>
      <c r="L926" s="31">
        <f t="shared" si="82"/>
        <v>1</v>
      </c>
      <c r="M926" s="31">
        <f t="shared" si="82"/>
        <v>39.58</v>
      </c>
      <c r="N926" s="35"/>
    </row>
    <row r="927" spans="1:14" x14ac:dyDescent="0.25">
      <c r="A927" s="31" t="s">
        <v>429</v>
      </c>
      <c r="B927" s="32" t="s">
        <v>428</v>
      </c>
      <c r="C927" s="33">
        <v>0</v>
      </c>
      <c r="D927" s="32">
        <v>0</v>
      </c>
      <c r="E927" s="33">
        <v>0</v>
      </c>
      <c r="F927" s="32">
        <v>0</v>
      </c>
      <c r="G927" s="34"/>
      <c r="H927" s="33">
        <f t="shared" si="81"/>
        <v>0</v>
      </c>
      <c r="I927" s="32">
        <f t="shared" si="81"/>
        <v>0</v>
      </c>
      <c r="J927" s="33">
        <v>0</v>
      </c>
      <c r="K927" s="32">
        <v>0</v>
      </c>
      <c r="L927" s="31">
        <f t="shared" si="82"/>
        <v>0</v>
      </c>
      <c r="M927" s="31">
        <f t="shared" si="82"/>
        <v>0</v>
      </c>
      <c r="N927" s="35"/>
    </row>
    <row r="928" spans="1:14" x14ac:dyDescent="0.25">
      <c r="A928" s="31" t="s">
        <v>431</v>
      </c>
      <c r="B928" s="32" t="s">
        <v>430</v>
      </c>
      <c r="C928" s="33">
        <f>VLOOKUP(A928,[3]v_03_24!F:I,3,FALSE)</f>
        <v>5</v>
      </c>
      <c r="D928" s="32">
        <f>VLOOKUP(A928,[3]v_03_24!F:I,4,FALSE)</f>
        <v>143.05000000000001</v>
      </c>
      <c r="E928" s="33">
        <v>0</v>
      </c>
      <c r="F928" s="32">
        <v>0</v>
      </c>
      <c r="G928" s="34">
        <f t="shared" si="83"/>
        <v>0</v>
      </c>
      <c r="H928" s="33">
        <f t="shared" si="81"/>
        <v>5</v>
      </c>
      <c r="I928" s="32">
        <f t="shared" si="81"/>
        <v>143.05000000000001</v>
      </c>
      <c r="J928" s="33">
        <v>0</v>
      </c>
      <c r="K928" s="32">
        <v>0</v>
      </c>
      <c r="L928" s="31">
        <f t="shared" si="82"/>
        <v>5</v>
      </c>
      <c r="M928" s="31">
        <f t="shared" si="82"/>
        <v>143.05000000000001</v>
      </c>
      <c r="N928" s="35"/>
    </row>
    <row r="929" spans="1:14" x14ac:dyDescent="0.25">
      <c r="A929" s="31" t="s">
        <v>433</v>
      </c>
      <c r="B929" s="32" t="s">
        <v>432</v>
      </c>
      <c r="C929" s="33">
        <v>0</v>
      </c>
      <c r="D929" s="32">
        <v>0</v>
      </c>
      <c r="E929" s="33">
        <v>0</v>
      </c>
      <c r="F929" s="32">
        <v>0</v>
      </c>
      <c r="G929" s="34"/>
      <c r="H929" s="33">
        <f t="shared" si="81"/>
        <v>0</v>
      </c>
      <c r="I929" s="32">
        <f t="shared" si="81"/>
        <v>0</v>
      </c>
      <c r="J929" s="33">
        <v>0</v>
      </c>
      <c r="K929" s="32">
        <v>0</v>
      </c>
      <c r="L929" s="31">
        <f t="shared" si="82"/>
        <v>0</v>
      </c>
      <c r="M929" s="31">
        <f t="shared" si="82"/>
        <v>0</v>
      </c>
      <c r="N929" s="35"/>
    </row>
    <row r="930" spans="1:14" x14ac:dyDescent="0.25">
      <c r="A930" s="31" t="s">
        <v>435</v>
      </c>
      <c r="B930" s="32" t="s">
        <v>434</v>
      </c>
      <c r="C930" s="33">
        <v>0</v>
      </c>
      <c r="D930" s="32">
        <v>0</v>
      </c>
      <c r="E930" s="33">
        <v>0</v>
      </c>
      <c r="F930" s="32">
        <v>0</v>
      </c>
      <c r="G930" s="34"/>
      <c r="H930" s="33">
        <f t="shared" si="81"/>
        <v>0</v>
      </c>
      <c r="I930" s="32">
        <f t="shared" si="81"/>
        <v>0</v>
      </c>
      <c r="J930" s="33">
        <v>0</v>
      </c>
      <c r="K930" s="32">
        <v>0</v>
      </c>
      <c r="L930" s="31">
        <f t="shared" si="82"/>
        <v>0</v>
      </c>
      <c r="M930" s="31">
        <f t="shared" si="82"/>
        <v>0</v>
      </c>
      <c r="N930" s="35"/>
    </row>
    <row r="931" spans="1:14" x14ac:dyDescent="0.25">
      <c r="A931" s="31" t="s">
        <v>437</v>
      </c>
      <c r="B931" s="32" t="s">
        <v>436</v>
      </c>
      <c r="C931" s="33">
        <f>VLOOKUP(A931,[3]v_03_24!F:I,3,FALSE)</f>
        <v>11</v>
      </c>
      <c r="D931" s="32">
        <f>VLOOKUP(A931,[3]v_03_24!F:I,4,FALSE)</f>
        <v>188.32</v>
      </c>
      <c r="E931" s="33">
        <v>0</v>
      </c>
      <c r="F931" s="32">
        <v>0</v>
      </c>
      <c r="G931" s="34">
        <f t="shared" si="83"/>
        <v>0</v>
      </c>
      <c r="H931" s="33">
        <f t="shared" si="81"/>
        <v>11</v>
      </c>
      <c r="I931" s="32">
        <f t="shared" si="81"/>
        <v>188.32</v>
      </c>
      <c r="J931" s="33">
        <v>0</v>
      </c>
      <c r="K931" s="32">
        <v>0</v>
      </c>
      <c r="L931" s="31">
        <f t="shared" si="82"/>
        <v>11</v>
      </c>
      <c r="M931" s="31">
        <f t="shared" si="82"/>
        <v>188.32</v>
      </c>
      <c r="N931" s="35"/>
    </row>
    <row r="932" spans="1:14" x14ac:dyDescent="0.25">
      <c r="A932" s="31" t="s">
        <v>439</v>
      </c>
      <c r="B932" s="32" t="s">
        <v>438</v>
      </c>
      <c r="C932" s="33">
        <f>VLOOKUP(A932,[3]v_03_24!F:I,3,FALSE)</f>
        <v>1</v>
      </c>
      <c r="D932" s="32">
        <f>VLOOKUP(A932,[3]v_03_24!F:I,4,FALSE)</f>
        <v>18.47</v>
      </c>
      <c r="E932" s="33">
        <v>0</v>
      </c>
      <c r="F932" s="32">
        <v>0</v>
      </c>
      <c r="G932" s="34">
        <f t="shared" si="83"/>
        <v>0</v>
      </c>
      <c r="H932" s="33">
        <f t="shared" si="81"/>
        <v>1</v>
      </c>
      <c r="I932" s="32">
        <f t="shared" si="81"/>
        <v>18.47</v>
      </c>
      <c r="J932" s="33">
        <v>0</v>
      </c>
      <c r="K932" s="32">
        <v>0</v>
      </c>
      <c r="L932" s="31">
        <f t="shared" si="82"/>
        <v>1</v>
      </c>
      <c r="M932" s="31">
        <f t="shared" si="82"/>
        <v>18.47</v>
      </c>
      <c r="N932" s="35"/>
    </row>
    <row r="933" spans="1:14" x14ac:dyDescent="0.25">
      <c r="A933" s="31" t="s">
        <v>441</v>
      </c>
      <c r="B933" s="32" t="s">
        <v>440</v>
      </c>
      <c r="C933" s="33">
        <v>0</v>
      </c>
      <c r="D933" s="32">
        <v>0</v>
      </c>
      <c r="E933" s="33">
        <v>0</v>
      </c>
      <c r="F933" s="32">
        <v>0</v>
      </c>
      <c r="G933" s="34"/>
      <c r="H933" s="33">
        <f t="shared" si="81"/>
        <v>0</v>
      </c>
      <c r="I933" s="32">
        <f t="shared" si="81"/>
        <v>0</v>
      </c>
      <c r="J933" s="33">
        <v>0</v>
      </c>
      <c r="K933" s="32">
        <v>0</v>
      </c>
      <c r="L933" s="31">
        <f t="shared" si="82"/>
        <v>0</v>
      </c>
      <c r="M933" s="31">
        <f t="shared" si="82"/>
        <v>0</v>
      </c>
      <c r="N933" s="35"/>
    </row>
    <row r="934" spans="1:14" x14ac:dyDescent="0.25">
      <c r="A934" s="31" t="s">
        <v>443</v>
      </c>
      <c r="B934" s="32" t="s">
        <v>442</v>
      </c>
      <c r="C934" s="33">
        <v>0</v>
      </c>
      <c r="D934" s="32">
        <v>0</v>
      </c>
      <c r="E934" s="33">
        <v>0</v>
      </c>
      <c r="F934" s="32">
        <v>0</v>
      </c>
      <c r="G934" s="34"/>
      <c r="H934" s="33">
        <f t="shared" si="81"/>
        <v>0</v>
      </c>
      <c r="I934" s="32">
        <f t="shared" si="81"/>
        <v>0</v>
      </c>
      <c r="J934" s="33">
        <v>0</v>
      </c>
      <c r="K934" s="32">
        <v>0</v>
      </c>
      <c r="L934" s="31">
        <f t="shared" si="82"/>
        <v>0</v>
      </c>
      <c r="M934" s="31">
        <f t="shared" si="82"/>
        <v>0</v>
      </c>
      <c r="N934" s="35"/>
    </row>
    <row r="935" spans="1:14" x14ac:dyDescent="0.25">
      <c r="A935" s="31" t="s">
        <v>445</v>
      </c>
      <c r="B935" s="32" t="s">
        <v>444</v>
      </c>
      <c r="C935" s="33">
        <f>VLOOKUP(A935,[3]v_03_24!F:I,3,FALSE)</f>
        <v>21</v>
      </c>
      <c r="D935" s="32">
        <f>VLOOKUP(A935,[3]v_03_24!F:I,4,FALSE)</f>
        <v>489.7</v>
      </c>
      <c r="E935" s="33">
        <v>0</v>
      </c>
      <c r="F935" s="32">
        <v>0</v>
      </c>
      <c r="G935" s="34">
        <f t="shared" si="83"/>
        <v>0</v>
      </c>
      <c r="H935" s="33">
        <f t="shared" si="81"/>
        <v>21</v>
      </c>
      <c r="I935" s="32">
        <f t="shared" si="81"/>
        <v>489.7</v>
      </c>
      <c r="J935" s="33">
        <v>0</v>
      </c>
      <c r="K935" s="32">
        <v>0</v>
      </c>
      <c r="L935" s="31">
        <f t="shared" si="82"/>
        <v>21</v>
      </c>
      <c r="M935" s="31">
        <f t="shared" si="82"/>
        <v>489.7</v>
      </c>
      <c r="N935" s="35"/>
    </row>
    <row r="936" spans="1:14" x14ac:dyDescent="0.25">
      <c r="A936" s="31" t="s">
        <v>447</v>
      </c>
      <c r="B936" s="32" t="s">
        <v>446</v>
      </c>
      <c r="C936" s="33">
        <f>VLOOKUP(A936,[3]v_03_24!F:I,3,FALSE)</f>
        <v>24</v>
      </c>
      <c r="D936" s="32">
        <f>VLOOKUP(A936,[3]v_03_24!F:I,4,FALSE)</f>
        <v>122.81</v>
      </c>
      <c r="E936" s="33">
        <v>0</v>
      </c>
      <c r="F936" s="32">
        <v>0</v>
      </c>
      <c r="G936" s="34">
        <f t="shared" si="83"/>
        <v>0</v>
      </c>
      <c r="H936" s="33">
        <f t="shared" si="81"/>
        <v>24</v>
      </c>
      <c r="I936" s="32">
        <f t="shared" si="81"/>
        <v>122.81</v>
      </c>
      <c r="J936" s="33">
        <v>0</v>
      </c>
      <c r="K936" s="32">
        <v>0</v>
      </c>
      <c r="L936" s="31">
        <f t="shared" si="82"/>
        <v>24</v>
      </c>
      <c r="M936" s="31">
        <f t="shared" si="82"/>
        <v>122.81</v>
      </c>
      <c r="N936" s="35"/>
    </row>
    <row r="937" spans="1:14" x14ac:dyDescent="0.25">
      <c r="A937" s="31" t="s">
        <v>449</v>
      </c>
      <c r="B937" s="32" t="s">
        <v>448</v>
      </c>
      <c r="C937" s="33">
        <f>VLOOKUP(A937,[3]v_03_24!F:I,3,FALSE)</f>
        <v>1</v>
      </c>
      <c r="D937" s="32">
        <f>VLOOKUP(A937,[3]v_03_24!F:I,4,FALSE)</f>
        <v>6.55</v>
      </c>
      <c r="E937" s="33">
        <v>0</v>
      </c>
      <c r="F937" s="32">
        <v>0</v>
      </c>
      <c r="G937" s="34">
        <f t="shared" si="83"/>
        <v>0</v>
      </c>
      <c r="H937" s="33">
        <f t="shared" si="81"/>
        <v>1</v>
      </c>
      <c r="I937" s="32">
        <f t="shared" si="81"/>
        <v>6.55</v>
      </c>
      <c r="J937" s="33">
        <v>0</v>
      </c>
      <c r="K937" s="32">
        <v>0</v>
      </c>
      <c r="L937" s="31">
        <f t="shared" si="82"/>
        <v>1</v>
      </c>
      <c r="M937" s="31">
        <f t="shared" si="82"/>
        <v>6.55</v>
      </c>
      <c r="N937" s="35"/>
    </row>
    <row r="938" spans="1:14" x14ac:dyDescent="0.25">
      <c r="A938" s="31" t="s">
        <v>451</v>
      </c>
      <c r="B938" s="32" t="s">
        <v>450</v>
      </c>
      <c r="C938" s="33">
        <f>VLOOKUP(A938,[3]v_03_24!F:I,3,FALSE)</f>
        <v>199</v>
      </c>
      <c r="D938" s="32">
        <f>VLOOKUP(A938,[3]v_03_24!F:I,4,FALSE)</f>
        <v>1134.1099999999999</v>
      </c>
      <c r="E938" s="33">
        <v>0</v>
      </c>
      <c r="F938" s="32">
        <v>0</v>
      </c>
      <c r="G938" s="34">
        <f t="shared" si="83"/>
        <v>0</v>
      </c>
      <c r="H938" s="33">
        <f t="shared" si="81"/>
        <v>199</v>
      </c>
      <c r="I938" s="32">
        <f t="shared" si="81"/>
        <v>1134.1099999999999</v>
      </c>
      <c r="J938" s="33">
        <v>0</v>
      </c>
      <c r="K938" s="32">
        <v>0</v>
      </c>
      <c r="L938" s="31">
        <f t="shared" si="82"/>
        <v>199</v>
      </c>
      <c r="M938" s="31">
        <f t="shared" si="82"/>
        <v>1134.1099999999999</v>
      </c>
      <c r="N938" s="35"/>
    </row>
    <row r="939" spans="1:14" x14ac:dyDescent="0.25">
      <c r="A939" s="31" t="s">
        <v>453</v>
      </c>
      <c r="B939" s="32" t="s">
        <v>452</v>
      </c>
      <c r="C939" s="33">
        <f>VLOOKUP(A939,[3]v_03_24!F:I,3,FALSE)</f>
        <v>51</v>
      </c>
      <c r="D939" s="32">
        <f>VLOOKUP(A939,[3]v_03_24!F:I,4,FALSE)</f>
        <v>1652.69</v>
      </c>
      <c r="E939" s="33">
        <v>0</v>
      </c>
      <c r="F939" s="32">
        <v>0</v>
      </c>
      <c r="G939" s="34">
        <f t="shared" si="83"/>
        <v>0</v>
      </c>
      <c r="H939" s="33">
        <f t="shared" si="81"/>
        <v>51</v>
      </c>
      <c r="I939" s="32">
        <f t="shared" si="81"/>
        <v>1652.69</v>
      </c>
      <c r="J939" s="33">
        <v>0</v>
      </c>
      <c r="K939" s="32">
        <v>0</v>
      </c>
      <c r="L939" s="31">
        <f t="shared" si="82"/>
        <v>51</v>
      </c>
      <c r="M939" s="31">
        <f t="shared" si="82"/>
        <v>1652.69</v>
      </c>
      <c r="N939" s="35"/>
    </row>
    <row r="940" spans="1:14" x14ac:dyDescent="0.25">
      <c r="A940" s="31" t="s">
        <v>455</v>
      </c>
      <c r="B940" s="32" t="s">
        <v>454</v>
      </c>
      <c r="C940" s="33">
        <f>VLOOKUP(A940,[3]v_03_24!F:I,3,FALSE)</f>
        <v>85</v>
      </c>
      <c r="D940" s="32">
        <f>VLOOKUP(A940,[3]v_03_24!F:I,4,FALSE)</f>
        <v>1342.61</v>
      </c>
      <c r="E940" s="33">
        <v>0</v>
      </c>
      <c r="F940" s="32">
        <v>0</v>
      </c>
      <c r="G940" s="34">
        <f t="shared" si="83"/>
        <v>0</v>
      </c>
      <c r="H940" s="33">
        <f t="shared" si="81"/>
        <v>85</v>
      </c>
      <c r="I940" s="32">
        <f t="shared" si="81"/>
        <v>1342.61</v>
      </c>
      <c r="J940" s="33">
        <v>0</v>
      </c>
      <c r="K940" s="32">
        <v>0</v>
      </c>
      <c r="L940" s="31">
        <f t="shared" si="82"/>
        <v>85</v>
      </c>
      <c r="M940" s="31">
        <f t="shared" si="82"/>
        <v>1342.61</v>
      </c>
      <c r="N940" s="35"/>
    </row>
    <row r="941" spans="1:14" x14ac:dyDescent="0.25">
      <c r="A941" s="31" t="s">
        <v>457</v>
      </c>
      <c r="B941" s="32" t="s">
        <v>456</v>
      </c>
      <c r="C941" s="33">
        <v>0</v>
      </c>
      <c r="D941" s="32">
        <v>0</v>
      </c>
      <c r="E941" s="33">
        <v>0</v>
      </c>
      <c r="F941" s="32">
        <v>0</v>
      </c>
      <c r="G941" s="34"/>
      <c r="H941" s="33">
        <f t="shared" si="81"/>
        <v>0</v>
      </c>
      <c r="I941" s="32">
        <f t="shared" si="81"/>
        <v>0</v>
      </c>
      <c r="J941" s="33">
        <v>0</v>
      </c>
      <c r="K941" s="32">
        <v>0</v>
      </c>
      <c r="L941" s="31">
        <f t="shared" si="82"/>
        <v>0</v>
      </c>
      <c r="M941" s="31">
        <f t="shared" si="82"/>
        <v>0</v>
      </c>
      <c r="N941" s="35"/>
    </row>
    <row r="942" spans="1:14" x14ac:dyDescent="0.25">
      <c r="A942" s="31" t="s">
        <v>459</v>
      </c>
      <c r="B942" s="32" t="s">
        <v>458</v>
      </c>
      <c r="C942" s="33">
        <f>VLOOKUP(A942,[3]v_03_24!F:I,3,FALSE)</f>
        <v>5</v>
      </c>
      <c r="D942" s="32">
        <f>VLOOKUP(A942,[3]v_03_24!F:I,4,FALSE)</f>
        <v>204.5</v>
      </c>
      <c r="E942" s="33">
        <v>0</v>
      </c>
      <c r="F942" s="32">
        <v>0</v>
      </c>
      <c r="G942" s="34">
        <f t="shared" si="83"/>
        <v>0</v>
      </c>
      <c r="H942" s="33">
        <f t="shared" si="81"/>
        <v>5</v>
      </c>
      <c r="I942" s="32">
        <f t="shared" si="81"/>
        <v>204.5</v>
      </c>
      <c r="J942" s="33">
        <v>0</v>
      </c>
      <c r="K942" s="32">
        <v>0</v>
      </c>
      <c r="L942" s="31">
        <f t="shared" si="82"/>
        <v>5</v>
      </c>
      <c r="M942" s="31">
        <f t="shared" si="82"/>
        <v>204.5</v>
      </c>
      <c r="N942" s="35"/>
    </row>
    <row r="943" spans="1:14" x14ac:dyDescent="0.25">
      <c r="A943" s="31" t="s">
        <v>461</v>
      </c>
      <c r="B943" s="32" t="s">
        <v>460</v>
      </c>
      <c r="C943" s="33">
        <f>VLOOKUP(A943,[3]v_03_24!F:I,3,FALSE)</f>
        <v>95</v>
      </c>
      <c r="D943" s="32">
        <f>VLOOKUP(A943,[3]v_03_24!F:I,4,FALSE)</f>
        <v>1549.45</v>
      </c>
      <c r="E943" s="33">
        <f>VLOOKUP(A943,[3]s_03_24!E:G,2,FALSE)</f>
        <v>5</v>
      </c>
      <c r="F943" s="32">
        <f>VLOOKUP(A943,[3]s_03_24!E:G,3,FALSE)</f>
        <v>124.5</v>
      </c>
      <c r="G943" s="34">
        <f t="shared" si="83"/>
        <v>7.4374981331580992E-2</v>
      </c>
      <c r="H943" s="33">
        <f t="shared" si="81"/>
        <v>100</v>
      </c>
      <c r="I943" s="32">
        <f t="shared" si="81"/>
        <v>1673.95</v>
      </c>
      <c r="J943" s="33">
        <v>0</v>
      </c>
      <c r="K943" s="32">
        <v>0</v>
      </c>
      <c r="L943" s="31">
        <f t="shared" si="82"/>
        <v>100</v>
      </c>
      <c r="M943" s="31">
        <f t="shared" si="82"/>
        <v>1673.95</v>
      </c>
      <c r="N943" s="35"/>
    </row>
    <row r="944" spans="1:14" x14ac:dyDescent="0.25">
      <c r="A944" s="31" t="s">
        <v>463</v>
      </c>
      <c r="B944" s="32" t="s">
        <v>462</v>
      </c>
      <c r="C944" s="33">
        <f>VLOOKUP(A944,[3]v_03_24!F:I,3,FALSE)</f>
        <v>324</v>
      </c>
      <c r="D944" s="32">
        <f>VLOOKUP(A944,[3]v_03_24!F:I,4,FALSE)</f>
        <v>5284.44</v>
      </c>
      <c r="E944" s="33">
        <f>VLOOKUP(A944,[3]s_03_24!E:G,2,FALSE)</f>
        <v>56</v>
      </c>
      <c r="F944" s="32">
        <f>VLOOKUP(A944,[3]s_03_24!E:G,3,FALSE)</f>
        <v>1063.5799999999995</v>
      </c>
      <c r="G944" s="34">
        <f t="shared" si="83"/>
        <v>0.16754515581236348</v>
      </c>
      <c r="H944" s="33">
        <f t="shared" si="81"/>
        <v>380</v>
      </c>
      <c r="I944" s="32">
        <f t="shared" si="81"/>
        <v>6348.0199999999986</v>
      </c>
      <c r="J944" s="33">
        <v>0</v>
      </c>
      <c r="K944" s="32">
        <v>0</v>
      </c>
      <c r="L944" s="31">
        <f t="shared" si="82"/>
        <v>380</v>
      </c>
      <c r="M944" s="31">
        <f t="shared" si="82"/>
        <v>6348.0199999999986</v>
      </c>
      <c r="N944" s="35"/>
    </row>
    <row r="945" spans="1:14" x14ac:dyDescent="0.25">
      <c r="A945" s="31" t="s">
        <v>465</v>
      </c>
      <c r="B945" s="32" t="s">
        <v>464</v>
      </c>
      <c r="C945" s="33">
        <f>VLOOKUP(A945,[3]v_03_24!F:I,3,FALSE)</f>
        <v>137</v>
      </c>
      <c r="D945" s="32">
        <f>VLOOKUP(A945,[3]v_03_24!F:I,4,FALSE)</f>
        <v>2234.4699999999998</v>
      </c>
      <c r="E945" s="33">
        <f>VLOOKUP(A945,[3]s_03_24!E:G,2,FALSE)</f>
        <v>107</v>
      </c>
      <c r="F945" s="32">
        <f>VLOOKUP(A945,[3]s_03_24!E:G,3,FALSE)</f>
        <v>2664.3000000000025</v>
      </c>
      <c r="G945" s="34">
        <f t="shared" si="83"/>
        <v>0.54387121665234361</v>
      </c>
      <c r="H945" s="33">
        <f t="shared" si="81"/>
        <v>244</v>
      </c>
      <c r="I945" s="32">
        <f t="shared" si="81"/>
        <v>4898.7700000000023</v>
      </c>
      <c r="J945" s="33">
        <v>0</v>
      </c>
      <c r="K945" s="32">
        <v>0</v>
      </c>
      <c r="L945" s="31">
        <f t="shared" si="82"/>
        <v>244</v>
      </c>
      <c r="M945" s="31">
        <f t="shared" si="82"/>
        <v>4898.7700000000023</v>
      </c>
      <c r="N945" s="35"/>
    </row>
    <row r="946" spans="1:14" x14ac:dyDescent="0.25">
      <c r="A946" s="31" t="s">
        <v>467</v>
      </c>
      <c r="B946" s="32" t="s">
        <v>466</v>
      </c>
      <c r="C946" s="33">
        <f>VLOOKUP(A946,[3]v_03_24!F:I,3,FALSE)</f>
        <v>0</v>
      </c>
      <c r="D946" s="32">
        <f>VLOOKUP(A946,[3]v_03_24!F:I,4,FALSE)</f>
        <v>0</v>
      </c>
      <c r="E946" s="33">
        <v>0</v>
      </c>
      <c r="F946" s="32">
        <v>0</v>
      </c>
      <c r="G946" s="34"/>
      <c r="H946" s="33">
        <f t="shared" si="81"/>
        <v>0</v>
      </c>
      <c r="I946" s="32">
        <f t="shared" si="81"/>
        <v>0</v>
      </c>
      <c r="J946" s="33">
        <v>0</v>
      </c>
      <c r="K946" s="32">
        <v>0</v>
      </c>
      <c r="L946" s="31">
        <f t="shared" si="82"/>
        <v>0</v>
      </c>
      <c r="M946" s="31">
        <f t="shared" si="82"/>
        <v>0</v>
      </c>
      <c r="N946" s="35"/>
    </row>
    <row r="947" spans="1:14" x14ac:dyDescent="0.25">
      <c r="A947" s="31" t="s">
        <v>469</v>
      </c>
      <c r="B947" s="32" t="s">
        <v>468</v>
      </c>
      <c r="C947" s="33">
        <f>VLOOKUP(A947,[3]v_03_24!F:I,3,FALSE)</f>
        <v>40</v>
      </c>
      <c r="D947" s="32">
        <f>VLOOKUP(A947,[3]v_03_24!F:I,4,FALSE)</f>
        <v>1210</v>
      </c>
      <c r="E947" s="33">
        <v>0</v>
      </c>
      <c r="F947" s="32">
        <v>0</v>
      </c>
      <c r="G947" s="34">
        <f t="shared" si="83"/>
        <v>0</v>
      </c>
      <c r="H947" s="33">
        <f t="shared" si="81"/>
        <v>40</v>
      </c>
      <c r="I947" s="32">
        <f t="shared" si="81"/>
        <v>1210</v>
      </c>
      <c r="J947" s="33">
        <v>0</v>
      </c>
      <c r="K947" s="32">
        <v>0</v>
      </c>
      <c r="L947" s="31">
        <f t="shared" si="82"/>
        <v>40</v>
      </c>
      <c r="M947" s="31">
        <f t="shared" si="82"/>
        <v>1210</v>
      </c>
      <c r="N947" s="35"/>
    </row>
    <row r="948" spans="1:14" x14ac:dyDescent="0.25">
      <c r="A948" s="31" t="s">
        <v>471</v>
      </c>
      <c r="B948" s="32" t="s">
        <v>470</v>
      </c>
      <c r="C948" s="33">
        <f>VLOOKUP(A948,[3]v_03_24!F:I,3,FALSE)</f>
        <v>8</v>
      </c>
      <c r="D948" s="32">
        <f>VLOOKUP(A948,[3]v_03_24!F:I,4,FALSE)</f>
        <v>117.36</v>
      </c>
      <c r="E948" s="33">
        <v>0</v>
      </c>
      <c r="F948" s="32">
        <v>0</v>
      </c>
      <c r="G948" s="34">
        <f t="shared" si="83"/>
        <v>0</v>
      </c>
      <c r="H948" s="33">
        <f t="shared" si="81"/>
        <v>8</v>
      </c>
      <c r="I948" s="32">
        <f t="shared" si="81"/>
        <v>117.36</v>
      </c>
      <c r="J948" s="33">
        <v>0</v>
      </c>
      <c r="K948" s="32">
        <v>0</v>
      </c>
      <c r="L948" s="31">
        <f t="shared" si="82"/>
        <v>8</v>
      </c>
      <c r="M948" s="31">
        <f t="shared" si="82"/>
        <v>117.36</v>
      </c>
      <c r="N948" s="35"/>
    </row>
    <row r="949" spans="1:14" x14ac:dyDescent="0.25">
      <c r="A949" s="31" t="s">
        <v>473</v>
      </c>
      <c r="B949" s="32" t="s">
        <v>472</v>
      </c>
      <c r="C949" s="33">
        <v>0</v>
      </c>
      <c r="D949" s="32">
        <v>0</v>
      </c>
      <c r="E949" s="33">
        <v>0</v>
      </c>
      <c r="F949" s="32">
        <v>0</v>
      </c>
      <c r="G949" s="34"/>
      <c r="H949" s="33">
        <f t="shared" si="81"/>
        <v>0</v>
      </c>
      <c r="I949" s="32">
        <f t="shared" si="81"/>
        <v>0</v>
      </c>
      <c r="J949" s="33">
        <v>0</v>
      </c>
      <c r="K949" s="32">
        <v>0</v>
      </c>
      <c r="L949" s="31">
        <f t="shared" si="82"/>
        <v>0</v>
      </c>
      <c r="M949" s="31">
        <f t="shared" si="82"/>
        <v>0</v>
      </c>
      <c r="N949" s="35"/>
    </row>
    <row r="950" spans="1:14" x14ac:dyDescent="0.25">
      <c r="A950" s="31" t="s">
        <v>475</v>
      </c>
      <c r="B950" s="32" t="s">
        <v>474</v>
      </c>
      <c r="C950" s="33">
        <v>0</v>
      </c>
      <c r="D950" s="32">
        <v>0</v>
      </c>
      <c r="E950" s="33">
        <v>0</v>
      </c>
      <c r="F950" s="32">
        <v>0</v>
      </c>
      <c r="G950" s="34"/>
      <c r="H950" s="33">
        <f t="shared" si="81"/>
        <v>0</v>
      </c>
      <c r="I950" s="32">
        <f t="shared" si="81"/>
        <v>0</v>
      </c>
      <c r="J950" s="33">
        <f>VLOOKUP(A950,[3]v_03_23!F:I,3,FALSE)</f>
        <v>11</v>
      </c>
      <c r="K950" s="32">
        <f>VLOOKUP(A950,[3]v_03_23!F:I,4,FALSE)</f>
        <v>184.4</v>
      </c>
      <c r="L950" s="31">
        <f t="shared" si="82"/>
        <v>-11</v>
      </c>
      <c r="M950" s="31">
        <f t="shared" si="82"/>
        <v>-184.4</v>
      </c>
      <c r="N950" s="35">
        <f t="shared" si="84"/>
        <v>-1</v>
      </c>
    </row>
    <row r="951" spans="1:14" x14ac:dyDescent="0.25">
      <c r="A951" s="31" t="s">
        <v>477</v>
      </c>
      <c r="B951" s="32" t="s">
        <v>476</v>
      </c>
      <c r="C951" s="33">
        <v>0</v>
      </c>
      <c r="D951" s="32">
        <v>0</v>
      </c>
      <c r="E951" s="33">
        <f>VLOOKUP(A951,[3]s_03_24!E:G,2,FALSE)</f>
        <v>499</v>
      </c>
      <c r="F951" s="32">
        <f>VLOOKUP(A951,[3]s_03_24!E:G,3,FALSE)</f>
        <v>14519.279999999884</v>
      </c>
      <c r="G951" s="34">
        <f t="shared" si="83"/>
        <v>1</v>
      </c>
      <c r="H951" s="33">
        <f t="shared" si="81"/>
        <v>499</v>
      </c>
      <c r="I951" s="32">
        <f t="shared" si="81"/>
        <v>14519.279999999884</v>
      </c>
      <c r="J951" s="33">
        <v>0</v>
      </c>
      <c r="K951" s="32">
        <v>0</v>
      </c>
      <c r="L951" s="31">
        <f t="shared" si="82"/>
        <v>499</v>
      </c>
      <c r="M951" s="31">
        <f t="shared" si="82"/>
        <v>14519.279999999884</v>
      </c>
      <c r="N951" s="35"/>
    </row>
    <row r="952" spans="1:14" x14ac:dyDescent="0.25">
      <c r="A952" s="31" t="s">
        <v>479</v>
      </c>
      <c r="B952" s="32" t="s">
        <v>478</v>
      </c>
      <c r="C952" s="33">
        <f>VLOOKUP(A952,[3]v_03_24!F:I,3,FALSE)</f>
        <v>25</v>
      </c>
      <c r="D952" s="32">
        <f>VLOOKUP(A952,[3]v_03_24!F:I,4,FALSE)</f>
        <v>540.71</v>
      </c>
      <c r="E952" s="33">
        <v>0</v>
      </c>
      <c r="F952" s="32">
        <v>0</v>
      </c>
      <c r="G952" s="34">
        <f t="shared" si="83"/>
        <v>0</v>
      </c>
      <c r="H952" s="33">
        <f t="shared" si="81"/>
        <v>25</v>
      </c>
      <c r="I952" s="32">
        <f t="shared" si="81"/>
        <v>540.71</v>
      </c>
      <c r="J952" s="33">
        <f>VLOOKUP(A952,[3]v_03_23!F:I,3,FALSE)</f>
        <v>129</v>
      </c>
      <c r="K952" s="32">
        <f>VLOOKUP(A952,[3]v_03_23!F:I,4,FALSE)</f>
        <v>2535.71</v>
      </c>
      <c r="L952" s="31">
        <f t="shared" si="82"/>
        <v>-104</v>
      </c>
      <c r="M952" s="31">
        <f t="shared" si="82"/>
        <v>-1995</v>
      </c>
      <c r="N952" s="35">
        <f t="shared" si="84"/>
        <v>-0.7867618931186926</v>
      </c>
    </row>
    <row r="953" spans="1:14" x14ac:dyDescent="0.25">
      <c r="A953" s="31" t="s">
        <v>482</v>
      </c>
      <c r="B953" s="32" t="s">
        <v>481</v>
      </c>
      <c r="C953" s="33">
        <f>VLOOKUP(A953,[3]v_03_24!F:I,3,FALSE)</f>
        <v>25</v>
      </c>
      <c r="D953" s="32">
        <f>VLOOKUP(A953,[3]v_03_24!F:I,4,FALSE)</f>
        <v>993.72</v>
      </c>
      <c r="E953" s="33">
        <f>VLOOKUP(A953,[3]s_03_24!E:G,2,FALSE)</f>
        <v>1</v>
      </c>
      <c r="F953" s="32">
        <f>VLOOKUP(A953,[3]s_03_24!E:G,3,FALSE)</f>
        <v>59.9</v>
      </c>
      <c r="G953" s="34">
        <f t="shared" si="83"/>
        <v>5.6851616332263995E-2</v>
      </c>
      <c r="H953" s="33">
        <f t="shared" si="81"/>
        <v>26</v>
      </c>
      <c r="I953" s="32">
        <f t="shared" si="81"/>
        <v>1053.6200000000001</v>
      </c>
      <c r="J953" s="33">
        <f>VLOOKUP(A953,[3]v_03_23!F:I,3,FALSE)</f>
        <v>16</v>
      </c>
      <c r="K953" s="32">
        <f>VLOOKUP(A953,[3]v_03_23!F:I,4,FALSE)</f>
        <v>672.75</v>
      </c>
      <c r="L953" s="31">
        <f t="shared" si="82"/>
        <v>10</v>
      </c>
      <c r="M953" s="31">
        <f t="shared" si="82"/>
        <v>380.87000000000012</v>
      </c>
      <c r="N953" s="35">
        <f t="shared" si="84"/>
        <v>0.56613898179115585</v>
      </c>
    </row>
    <row r="954" spans="1:14" x14ac:dyDescent="0.25">
      <c r="A954" s="31" t="s">
        <v>484</v>
      </c>
      <c r="B954" s="32" t="s">
        <v>483</v>
      </c>
      <c r="C954" s="33">
        <f>VLOOKUP(A954,[3]v_03_24!F:I,3,FALSE)</f>
        <v>3</v>
      </c>
      <c r="D954" s="32">
        <f>VLOOKUP(A954,[3]v_03_24!F:I,4,FALSE)</f>
        <v>66.150000000000006</v>
      </c>
      <c r="E954" s="33">
        <v>0</v>
      </c>
      <c r="F954" s="32">
        <v>0</v>
      </c>
      <c r="G954" s="34">
        <f t="shared" si="83"/>
        <v>0</v>
      </c>
      <c r="H954" s="33">
        <f t="shared" si="81"/>
        <v>3</v>
      </c>
      <c r="I954" s="32">
        <f t="shared" si="81"/>
        <v>66.150000000000006</v>
      </c>
      <c r="J954" s="33">
        <f>VLOOKUP(A954,[3]v_03_23!F:I,3,FALSE)</f>
        <v>9</v>
      </c>
      <c r="K954" s="32">
        <f>VLOOKUP(A954,[3]v_03_23!F:I,4,FALSE)</f>
        <v>183.69</v>
      </c>
      <c r="L954" s="31">
        <f t="shared" si="82"/>
        <v>-6</v>
      </c>
      <c r="M954" s="31">
        <f t="shared" si="82"/>
        <v>-117.53999999999999</v>
      </c>
      <c r="N954" s="35">
        <f t="shared" si="84"/>
        <v>-0.63988241058304751</v>
      </c>
    </row>
    <row r="955" spans="1:14" x14ac:dyDescent="0.25">
      <c r="A955" s="31" t="s">
        <v>486</v>
      </c>
      <c r="B955" s="32" t="s">
        <v>485</v>
      </c>
      <c r="C955" s="33">
        <f>VLOOKUP(A955,[3]v_03_24!F:I,3,FALSE)</f>
        <v>0</v>
      </c>
      <c r="D955" s="32">
        <f>VLOOKUP(A955,[3]v_03_24!F:I,4,FALSE)</f>
        <v>0</v>
      </c>
      <c r="E955" s="33">
        <v>0</v>
      </c>
      <c r="F955" s="32">
        <v>0</v>
      </c>
      <c r="G955" s="34"/>
      <c r="H955" s="33">
        <f t="shared" si="81"/>
        <v>0</v>
      </c>
      <c r="I955" s="32">
        <f t="shared" si="81"/>
        <v>0</v>
      </c>
      <c r="J955" s="33">
        <v>0</v>
      </c>
      <c r="K955" s="32">
        <v>0</v>
      </c>
      <c r="L955" s="31">
        <f t="shared" si="82"/>
        <v>0</v>
      </c>
      <c r="M955" s="31">
        <f t="shared" si="82"/>
        <v>0</v>
      </c>
      <c r="N955" s="35"/>
    </row>
    <row r="956" spans="1:14" x14ac:dyDescent="0.25">
      <c r="A956" s="31" t="s">
        <v>488</v>
      </c>
      <c r="B956" s="32" t="s">
        <v>487</v>
      </c>
      <c r="C956" s="33">
        <v>0</v>
      </c>
      <c r="D956" s="32">
        <v>0</v>
      </c>
      <c r="E956" s="33">
        <v>0</v>
      </c>
      <c r="F956" s="32">
        <v>0</v>
      </c>
      <c r="G956" s="34"/>
      <c r="H956" s="33">
        <f t="shared" si="81"/>
        <v>0</v>
      </c>
      <c r="I956" s="32">
        <f t="shared" si="81"/>
        <v>0</v>
      </c>
      <c r="J956" s="33">
        <v>0</v>
      </c>
      <c r="K956" s="32">
        <v>0</v>
      </c>
      <c r="L956" s="31">
        <f t="shared" si="82"/>
        <v>0</v>
      </c>
      <c r="M956" s="31">
        <f t="shared" si="82"/>
        <v>0</v>
      </c>
      <c r="N956" s="35"/>
    </row>
    <row r="957" spans="1:14" x14ac:dyDescent="0.25">
      <c r="A957" s="31" t="s">
        <v>490</v>
      </c>
      <c r="B957" s="32" t="s">
        <v>489</v>
      </c>
      <c r="C957" s="33">
        <f>VLOOKUP(A957,[3]v_03_24!F:I,3,FALSE)</f>
        <v>1</v>
      </c>
      <c r="D957" s="32">
        <f>VLOOKUP(A957,[3]v_03_24!F:I,4,FALSE)</f>
        <v>36.799999999999997</v>
      </c>
      <c r="E957" s="33">
        <f>VLOOKUP(A957,[3]s_03_24!E:G,2,FALSE)</f>
        <v>12</v>
      </c>
      <c r="F957" s="32">
        <f>VLOOKUP(A957,[3]s_03_24!E:G,3,FALSE)</f>
        <v>506.69999999999993</v>
      </c>
      <c r="G957" s="34">
        <f t="shared" si="83"/>
        <v>0.93229070837166517</v>
      </c>
      <c r="H957" s="33">
        <f t="shared" si="81"/>
        <v>13</v>
      </c>
      <c r="I957" s="32">
        <f t="shared" si="81"/>
        <v>543.49999999999989</v>
      </c>
      <c r="J957" s="33">
        <f>VLOOKUP(A957,[3]v_03_23!F:I,3,FALSE)</f>
        <v>11</v>
      </c>
      <c r="K957" s="32">
        <f>VLOOKUP(A957,[3]v_03_23!F:I,4,FALSE)</f>
        <v>530.98</v>
      </c>
      <c r="L957" s="31">
        <f t="shared" si="82"/>
        <v>2</v>
      </c>
      <c r="M957" s="31">
        <f t="shared" si="82"/>
        <v>12.519999999999868</v>
      </c>
      <c r="N957" s="35">
        <f t="shared" si="84"/>
        <v>2.3579042525141942E-2</v>
      </c>
    </row>
    <row r="958" spans="1:14" x14ac:dyDescent="0.25">
      <c r="A958" s="31" t="s">
        <v>492</v>
      </c>
      <c r="B958" s="32" t="s">
        <v>491</v>
      </c>
      <c r="C958" s="33">
        <f>VLOOKUP(A958,[3]v_03_24!F:I,3,FALSE)</f>
        <v>0</v>
      </c>
      <c r="D958" s="32">
        <f>VLOOKUP(A958,[3]v_03_24!F:I,4,FALSE)</f>
        <v>0</v>
      </c>
      <c r="E958" s="33">
        <f>VLOOKUP(A958,[3]s_03_24!E:G,2,FALSE)</f>
        <v>19</v>
      </c>
      <c r="F958" s="32">
        <f>VLOOKUP(A958,[3]s_03_24!E:G,3,FALSE)</f>
        <v>853.09999999999968</v>
      </c>
      <c r="G958" s="34">
        <f t="shared" si="83"/>
        <v>1</v>
      </c>
      <c r="H958" s="33">
        <f t="shared" si="81"/>
        <v>19</v>
      </c>
      <c r="I958" s="32">
        <f t="shared" si="81"/>
        <v>853.09999999999968</v>
      </c>
      <c r="J958" s="33">
        <f>VLOOKUP(A958,[3]v_03_23!F:I,3,FALSE)</f>
        <v>159</v>
      </c>
      <c r="K958" s="32">
        <f>VLOOKUP(A958,[3]v_03_23!F:I,4,FALSE)</f>
        <v>4548.99</v>
      </c>
      <c r="L958" s="31">
        <f t="shared" si="82"/>
        <v>-140</v>
      </c>
      <c r="M958" s="31">
        <f t="shared" si="82"/>
        <v>-3695.8900000000003</v>
      </c>
      <c r="N958" s="35">
        <f t="shared" si="84"/>
        <v>-0.81246386560533224</v>
      </c>
    </row>
    <row r="959" spans="1:14" x14ac:dyDescent="0.25">
      <c r="A959" s="31" t="s">
        <v>494</v>
      </c>
      <c r="B959" s="32" t="s">
        <v>493</v>
      </c>
      <c r="C959" s="33">
        <f>VLOOKUP(A959,[3]v_03_24!F:I,3,FALSE)</f>
        <v>1</v>
      </c>
      <c r="D959" s="32">
        <f>VLOOKUP(A959,[3]v_03_24!F:I,4,FALSE)</f>
        <v>33.14</v>
      </c>
      <c r="E959" s="33">
        <f>VLOOKUP(A959,[3]s_03_24!E:G,2,FALSE)</f>
        <v>1</v>
      </c>
      <c r="F959" s="32">
        <f>VLOOKUP(A959,[3]s_03_24!E:G,3,FALSE)</f>
        <v>39.9</v>
      </c>
      <c r="G959" s="34">
        <f t="shared" si="83"/>
        <v>0.54627601314348306</v>
      </c>
      <c r="H959" s="33">
        <f t="shared" si="81"/>
        <v>2</v>
      </c>
      <c r="I959" s="32">
        <f t="shared" si="81"/>
        <v>73.039999999999992</v>
      </c>
      <c r="J959" s="33">
        <f>VLOOKUP(A959,[3]v_03_23!F:I,3,FALSE)</f>
        <v>14</v>
      </c>
      <c r="K959" s="32">
        <f>VLOOKUP(A959,[3]v_03_23!F:I,4,FALSE)</f>
        <v>343.14</v>
      </c>
      <c r="L959" s="31">
        <f t="shared" si="82"/>
        <v>-12</v>
      </c>
      <c r="M959" s="31">
        <f t="shared" si="82"/>
        <v>-270.10000000000002</v>
      </c>
      <c r="N959" s="35">
        <f t="shared" si="84"/>
        <v>-0.7871422742903772</v>
      </c>
    </row>
    <row r="960" spans="1:14" x14ac:dyDescent="0.25">
      <c r="A960" s="31" t="s">
        <v>496</v>
      </c>
      <c r="B960" s="32" t="s">
        <v>495</v>
      </c>
      <c r="C960" s="33">
        <v>0</v>
      </c>
      <c r="D960" s="32">
        <v>0</v>
      </c>
      <c r="E960" s="33">
        <v>0</v>
      </c>
      <c r="F960" s="32">
        <v>0</v>
      </c>
      <c r="G960" s="34"/>
      <c r="H960" s="33">
        <f t="shared" si="81"/>
        <v>0</v>
      </c>
      <c r="I960" s="32">
        <f t="shared" si="81"/>
        <v>0</v>
      </c>
      <c r="J960" s="33">
        <v>0</v>
      </c>
      <c r="K960" s="32">
        <v>0</v>
      </c>
      <c r="L960" s="31">
        <f t="shared" si="82"/>
        <v>0</v>
      </c>
      <c r="M960" s="31">
        <f t="shared" si="82"/>
        <v>0</v>
      </c>
      <c r="N960" s="35"/>
    </row>
    <row r="961" spans="1:14" x14ac:dyDescent="0.25">
      <c r="A961" s="31" t="s">
        <v>498</v>
      </c>
      <c r="B961" s="32" t="s">
        <v>497</v>
      </c>
      <c r="C961" s="33">
        <v>0</v>
      </c>
      <c r="D961" s="32">
        <v>0</v>
      </c>
      <c r="E961" s="33">
        <v>0</v>
      </c>
      <c r="F961" s="32">
        <v>0</v>
      </c>
      <c r="G961" s="34"/>
      <c r="H961" s="33">
        <f t="shared" si="81"/>
        <v>0</v>
      </c>
      <c r="I961" s="32">
        <f t="shared" si="81"/>
        <v>0</v>
      </c>
      <c r="J961" s="33">
        <v>0</v>
      </c>
      <c r="K961" s="32">
        <v>0</v>
      </c>
      <c r="L961" s="31">
        <f t="shared" si="82"/>
        <v>0</v>
      </c>
      <c r="M961" s="31">
        <f t="shared" si="82"/>
        <v>0</v>
      </c>
      <c r="N961" s="35"/>
    </row>
    <row r="962" spans="1:14" x14ac:dyDescent="0.25">
      <c r="A962" s="31" t="s">
        <v>500</v>
      </c>
      <c r="B962" s="32" t="s">
        <v>499</v>
      </c>
      <c r="C962" s="33">
        <f>VLOOKUP(A962,[3]v_03_24!F:I,3,FALSE)</f>
        <v>1</v>
      </c>
      <c r="D962" s="32">
        <f>VLOOKUP(A962,[3]v_03_24!F:I,4,FALSE)</f>
        <v>26.97</v>
      </c>
      <c r="E962" s="33">
        <f>VLOOKUP(A962,[3]s_03_24!E:G,2,FALSE)</f>
        <v>497</v>
      </c>
      <c r="F962" s="32">
        <f>VLOOKUP(A962,[3]s_03_24!E:G,3,FALSE)</f>
        <v>16362.459999999875</v>
      </c>
      <c r="G962" s="34">
        <f t="shared" si="83"/>
        <v>0.99835442721314893</v>
      </c>
      <c r="H962" s="33">
        <f t="shared" si="81"/>
        <v>498</v>
      </c>
      <c r="I962" s="32">
        <f t="shared" si="81"/>
        <v>16389.429999999877</v>
      </c>
      <c r="J962" s="33">
        <f>VLOOKUP(A962,[3]v_03_23!F:I,3,FALSE)</f>
        <v>545</v>
      </c>
      <c r="K962" s="32">
        <f>VLOOKUP(A962,[3]v_03_23!F:I,4,FALSE)</f>
        <v>15132.43</v>
      </c>
      <c r="L962" s="31">
        <f t="shared" si="82"/>
        <v>-47</v>
      </c>
      <c r="M962" s="31">
        <f t="shared" si="82"/>
        <v>1256.9999999998763</v>
      </c>
      <c r="N962" s="35">
        <f t="shared" si="84"/>
        <v>8.306663239148479E-2</v>
      </c>
    </row>
    <row r="963" spans="1:14" x14ac:dyDescent="0.25">
      <c r="A963" s="31" t="s">
        <v>502</v>
      </c>
      <c r="B963" s="32" t="s">
        <v>501</v>
      </c>
      <c r="C963" s="33">
        <f>VLOOKUP(A963,[3]v_03_24!F:I,3,FALSE)</f>
        <v>0</v>
      </c>
      <c r="D963" s="32">
        <f>VLOOKUP(A963,[3]v_03_24!F:I,4,FALSE)</f>
        <v>0</v>
      </c>
      <c r="E963" s="33">
        <v>0</v>
      </c>
      <c r="F963" s="32">
        <v>0</v>
      </c>
      <c r="G963" s="34"/>
      <c r="H963" s="33">
        <f t="shared" si="81"/>
        <v>0</v>
      </c>
      <c r="I963" s="32">
        <f t="shared" si="81"/>
        <v>0</v>
      </c>
      <c r="J963" s="33">
        <f>VLOOKUP(A963,[3]v_03_23!F:I,3,FALSE)</f>
        <v>7</v>
      </c>
      <c r="K963" s="32">
        <f>VLOOKUP(A963,[3]v_03_23!F:I,4,FALSE)</f>
        <v>568.04999999999995</v>
      </c>
      <c r="L963" s="31">
        <f t="shared" si="82"/>
        <v>-7</v>
      </c>
      <c r="M963" s="31">
        <f t="shared" si="82"/>
        <v>-568.04999999999995</v>
      </c>
      <c r="N963" s="35">
        <f t="shared" si="84"/>
        <v>-1</v>
      </c>
    </row>
    <row r="964" spans="1:14" x14ac:dyDescent="0.25">
      <c r="A964" s="31" t="s">
        <v>504</v>
      </c>
      <c r="B964" s="32" t="s">
        <v>503</v>
      </c>
      <c r="C964" s="33">
        <f>VLOOKUP(A964,[3]v_03_24!F:I,3,FALSE)</f>
        <v>14</v>
      </c>
      <c r="D964" s="32">
        <f>VLOOKUP(A964,[3]v_03_24!F:I,4,FALSE)</f>
        <v>58.41</v>
      </c>
      <c r="E964" s="33">
        <v>0</v>
      </c>
      <c r="F964" s="32">
        <v>0</v>
      </c>
      <c r="G964" s="34">
        <f t="shared" si="83"/>
        <v>0</v>
      </c>
      <c r="H964" s="33">
        <f t="shared" si="81"/>
        <v>14</v>
      </c>
      <c r="I964" s="32">
        <f t="shared" si="81"/>
        <v>58.41</v>
      </c>
      <c r="J964" s="33">
        <f>VLOOKUP(A964,[3]v_03_23!F:I,3,FALSE)</f>
        <v>6</v>
      </c>
      <c r="K964" s="32">
        <f>VLOOKUP(A964,[3]v_03_23!F:I,4,FALSE)</f>
        <v>32.700000000000003</v>
      </c>
      <c r="L964" s="31">
        <f t="shared" si="82"/>
        <v>8</v>
      </c>
      <c r="M964" s="31">
        <f t="shared" si="82"/>
        <v>25.709999999999994</v>
      </c>
      <c r="N964" s="35">
        <f t="shared" si="84"/>
        <v>0.78623853211009154</v>
      </c>
    </row>
    <row r="965" spans="1:14" x14ac:dyDescent="0.25">
      <c r="A965" s="31" t="s">
        <v>506</v>
      </c>
      <c r="B965" s="32" t="s">
        <v>505</v>
      </c>
      <c r="C965" s="33">
        <v>0</v>
      </c>
      <c r="D965" s="32">
        <v>0</v>
      </c>
      <c r="E965" s="33">
        <v>0</v>
      </c>
      <c r="F965" s="32">
        <v>0</v>
      </c>
      <c r="G965" s="34"/>
      <c r="H965" s="33">
        <f t="shared" si="81"/>
        <v>0</v>
      </c>
      <c r="I965" s="32">
        <f t="shared" si="81"/>
        <v>0</v>
      </c>
      <c r="J965" s="33">
        <f>VLOOKUP(A965,[3]v_03_23!F:I,3,FALSE)</f>
        <v>1</v>
      </c>
      <c r="K965" s="32">
        <f>VLOOKUP(A965,[3]v_03_23!F:I,4,FALSE)</f>
        <v>61.31</v>
      </c>
      <c r="L965" s="31">
        <f t="shared" si="82"/>
        <v>-1</v>
      </c>
      <c r="M965" s="31">
        <f t="shared" si="82"/>
        <v>-61.31</v>
      </c>
      <c r="N965" s="35">
        <f t="shared" si="84"/>
        <v>-1</v>
      </c>
    </row>
    <row r="966" spans="1:14" x14ac:dyDescent="0.25">
      <c r="A966" s="31" t="s">
        <v>508</v>
      </c>
      <c r="B966" s="32" t="s">
        <v>507</v>
      </c>
      <c r="C966" s="33">
        <f>VLOOKUP(A966,[3]v_03_24!F:I,3,FALSE)</f>
        <v>2</v>
      </c>
      <c r="D966" s="32">
        <f>VLOOKUP(A966,[3]v_03_24!F:I,4,FALSE)</f>
        <v>7.25</v>
      </c>
      <c r="E966" s="33">
        <v>0</v>
      </c>
      <c r="F966" s="32">
        <v>0</v>
      </c>
      <c r="G966" s="34">
        <f t="shared" si="83"/>
        <v>0</v>
      </c>
      <c r="H966" s="33">
        <f t="shared" si="81"/>
        <v>2</v>
      </c>
      <c r="I966" s="32">
        <f t="shared" si="81"/>
        <v>7.25</v>
      </c>
      <c r="J966" s="33">
        <f>VLOOKUP(A966,[3]v_03_23!F:I,3,FALSE)</f>
        <v>10</v>
      </c>
      <c r="K966" s="32">
        <f>VLOOKUP(A966,[3]v_03_23!F:I,4,FALSE)</f>
        <v>34.15</v>
      </c>
      <c r="L966" s="31">
        <f t="shared" si="82"/>
        <v>-8</v>
      </c>
      <c r="M966" s="31">
        <f t="shared" si="82"/>
        <v>-26.9</v>
      </c>
      <c r="N966" s="35">
        <f t="shared" si="84"/>
        <v>-0.78770131771595897</v>
      </c>
    </row>
    <row r="967" spans="1:14" x14ac:dyDescent="0.25">
      <c r="A967" s="31" t="s">
        <v>510</v>
      </c>
      <c r="B967" s="32" t="s">
        <v>509</v>
      </c>
      <c r="C967" s="33">
        <f>VLOOKUP(A967,[3]v_03_24!F:I,3,FALSE)</f>
        <v>2</v>
      </c>
      <c r="D967" s="32">
        <f>VLOOKUP(A967,[3]v_03_24!F:I,4,FALSE)</f>
        <v>34.380000000000003</v>
      </c>
      <c r="E967" s="33">
        <v>0</v>
      </c>
      <c r="F967" s="32">
        <v>0</v>
      </c>
      <c r="G967" s="34">
        <f t="shared" si="83"/>
        <v>0</v>
      </c>
      <c r="H967" s="33">
        <f t="shared" si="81"/>
        <v>2</v>
      </c>
      <c r="I967" s="32">
        <f t="shared" si="81"/>
        <v>34.380000000000003</v>
      </c>
      <c r="J967" s="33">
        <f>VLOOKUP(A967,[3]v_03_23!F:I,3,FALSE)</f>
        <v>123</v>
      </c>
      <c r="K967" s="32">
        <f>VLOOKUP(A967,[3]v_03_23!F:I,4,FALSE)</f>
        <v>1504.64</v>
      </c>
      <c r="L967" s="31">
        <f t="shared" si="82"/>
        <v>-121</v>
      </c>
      <c r="M967" s="31">
        <f t="shared" si="82"/>
        <v>-1470.26</v>
      </c>
      <c r="N967" s="35">
        <f t="shared" si="84"/>
        <v>-0.97715068056146315</v>
      </c>
    </row>
    <row r="968" spans="1:14" x14ac:dyDescent="0.25">
      <c r="A968" s="31" t="s">
        <v>512</v>
      </c>
      <c r="B968" s="32" t="s">
        <v>511</v>
      </c>
      <c r="C968" s="33">
        <f>VLOOKUP(A968,[3]v_03_24!F:I,3,FALSE)</f>
        <v>37</v>
      </c>
      <c r="D968" s="32">
        <f>VLOOKUP(A968,[3]v_03_24!F:I,4,FALSE)</f>
        <v>755.17</v>
      </c>
      <c r="E968" s="33">
        <v>0</v>
      </c>
      <c r="F968" s="32">
        <v>0</v>
      </c>
      <c r="G968" s="34">
        <f t="shared" si="83"/>
        <v>0</v>
      </c>
      <c r="H968" s="33">
        <f t="shared" si="81"/>
        <v>37</v>
      </c>
      <c r="I968" s="32">
        <f t="shared" si="81"/>
        <v>755.17</v>
      </c>
      <c r="J968" s="33">
        <f>VLOOKUP(A968,[3]v_03_23!F:I,3,FALSE)</f>
        <v>53</v>
      </c>
      <c r="K968" s="32">
        <f>VLOOKUP(A968,[3]v_03_23!F:I,4,FALSE)</f>
        <v>1090.75</v>
      </c>
      <c r="L968" s="31">
        <f t="shared" si="82"/>
        <v>-16</v>
      </c>
      <c r="M968" s="31">
        <f t="shared" si="82"/>
        <v>-335.58000000000004</v>
      </c>
      <c r="N968" s="35">
        <f t="shared" si="84"/>
        <v>-0.30765986706394688</v>
      </c>
    </row>
    <row r="969" spans="1:14" x14ac:dyDescent="0.25">
      <c r="A969" s="31" t="s">
        <v>480</v>
      </c>
      <c r="B969" s="32" t="s">
        <v>478</v>
      </c>
      <c r="C969" s="33">
        <f>VLOOKUP(A969,[3]v_03_24!F:I,3,FALSE)</f>
        <v>2</v>
      </c>
      <c r="D969" s="32">
        <f>VLOOKUP(A969,[3]v_03_24!F:I,4,FALSE)</f>
        <v>22.14</v>
      </c>
      <c r="E969" s="33">
        <f>VLOOKUP(A969,[3]s_03_24!E:G,2,FALSE)</f>
        <v>244</v>
      </c>
      <c r="F969" s="32">
        <f>VLOOKUP(A969,[3]s_03_24!E:G,3,FALSE)</f>
        <v>3635.6000000000145</v>
      </c>
      <c r="G969" s="34">
        <f t="shared" si="83"/>
        <v>0.99394708207800453</v>
      </c>
      <c r="H969" s="33">
        <f t="shared" si="81"/>
        <v>246</v>
      </c>
      <c r="I969" s="32">
        <f t="shared" si="81"/>
        <v>3657.7400000000143</v>
      </c>
      <c r="J969" s="33">
        <f>VLOOKUP(A969,[3]v_03_23!F:I,3,FALSE)</f>
        <v>225</v>
      </c>
      <c r="K969" s="32">
        <f>VLOOKUP(A969,[3]v_03_23!F:I,4,FALSE)</f>
        <v>2181.9</v>
      </c>
      <c r="L969" s="31">
        <f t="shared" si="82"/>
        <v>21</v>
      </c>
      <c r="M969" s="31">
        <f t="shared" si="82"/>
        <v>1475.8400000000142</v>
      </c>
      <c r="N969" s="35">
        <f t="shared" si="84"/>
        <v>0.67640130161786249</v>
      </c>
    </row>
    <row r="970" spans="1:14" x14ac:dyDescent="0.25">
      <c r="A970" s="31" t="s">
        <v>514</v>
      </c>
      <c r="B970" s="32" t="s">
        <v>513</v>
      </c>
      <c r="C970" s="33">
        <v>0</v>
      </c>
      <c r="D970" s="32">
        <v>0</v>
      </c>
      <c r="E970" s="33">
        <v>0</v>
      </c>
      <c r="F970" s="32">
        <v>0</v>
      </c>
      <c r="G970" s="34"/>
      <c r="H970" s="33">
        <f t="shared" si="81"/>
        <v>0</v>
      </c>
      <c r="I970" s="32">
        <f t="shared" si="81"/>
        <v>0</v>
      </c>
      <c r="J970" s="33">
        <v>0</v>
      </c>
      <c r="K970" s="32">
        <v>0</v>
      </c>
      <c r="L970" s="31">
        <f t="shared" si="82"/>
        <v>0</v>
      </c>
      <c r="M970" s="31">
        <f t="shared" si="82"/>
        <v>0</v>
      </c>
      <c r="N970" s="35"/>
    </row>
    <row r="971" spans="1:14" x14ac:dyDescent="0.25">
      <c r="A971" s="31" t="s">
        <v>516</v>
      </c>
      <c r="B971" s="32" t="s">
        <v>515</v>
      </c>
      <c r="C971" s="33">
        <f>VLOOKUP(A971,[3]v_03_24!F:I,3,FALSE)</f>
        <v>99</v>
      </c>
      <c r="D971" s="32">
        <f>VLOOKUP(A971,[3]v_03_24!F:I,4,FALSE)</f>
        <v>1371.15</v>
      </c>
      <c r="E971" s="33">
        <v>0</v>
      </c>
      <c r="F971" s="32">
        <v>0</v>
      </c>
      <c r="G971" s="34">
        <f t="shared" si="83"/>
        <v>0</v>
      </c>
      <c r="H971" s="33">
        <f t="shared" si="81"/>
        <v>99</v>
      </c>
      <c r="I971" s="32">
        <f t="shared" si="81"/>
        <v>1371.15</v>
      </c>
      <c r="J971" s="33">
        <f>VLOOKUP(A971,[3]v_03_23!F:I,3,FALSE)</f>
        <v>12</v>
      </c>
      <c r="K971" s="32">
        <f>VLOOKUP(A971,[3]v_03_23!F:I,4,FALSE)</f>
        <v>195.18</v>
      </c>
      <c r="L971" s="31">
        <f t="shared" si="82"/>
        <v>87</v>
      </c>
      <c r="M971" s="31">
        <f t="shared" si="82"/>
        <v>1175.97</v>
      </c>
      <c r="N971" s="35">
        <f t="shared" si="84"/>
        <v>6.0250537964955422</v>
      </c>
    </row>
    <row r="972" spans="1:14" x14ac:dyDescent="0.25">
      <c r="A972" s="31" t="s">
        <v>518</v>
      </c>
      <c r="B972" s="32" t="s">
        <v>517</v>
      </c>
      <c r="C972" s="33">
        <f>VLOOKUP(A972,[3]v_03_24!F:I,3,FALSE)</f>
        <v>3</v>
      </c>
      <c r="D972" s="32">
        <f>VLOOKUP(A972,[3]v_03_24!F:I,4,FALSE)</f>
        <v>62.39</v>
      </c>
      <c r="E972" s="33">
        <f>VLOOKUP(A972,[3]s_03_24!E:G,2,FALSE)</f>
        <v>106</v>
      </c>
      <c r="F972" s="32">
        <f>VLOOKUP(A972,[3]s_03_24!E:G,3,FALSE)</f>
        <v>2713.4000000000051</v>
      </c>
      <c r="G972" s="34">
        <f t="shared" si="83"/>
        <v>0.97752351582792651</v>
      </c>
      <c r="H972" s="33">
        <f t="shared" si="81"/>
        <v>109</v>
      </c>
      <c r="I972" s="32">
        <f t="shared" si="81"/>
        <v>2775.790000000005</v>
      </c>
      <c r="J972" s="33">
        <f>VLOOKUP(A972,[3]v_03_23!F:I,3,FALSE)</f>
        <v>360</v>
      </c>
      <c r="K972" s="32">
        <f>VLOOKUP(A972,[3]v_03_23!F:I,4,FALSE)</f>
        <v>7347.6</v>
      </c>
      <c r="L972" s="31">
        <f t="shared" si="82"/>
        <v>-251</v>
      </c>
      <c r="M972" s="31">
        <f t="shared" si="82"/>
        <v>-4571.8099999999959</v>
      </c>
      <c r="N972" s="35">
        <f t="shared" si="84"/>
        <v>-0.62221813925635527</v>
      </c>
    </row>
    <row r="973" spans="1:14" x14ac:dyDescent="0.25">
      <c r="A973" s="31" t="s">
        <v>520</v>
      </c>
      <c r="B973" s="32" t="s">
        <v>519</v>
      </c>
      <c r="C973" s="33">
        <f>VLOOKUP(A973,[3]v_03_24!F:I,3,FALSE)</f>
        <v>-4</v>
      </c>
      <c r="D973" s="32">
        <f>VLOOKUP(A973,[3]v_03_24!F:I,4,FALSE)</f>
        <v>-230.16</v>
      </c>
      <c r="E973" s="33">
        <v>0</v>
      </c>
      <c r="F973" s="32">
        <v>0</v>
      </c>
      <c r="G973" s="34">
        <f t="shared" si="83"/>
        <v>0</v>
      </c>
      <c r="H973" s="33">
        <f t="shared" si="81"/>
        <v>-4</v>
      </c>
      <c r="I973" s="32">
        <f t="shared" si="81"/>
        <v>-230.16</v>
      </c>
      <c r="J973" s="33">
        <f>VLOOKUP(A973,[3]v_03_23!F:I,3,FALSE)</f>
        <v>29</v>
      </c>
      <c r="K973" s="32">
        <f>VLOOKUP(A973,[3]v_03_23!F:I,4,FALSE)</f>
        <v>1780.31</v>
      </c>
      <c r="L973" s="31">
        <f t="shared" si="82"/>
        <v>-33</v>
      </c>
      <c r="M973" s="31">
        <f t="shared" si="82"/>
        <v>-2010.47</v>
      </c>
      <c r="N973" s="35">
        <f t="shared" si="84"/>
        <v>-1.1292808555813314</v>
      </c>
    </row>
    <row r="974" spans="1:14" x14ac:dyDescent="0.25">
      <c r="A974" s="31" t="s">
        <v>522</v>
      </c>
      <c r="B974" s="32" t="s">
        <v>521</v>
      </c>
      <c r="C974" s="33">
        <v>0</v>
      </c>
      <c r="D974" s="32">
        <v>0</v>
      </c>
      <c r="E974" s="33">
        <f>VLOOKUP(A974,[3]s_03_24!E:G,2,FALSE)</f>
        <v>16</v>
      </c>
      <c r="F974" s="32">
        <f>VLOOKUP(A974,[3]s_03_24!E:G,3,FALSE)</f>
        <v>958.39999999999975</v>
      </c>
      <c r="G974" s="34">
        <f t="shared" si="83"/>
        <v>1</v>
      </c>
      <c r="H974" s="33">
        <f t="shared" si="81"/>
        <v>16</v>
      </c>
      <c r="I974" s="32">
        <f t="shared" si="81"/>
        <v>958.39999999999975</v>
      </c>
      <c r="J974" s="33">
        <v>0</v>
      </c>
      <c r="K974" s="32">
        <v>0</v>
      </c>
      <c r="L974" s="31">
        <f t="shared" si="82"/>
        <v>16</v>
      </c>
      <c r="M974" s="31">
        <f t="shared" si="82"/>
        <v>958.39999999999975</v>
      </c>
      <c r="N974" s="35"/>
    </row>
    <row r="975" spans="1:14" x14ac:dyDescent="0.25">
      <c r="A975" s="31" t="s">
        <v>524</v>
      </c>
      <c r="B975" s="32" t="s">
        <v>523</v>
      </c>
      <c r="C975" s="33">
        <f>VLOOKUP(A975,[3]v_03_24!F:I,3,FALSE)</f>
        <v>0</v>
      </c>
      <c r="D975" s="32">
        <f>VLOOKUP(A975,[3]v_03_24!F:I,4,FALSE)</f>
        <v>0</v>
      </c>
      <c r="E975" s="33">
        <v>0</v>
      </c>
      <c r="F975" s="32">
        <v>0</v>
      </c>
      <c r="G975" s="34"/>
      <c r="H975" s="33">
        <f t="shared" ref="H975:I1038" si="85">C975+E975</f>
        <v>0</v>
      </c>
      <c r="I975" s="32">
        <f t="shared" si="85"/>
        <v>0</v>
      </c>
      <c r="J975" s="33">
        <f>VLOOKUP(A975,[3]v_03_23!F:I,3,FALSE)</f>
        <v>2</v>
      </c>
      <c r="K975" s="32">
        <f>VLOOKUP(A975,[3]v_03_23!F:I,4,FALSE)</f>
        <v>14.3</v>
      </c>
      <c r="L975" s="31">
        <f t="shared" ref="L975:M1038" si="86">H975-J975</f>
        <v>-2</v>
      </c>
      <c r="M975" s="31">
        <f t="shared" si="86"/>
        <v>-14.3</v>
      </c>
      <c r="N975" s="35">
        <f t="shared" ref="N975:N1036" si="87">M975/K975</f>
        <v>-1</v>
      </c>
    </row>
    <row r="976" spans="1:14" x14ac:dyDescent="0.25">
      <c r="A976" s="31" t="s">
        <v>526</v>
      </c>
      <c r="B976" s="32" t="s">
        <v>525</v>
      </c>
      <c r="C976" s="33">
        <v>0</v>
      </c>
      <c r="D976" s="32">
        <v>0</v>
      </c>
      <c r="E976" s="33">
        <f>VLOOKUP(A976,[3]s_03_24!E:G,2,FALSE)</f>
        <v>3</v>
      </c>
      <c r="F976" s="32">
        <f>VLOOKUP(A976,[3]s_03_24!E:G,3,FALSE)</f>
        <v>104.69999999999999</v>
      </c>
      <c r="G976" s="34">
        <f t="shared" ref="G976:G1000" si="88">F976/I976</f>
        <v>1</v>
      </c>
      <c r="H976" s="33">
        <f t="shared" si="85"/>
        <v>3</v>
      </c>
      <c r="I976" s="32">
        <f t="shared" si="85"/>
        <v>104.69999999999999</v>
      </c>
      <c r="J976" s="33">
        <v>0</v>
      </c>
      <c r="K976" s="32">
        <v>0</v>
      </c>
      <c r="L976" s="31">
        <f t="shared" si="86"/>
        <v>3</v>
      </c>
      <c r="M976" s="31">
        <f t="shared" si="86"/>
        <v>104.69999999999999</v>
      </c>
      <c r="N976" s="35"/>
    </row>
    <row r="977" spans="1:14" x14ac:dyDescent="0.25">
      <c r="A977" s="31" t="s">
        <v>528</v>
      </c>
      <c r="B977" s="32" t="s">
        <v>527</v>
      </c>
      <c r="C977" s="33">
        <f>VLOOKUP(A977,[3]v_03_24!F:I,3,FALSE)</f>
        <v>34</v>
      </c>
      <c r="D977" s="32">
        <f>VLOOKUP(A977,[3]v_03_24!F:I,4,FALSE)</f>
        <v>1525.2</v>
      </c>
      <c r="E977" s="33">
        <f>VLOOKUP(A977,[3]s_03_24!E:G,2,FALSE)</f>
        <v>22</v>
      </c>
      <c r="F977" s="32">
        <f>VLOOKUP(A977,[3]s_03_24!E:G,3,FALSE)</f>
        <v>1040.7999999999997</v>
      </c>
      <c r="G977" s="34">
        <f t="shared" si="88"/>
        <v>0.40561184723304744</v>
      </c>
      <c r="H977" s="33">
        <f t="shared" si="85"/>
        <v>56</v>
      </c>
      <c r="I977" s="32">
        <f t="shared" si="85"/>
        <v>2566</v>
      </c>
      <c r="J977" s="33">
        <f>VLOOKUP(A977,[3]v_03_23!F:I,3,FALSE)</f>
        <v>105</v>
      </c>
      <c r="K977" s="32">
        <f>VLOOKUP(A977,[3]v_03_23!F:I,4,FALSE)</f>
        <v>4368.3</v>
      </c>
      <c r="L977" s="31">
        <f t="shared" si="86"/>
        <v>-49</v>
      </c>
      <c r="M977" s="31">
        <f t="shared" si="86"/>
        <v>-1802.3000000000002</v>
      </c>
      <c r="N977" s="35">
        <f t="shared" si="87"/>
        <v>-0.41258613190486004</v>
      </c>
    </row>
    <row r="978" spans="1:14" x14ac:dyDescent="0.25">
      <c r="A978" s="31" t="s">
        <v>530</v>
      </c>
      <c r="B978" s="32" t="s">
        <v>529</v>
      </c>
      <c r="C978" s="33">
        <v>0</v>
      </c>
      <c r="D978" s="32">
        <v>0</v>
      </c>
      <c r="E978" s="33">
        <v>0</v>
      </c>
      <c r="F978" s="32">
        <v>0</v>
      </c>
      <c r="G978" s="34"/>
      <c r="H978" s="33">
        <f t="shared" si="85"/>
        <v>0</v>
      </c>
      <c r="I978" s="32">
        <f t="shared" si="85"/>
        <v>0</v>
      </c>
      <c r="J978" s="33">
        <v>0</v>
      </c>
      <c r="K978" s="32">
        <v>0</v>
      </c>
      <c r="L978" s="31">
        <f t="shared" si="86"/>
        <v>0</v>
      </c>
      <c r="M978" s="31">
        <f t="shared" si="86"/>
        <v>0</v>
      </c>
      <c r="N978" s="35"/>
    </row>
    <row r="979" spans="1:14" x14ac:dyDescent="0.25">
      <c r="A979" s="31" t="s">
        <v>532</v>
      </c>
      <c r="B979" s="32" t="s">
        <v>531</v>
      </c>
      <c r="C979" s="33">
        <f>VLOOKUP(A979,[3]v_03_24!F:I,3,FALSE)</f>
        <v>36</v>
      </c>
      <c r="D979" s="32">
        <f>VLOOKUP(A979,[3]v_03_24!F:I,4,FALSE)</f>
        <v>211.74</v>
      </c>
      <c r="E979" s="33">
        <v>0</v>
      </c>
      <c r="F979" s="32">
        <v>0</v>
      </c>
      <c r="G979" s="34">
        <f t="shared" si="88"/>
        <v>0</v>
      </c>
      <c r="H979" s="33">
        <f t="shared" si="85"/>
        <v>36</v>
      </c>
      <c r="I979" s="32">
        <f t="shared" si="85"/>
        <v>211.74</v>
      </c>
      <c r="J979" s="33">
        <f>VLOOKUP(A979,[3]v_03_23!F:I,3,FALSE)</f>
        <v>48</v>
      </c>
      <c r="K979" s="32">
        <f>VLOOKUP(A979,[3]v_03_23!F:I,4,FALSE)</f>
        <v>319.64999999999998</v>
      </c>
      <c r="L979" s="31">
        <f t="shared" si="86"/>
        <v>-12</v>
      </c>
      <c r="M979" s="31">
        <f t="shared" si="86"/>
        <v>-107.90999999999997</v>
      </c>
      <c r="N979" s="35">
        <f t="shared" si="87"/>
        <v>-0.33758798686062874</v>
      </c>
    </row>
    <row r="980" spans="1:14" x14ac:dyDescent="0.25">
      <c r="A980" s="31" t="s">
        <v>534</v>
      </c>
      <c r="B980" s="32" t="s">
        <v>533</v>
      </c>
      <c r="C980" s="33">
        <f>VLOOKUP(A980,[3]v_03_24!F:I,3,FALSE)</f>
        <v>2</v>
      </c>
      <c r="D980" s="32">
        <f>VLOOKUP(A980,[3]v_03_24!F:I,4,FALSE)</f>
        <v>98.08</v>
      </c>
      <c r="E980" s="33">
        <v>0</v>
      </c>
      <c r="F980" s="32">
        <v>0</v>
      </c>
      <c r="G980" s="34">
        <f t="shared" si="88"/>
        <v>0</v>
      </c>
      <c r="H980" s="33">
        <f t="shared" si="85"/>
        <v>2</v>
      </c>
      <c r="I980" s="32">
        <f t="shared" si="85"/>
        <v>98.08</v>
      </c>
      <c r="J980" s="33">
        <f>VLOOKUP(A980,[3]v_03_23!F:I,3,FALSE)</f>
        <v>6</v>
      </c>
      <c r="K980" s="32">
        <f>VLOOKUP(A980,[3]v_03_23!F:I,4,FALSE)</f>
        <v>294.60000000000002</v>
      </c>
      <c r="L980" s="31">
        <f t="shared" si="86"/>
        <v>-4</v>
      </c>
      <c r="M980" s="31">
        <f t="shared" si="86"/>
        <v>-196.52000000000004</v>
      </c>
      <c r="N980" s="35">
        <f t="shared" si="87"/>
        <v>-0.66707399864222683</v>
      </c>
    </row>
    <row r="981" spans="1:14" x14ac:dyDescent="0.25">
      <c r="A981" s="31" t="s">
        <v>536</v>
      </c>
      <c r="B981" s="32" t="s">
        <v>535</v>
      </c>
      <c r="C981" s="33">
        <v>0</v>
      </c>
      <c r="D981" s="32">
        <v>0</v>
      </c>
      <c r="E981" s="33">
        <v>0</v>
      </c>
      <c r="F981" s="32">
        <v>0</v>
      </c>
      <c r="G981" s="34"/>
      <c r="H981" s="33">
        <f t="shared" si="85"/>
        <v>0</v>
      </c>
      <c r="I981" s="32">
        <f t="shared" si="85"/>
        <v>0</v>
      </c>
      <c r="J981" s="33">
        <v>0</v>
      </c>
      <c r="K981" s="32">
        <v>0</v>
      </c>
      <c r="L981" s="31">
        <f t="shared" si="86"/>
        <v>0</v>
      </c>
      <c r="M981" s="31">
        <f t="shared" si="86"/>
        <v>0</v>
      </c>
      <c r="N981" s="35"/>
    </row>
    <row r="982" spans="1:14" x14ac:dyDescent="0.25">
      <c r="A982" s="31" t="s">
        <v>538</v>
      </c>
      <c r="B982" s="32" t="s">
        <v>537</v>
      </c>
      <c r="C982" s="33">
        <f>VLOOKUP(A982,[3]v_03_24!F:I,3,FALSE)</f>
        <v>11</v>
      </c>
      <c r="D982" s="32">
        <f>VLOOKUP(A982,[3]v_03_24!F:I,4,FALSE)</f>
        <v>685.1</v>
      </c>
      <c r="E982" s="33">
        <f>VLOOKUP(A982,[3]s_03_24!E:G,2,FALSE)</f>
        <v>2</v>
      </c>
      <c r="F982" s="32">
        <f>VLOOKUP(A982,[3]s_03_24!E:G,3,FALSE)</f>
        <v>159.80000000000001</v>
      </c>
      <c r="G982" s="34">
        <f t="shared" si="88"/>
        <v>0.1891348088531187</v>
      </c>
      <c r="H982" s="33">
        <f t="shared" si="85"/>
        <v>13</v>
      </c>
      <c r="I982" s="32">
        <f t="shared" si="85"/>
        <v>844.90000000000009</v>
      </c>
      <c r="J982" s="33">
        <f>VLOOKUP(A982,[3]v_03_23!F:I,3,FALSE)</f>
        <v>53</v>
      </c>
      <c r="K982" s="32">
        <f>VLOOKUP(A982,[3]v_03_23!F:I,4,FALSE)</f>
        <v>3036.9</v>
      </c>
      <c r="L982" s="31">
        <f t="shared" si="86"/>
        <v>-40</v>
      </c>
      <c r="M982" s="31">
        <f t="shared" si="86"/>
        <v>-2192</v>
      </c>
      <c r="N982" s="35">
        <f t="shared" si="87"/>
        <v>-0.72178866607395697</v>
      </c>
    </row>
    <row r="983" spans="1:14" x14ac:dyDescent="0.25">
      <c r="A983" s="31" t="s">
        <v>540</v>
      </c>
      <c r="B983" s="32" t="s">
        <v>539</v>
      </c>
      <c r="C983" s="33">
        <v>0</v>
      </c>
      <c r="D983" s="32">
        <v>0</v>
      </c>
      <c r="E983" s="33">
        <v>0</v>
      </c>
      <c r="F983" s="32">
        <v>0</v>
      </c>
      <c r="G983" s="34"/>
      <c r="H983" s="33">
        <f t="shared" si="85"/>
        <v>0</v>
      </c>
      <c r="I983" s="32">
        <f t="shared" si="85"/>
        <v>0</v>
      </c>
      <c r="J983" s="33">
        <v>0</v>
      </c>
      <c r="K983" s="32">
        <v>0</v>
      </c>
      <c r="L983" s="31">
        <f t="shared" si="86"/>
        <v>0</v>
      </c>
      <c r="M983" s="31">
        <f t="shared" si="86"/>
        <v>0</v>
      </c>
      <c r="N983" s="35"/>
    </row>
    <row r="984" spans="1:14" x14ac:dyDescent="0.25">
      <c r="A984" s="31" t="s">
        <v>542</v>
      </c>
      <c r="B984" s="32" t="s">
        <v>541</v>
      </c>
      <c r="C984" s="33">
        <f>VLOOKUP(A984,[3]v_03_24!F:I,3,FALSE)</f>
        <v>-1</v>
      </c>
      <c r="D984" s="32">
        <f>VLOOKUP(A984,[3]v_03_24!F:I,4,FALSE)</f>
        <v>-5.12</v>
      </c>
      <c r="E984" s="33">
        <v>0</v>
      </c>
      <c r="F984" s="32">
        <v>0</v>
      </c>
      <c r="G984" s="34">
        <f t="shared" si="88"/>
        <v>0</v>
      </c>
      <c r="H984" s="33">
        <f t="shared" si="85"/>
        <v>-1</v>
      </c>
      <c r="I984" s="32">
        <f t="shared" si="85"/>
        <v>-5.12</v>
      </c>
      <c r="J984" s="33">
        <f>VLOOKUP(A984,[3]v_03_23!F:I,3,FALSE)</f>
        <v>1</v>
      </c>
      <c r="K984" s="32">
        <f>VLOOKUP(A984,[3]v_03_23!F:I,4,FALSE)</f>
        <v>6.68</v>
      </c>
      <c r="L984" s="31">
        <f t="shared" si="86"/>
        <v>-2</v>
      </c>
      <c r="M984" s="31">
        <f t="shared" si="86"/>
        <v>-11.8</v>
      </c>
      <c r="N984" s="35">
        <f t="shared" si="87"/>
        <v>-1.7664670658682637</v>
      </c>
    </row>
    <row r="985" spans="1:14" x14ac:dyDescent="0.25">
      <c r="A985" s="31" t="s">
        <v>544</v>
      </c>
      <c r="B985" s="32" t="s">
        <v>543</v>
      </c>
      <c r="C985" s="33">
        <f>VLOOKUP(A985,[3]v_03_24!F:I,3,FALSE)</f>
        <v>168</v>
      </c>
      <c r="D985" s="32">
        <f>VLOOKUP(A985,[3]v_03_24!F:I,4,FALSE)</f>
        <v>3399.3</v>
      </c>
      <c r="E985" s="33">
        <v>0</v>
      </c>
      <c r="F985" s="32">
        <v>0</v>
      </c>
      <c r="G985" s="34">
        <f t="shared" si="88"/>
        <v>0</v>
      </c>
      <c r="H985" s="33">
        <f t="shared" si="85"/>
        <v>168</v>
      </c>
      <c r="I985" s="32">
        <f t="shared" si="85"/>
        <v>3399.3</v>
      </c>
      <c r="J985" s="33">
        <f>VLOOKUP(A985,[3]v_03_23!F:I,3,FALSE)</f>
        <v>379</v>
      </c>
      <c r="K985" s="32">
        <f>VLOOKUP(A985,[3]v_03_23!F:I,4,FALSE)</f>
        <v>7714.15</v>
      </c>
      <c r="L985" s="31">
        <f t="shared" si="86"/>
        <v>-211</v>
      </c>
      <c r="M985" s="31">
        <f t="shared" si="86"/>
        <v>-4314.8499999999995</v>
      </c>
      <c r="N985" s="35">
        <f t="shared" si="87"/>
        <v>-0.55934224768769081</v>
      </c>
    </row>
    <row r="986" spans="1:14" x14ac:dyDescent="0.25">
      <c r="A986" s="31" t="s">
        <v>546</v>
      </c>
      <c r="B986" s="32" t="s">
        <v>545</v>
      </c>
      <c r="C986" s="33">
        <v>0</v>
      </c>
      <c r="D986" s="32">
        <v>0</v>
      </c>
      <c r="E986" s="33">
        <v>0</v>
      </c>
      <c r="F986" s="32">
        <v>0</v>
      </c>
      <c r="G986" s="34"/>
      <c r="H986" s="33">
        <f t="shared" si="85"/>
        <v>0</v>
      </c>
      <c r="I986" s="32">
        <f t="shared" si="85"/>
        <v>0</v>
      </c>
      <c r="J986" s="33">
        <v>0</v>
      </c>
      <c r="K986" s="32">
        <v>0</v>
      </c>
      <c r="L986" s="31">
        <f t="shared" si="86"/>
        <v>0</v>
      </c>
      <c r="M986" s="31">
        <f t="shared" si="86"/>
        <v>0</v>
      </c>
      <c r="N986" s="35"/>
    </row>
    <row r="987" spans="1:14" x14ac:dyDescent="0.25">
      <c r="A987" s="31" t="s">
        <v>548</v>
      </c>
      <c r="B987" s="32" t="s">
        <v>547</v>
      </c>
      <c r="C987" s="33">
        <f>VLOOKUP(A987,[3]v_03_24!F:I,3,FALSE)</f>
        <v>4</v>
      </c>
      <c r="D987" s="32">
        <f>VLOOKUP(A987,[3]v_03_24!F:I,4,FALSE)</f>
        <v>80.010000000000005</v>
      </c>
      <c r="E987" s="33">
        <v>0</v>
      </c>
      <c r="F987" s="32">
        <v>0</v>
      </c>
      <c r="G987" s="34">
        <f t="shared" si="88"/>
        <v>0</v>
      </c>
      <c r="H987" s="33">
        <f t="shared" si="85"/>
        <v>4</v>
      </c>
      <c r="I987" s="32">
        <f t="shared" si="85"/>
        <v>80.010000000000005</v>
      </c>
      <c r="J987" s="33">
        <f>VLOOKUP(A987,[3]v_03_23!F:I,3,FALSE)</f>
        <v>6</v>
      </c>
      <c r="K987" s="32">
        <f>VLOOKUP(A987,[3]v_03_23!F:I,4,FALSE)</f>
        <v>118.33</v>
      </c>
      <c r="L987" s="31">
        <f t="shared" si="86"/>
        <v>-2</v>
      </c>
      <c r="M987" s="31">
        <f t="shared" si="86"/>
        <v>-38.319999999999993</v>
      </c>
      <c r="N987" s="35">
        <f t="shared" si="87"/>
        <v>-0.32384010817206116</v>
      </c>
    </row>
    <row r="988" spans="1:14" x14ac:dyDescent="0.25">
      <c r="A988" s="31" t="s">
        <v>550</v>
      </c>
      <c r="B988" s="32" t="s">
        <v>549</v>
      </c>
      <c r="C988" s="33">
        <f>VLOOKUP(A988,[3]v_03_24!F:I,3,FALSE)</f>
        <v>45</v>
      </c>
      <c r="D988" s="32">
        <f>VLOOKUP(A988,[3]v_03_24!F:I,4,FALSE)</f>
        <v>281</v>
      </c>
      <c r="E988" s="33">
        <v>0</v>
      </c>
      <c r="F988" s="32">
        <v>0</v>
      </c>
      <c r="G988" s="34">
        <f t="shared" si="88"/>
        <v>0</v>
      </c>
      <c r="H988" s="33">
        <f t="shared" si="85"/>
        <v>45</v>
      </c>
      <c r="I988" s="32">
        <f t="shared" si="85"/>
        <v>281</v>
      </c>
      <c r="J988" s="33">
        <f>VLOOKUP(A988,[3]v_03_23!F:I,3,FALSE)</f>
        <v>19</v>
      </c>
      <c r="K988" s="32">
        <f>VLOOKUP(A988,[3]v_03_23!F:I,4,FALSE)</f>
        <v>116.56</v>
      </c>
      <c r="L988" s="31">
        <f t="shared" si="86"/>
        <v>26</v>
      </c>
      <c r="M988" s="31">
        <f t="shared" si="86"/>
        <v>164.44</v>
      </c>
      <c r="N988" s="35">
        <f t="shared" si="87"/>
        <v>1.4107755662319834</v>
      </c>
    </row>
    <row r="989" spans="1:14" x14ac:dyDescent="0.25">
      <c r="A989" s="31" t="s">
        <v>552</v>
      </c>
      <c r="B989" s="32" t="s">
        <v>551</v>
      </c>
      <c r="C989" s="33">
        <f>VLOOKUP(A989,[3]v_03_24!F:I,3,FALSE)</f>
        <v>25</v>
      </c>
      <c r="D989" s="32">
        <f>VLOOKUP(A989,[3]v_03_24!F:I,4,FALSE)</f>
        <v>612.75</v>
      </c>
      <c r="E989" s="33">
        <v>0</v>
      </c>
      <c r="F989" s="32">
        <v>0</v>
      </c>
      <c r="G989" s="34">
        <f t="shared" si="88"/>
        <v>0</v>
      </c>
      <c r="H989" s="33">
        <f t="shared" si="85"/>
        <v>25</v>
      </c>
      <c r="I989" s="32">
        <f t="shared" si="85"/>
        <v>612.75</v>
      </c>
      <c r="J989" s="33">
        <f>VLOOKUP(A989,[3]v_03_23!F:I,3,FALSE)</f>
        <v>129</v>
      </c>
      <c r="K989" s="32">
        <f>VLOOKUP(A989,[3]v_03_23!F:I,4,FALSE)</f>
        <v>2653.39</v>
      </c>
      <c r="L989" s="31">
        <f t="shared" si="86"/>
        <v>-104</v>
      </c>
      <c r="M989" s="31">
        <f t="shared" si="86"/>
        <v>-2040.6399999999999</v>
      </c>
      <c r="N989" s="35">
        <f t="shared" si="87"/>
        <v>-0.76906900229517705</v>
      </c>
    </row>
    <row r="990" spans="1:14" x14ac:dyDescent="0.25">
      <c r="A990" s="31" t="s">
        <v>554</v>
      </c>
      <c r="B990" s="32" t="s">
        <v>553</v>
      </c>
      <c r="C990" s="33">
        <v>0</v>
      </c>
      <c r="D990" s="32">
        <v>0</v>
      </c>
      <c r="E990" s="33">
        <v>0</v>
      </c>
      <c r="F990" s="32">
        <v>0</v>
      </c>
      <c r="G990" s="34"/>
      <c r="H990" s="33">
        <f t="shared" si="85"/>
        <v>0</v>
      </c>
      <c r="I990" s="32">
        <f t="shared" si="85"/>
        <v>0</v>
      </c>
      <c r="J990" s="33">
        <v>0</v>
      </c>
      <c r="K990" s="32">
        <v>0</v>
      </c>
      <c r="L990" s="31">
        <f t="shared" si="86"/>
        <v>0</v>
      </c>
      <c r="M990" s="31">
        <f t="shared" si="86"/>
        <v>0</v>
      </c>
      <c r="N990" s="35"/>
    </row>
    <row r="991" spans="1:14" x14ac:dyDescent="0.25">
      <c r="A991" s="31" t="s">
        <v>556</v>
      </c>
      <c r="B991" s="32" t="s">
        <v>555</v>
      </c>
      <c r="C991" s="33">
        <v>0</v>
      </c>
      <c r="D991" s="32">
        <v>0</v>
      </c>
      <c r="E991" s="33">
        <v>0</v>
      </c>
      <c r="F991" s="32">
        <v>0</v>
      </c>
      <c r="G991" s="34"/>
      <c r="H991" s="33">
        <f t="shared" si="85"/>
        <v>0</v>
      </c>
      <c r="I991" s="32">
        <f t="shared" si="85"/>
        <v>0</v>
      </c>
      <c r="J991" s="33">
        <v>0</v>
      </c>
      <c r="K991" s="32">
        <v>0</v>
      </c>
      <c r="L991" s="31">
        <f t="shared" si="86"/>
        <v>0</v>
      </c>
      <c r="M991" s="31">
        <f t="shared" si="86"/>
        <v>0</v>
      </c>
      <c r="N991" s="35"/>
    </row>
    <row r="992" spans="1:14" x14ac:dyDescent="0.25">
      <c r="A992" s="31" t="s">
        <v>558</v>
      </c>
      <c r="B992" s="32" t="s">
        <v>557</v>
      </c>
      <c r="C992" s="33">
        <f>VLOOKUP(A992,[3]v_03_24!F:I,3,FALSE)</f>
        <v>0</v>
      </c>
      <c r="D992" s="32">
        <f>VLOOKUP(A992,[3]v_03_24!F:I,4,FALSE)</f>
        <v>0</v>
      </c>
      <c r="E992" s="33">
        <v>0</v>
      </c>
      <c r="F992" s="32">
        <v>0</v>
      </c>
      <c r="G992" s="34"/>
      <c r="H992" s="33">
        <f t="shared" si="85"/>
        <v>0</v>
      </c>
      <c r="I992" s="32">
        <f t="shared" si="85"/>
        <v>0</v>
      </c>
      <c r="J992" s="33">
        <v>0</v>
      </c>
      <c r="K992" s="32">
        <v>0</v>
      </c>
      <c r="L992" s="31">
        <f t="shared" si="86"/>
        <v>0</v>
      </c>
      <c r="M992" s="31">
        <f t="shared" si="86"/>
        <v>0</v>
      </c>
      <c r="N992" s="35"/>
    </row>
    <row r="993" spans="1:14" x14ac:dyDescent="0.25">
      <c r="A993" s="31" t="s">
        <v>560</v>
      </c>
      <c r="B993" s="32" t="s">
        <v>559</v>
      </c>
      <c r="C993" s="33">
        <f>VLOOKUP(A993,[3]v_03_24!F:I,3,FALSE)</f>
        <v>16</v>
      </c>
      <c r="D993" s="32">
        <f>VLOOKUP(A993,[3]v_03_24!F:I,4,FALSE)</f>
        <v>167.52</v>
      </c>
      <c r="E993" s="33">
        <v>0</v>
      </c>
      <c r="F993" s="32">
        <v>0</v>
      </c>
      <c r="G993" s="34">
        <f t="shared" si="88"/>
        <v>0</v>
      </c>
      <c r="H993" s="33">
        <f t="shared" si="85"/>
        <v>16</v>
      </c>
      <c r="I993" s="32">
        <f t="shared" si="85"/>
        <v>167.52</v>
      </c>
      <c r="J993" s="33">
        <f>VLOOKUP(A993,[3]v_03_23!F:I,3,FALSE)</f>
        <v>66</v>
      </c>
      <c r="K993" s="32">
        <f>VLOOKUP(A993,[3]v_03_23!F:I,4,FALSE)</f>
        <v>712.38</v>
      </c>
      <c r="L993" s="31">
        <f t="shared" si="86"/>
        <v>-50</v>
      </c>
      <c r="M993" s="31">
        <f t="shared" si="86"/>
        <v>-544.86</v>
      </c>
      <c r="N993" s="35">
        <f t="shared" si="87"/>
        <v>-0.76484460540722654</v>
      </c>
    </row>
    <row r="994" spans="1:14" x14ac:dyDescent="0.25">
      <c r="A994" s="31" t="s">
        <v>562</v>
      </c>
      <c r="B994" s="32" t="s">
        <v>561</v>
      </c>
      <c r="C994" s="33">
        <v>0</v>
      </c>
      <c r="D994" s="32">
        <v>0</v>
      </c>
      <c r="E994" s="33">
        <v>0</v>
      </c>
      <c r="F994" s="32">
        <v>0</v>
      </c>
      <c r="G994" s="34"/>
      <c r="H994" s="33">
        <f t="shared" si="85"/>
        <v>0</v>
      </c>
      <c r="I994" s="32">
        <f t="shared" si="85"/>
        <v>0</v>
      </c>
      <c r="J994" s="33">
        <f>VLOOKUP(A994,[3]v_03_23!F:I,3,FALSE)</f>
        <v>12</v>
      </c>
      <c r="K994" s="32">
        <f>VLOOKUP(A994,[3]v_03_23!F:I,4,FALSE)</f>
        <v>97.32</v>
      </c>
      <c r="L994" s="31">
        <f t="shared" si="86"/>
        <v>-12</v>
      </c>
      <c r="M994" s="31">
        <f t="shared" si="86"/>
        <v>-97.32</v>
      </c>
      <c r="N994" s="35">
        <f t="shared" si="87"/>
        <v>-1</v>
      </c>
    </row>
    <row r="995" spans="1:14" x14ac:dyDescent="0.25">
      <c r="A995" s="31" t="s">
        <v>564</v>
      </c>
      <c r="B995" s="32" t="s">
        <v>563</v>
      </c>
      <c r="C995" s="33">
        <f>VLOOKUP(A995,[3]v_03_24!F:I,3,FALSE)</f>
        <v>0</v>
      </c>
      <c r="D995" s="32">
        <f>VLOOKUP(A995,[3]v_03_24!F:I,4,FALSE)</f>
        <v>0</v>
      </c>
      <c r="E995" s="33">
        <v>0</v>
      </c>
      <c r="F995" s="32">
        <v>0</v>
      </c>
      <c r="G995" s="34"/>
      <c r="H995" s="33">
        <f t="shared" si="85"/>
        <v>0</v>
      </c>
      <c r="I995" s="32">
        <f t="shared" si="85"/>
        <v>0</v>
      </c>
      <c r="J995" s="33">
        <f>VLOOKUP(A995,[3]v_03_23!F:I,3,FALSE)</f>
        <v>0</v>
      </c>
      <c r="K995" s="32">
        <f>VLOOKUP(A995,[3]v_03_23!F:I,4,FALSE)</f>
        <v>0</v>
      </c>
      <c r="L995" s="31">
        <f t="shared" si="86"/>
        <v>0</v>
      </c>
      <c r="M995" s="31">
        <f t="shared" si="86"/>
        <v>0</v>
      </c>
      <c r="N995" s="35"/>
    </row>
    <row r="996" spans="1:14" x14ac:dyDescent="0.25">
      <c r="A996" s="31" t="s">
        <v>566</v>
      </c>
      <c r="B996" s="32" t="s">
        <v>565</v>
      </c>
      <c r="C996" s="33">
        <v>0</v>
      </c>
      <c r="D996" s="32">
        <v>0</v>
      </c>
      <c r="E996" s="33">
        <f>VLOOKUP(A996,[3]s_03_24!E:G,2,FALSE)</f>
        <v>24</v>
      </c>
      <c r="F996" s="32">
        <f>VLOOKUP(A996,[3]s_03_24!E:G,3,FALSE)</f>
        <v>1908.0100000000009</v>
      </c>
      <c r="G996" s="34">
        <f t="shared" si="88"/>
        <v>1</v>
      </c>
      <c r="H996" s="33">
        <f t="shared" si="85"/>
        <v>24</v>
      </c>
      <c r="I996" s="32">
        <f t="shared" si="85"/>
        <v>1908.0100000000009</v>
      </c>
      <c r="J996" s="33">
        <v>0</v>
      </c>
      <c r="K996" s="32">
        <v>0</v>
      </c>
      <c r="L996" s="31">
        <f t="shared" si="86"/>
        <v>24</v>
      </c>
      <c r="M996" s="31">
        <f t="shared" si="86"/>
        <v>1908.0100000000009</v>
      </c>
      <c r="N996" s="35"/>
    </row>
    <row r="997" spans="1:14" x14ac:dyDescent="0.25">
      <c r="A997" s="31" t="s">
        <v>568</v>
      </c>
      <c r="B997" s="32" t="s">
        <v>567</v>
      </c>
      <c r="C997" s="33">
        <f>VLOOKUP(A997,[3]v_03_24!F:I,3,FALSE)</f>
        <v>51</v>
      </c>
      <c r="D997" s="32">
        <f>VLOOKUP(A997,[3]v_03_24!F:I,4,FALSE)</f>
        <v>665.8</v>
      </c>
      <c r="E997" s="33">
        <v>0</v>
      </c>
      <c r="F997" s="32">
        <v>0</v>
      </c>
      <c r="G997" s="34">
        <f t="shared" si="88"/>
        <v>0</v>
      </c>
      <c r="H997" s="33">
        <f t="shared" si="85"/>
        <v>51</v>
      </c>
      <c r="I997" s="32">
        <f t="shared" si="85"/>
        <v>665.8</v>
      </c>
      <c r="J997" s="33">
        <f>VLOOKUP(A997,[3]v_03_23!F:I,3,FALSE)</f>
        <v>14</v>
      </c>
      <c r="K997" s="32">
        <f>VLOOKUP(A997,[3]v_03_23!F:I,4,FALSE)</f>
        <v>220.36</v>
      </c>
      <c r="L997" s="31">
        <f t="shared" si="86"/>
        <v>37</v>
      </c>
      <c r="M997" s="31">
        <f t="shared" si="86"/>
        <v>445.43999999999994</v>
      </c>
      <c r="N997" s="35">
        <f t="shared" si="87"/>
        <v>2.0214194953712106</v>
      </c>
    </row>
    <row r="998" spans="1:14" x14ac:dyDescent="0.25">
      <c r="A998" s="31" t="s">
        <v>570</v>
      </c>
      <c r="B998" s="32" t="s">
        <v>569</v>
      </c>
      <c r="C998" s="33">
        <v>0</v>
      </c>
      <c r="D998" s="32">
        <v>0</v>
      </c>
      <c r="E998" s="33">
        <v>0</v>
      </c>
      <c r="F998" s="32">
        <v>0</v>
      </c>
      <c r="G998" s="34"/>
      <c r="H998" s="33">
        <f t="shared" si="85"/>
        <v>0</v>
      </c>
      <c r="I998" s="32">
        <f t="shared" si="85"/>
        <v>0</v>
      </c>
      <c r="J998" s="33">
        <v>0</v>
      </c>
      <c r="K998" s="32">
        <v>0</v>
      </c>
      <c r="L998" s="31">
        <f t="shared" si="86"/>
        <v>0</v>
      </c>
      <c r="M998" s="31">
        <f t="shared" si="86"/>
        <v>0</v>
      </c>
      <c r="N998" s="35"/>
    </row>
    <row r="999" spans="1:14" x14ac:dyDescent="0.25">
      <c r="A999" s="31" t="s">
        <v>688</v>
      </c>
      <c r="B999" s="32" t="s">
        <v>689</v>
      </c>
      <c r="C999" s="33">
        <v>0</v>
      </c>
      <c r="D999" s="32">
        <v>0</v>
      </c>
      <c r="E999" s="33">
        <v>0</v>
      </c>
      <c r="F999" s="32">
        <v>0</v>
      </c>
      <c r="G999" s="34"/>
      <c r="H999" s="33">
        <f t="shared" si="85"/>
        <v>0</v>
      </c>
      <c r="I999" s="32">
        <f t="shared" si="85"/>
        <v>0</v>
      </c>
      <c r="J999" s="33">
        <v>0</v>
      </c>
      <c r="K999" s="32">
        <v>0</v>
      </c>
      <c r="L999" s="31">
        <f t="shared" si="86"/>
        <v>0</v>
      </c>
      <c r="M999" s="31">
        <f t="shared" si="86"/>
        <v>0</v>
      </c>
      <c r="N999" s="35"/>
    </row>
    <row r="1000" spans="1:14" x14ac:dyDescent="0.25">
      <c r="A1000" s="31" t="s">
        <v>574</v>
      </c>
      <c r="B1000" s="32" t="s">
        <v>575</v>
      </c>
      <c r="C1000" s="33">
        <v>0</v>
      </c>
      <c r="D1000" s="32">
        <v>0</v>
      </c>
      <c r="E1000" s="33">
        <f>VLOOKUP(A1000,[3]s_03_24!E:G,2,FALSE)</f>
        <v>72</v>
      </c>
      <c r="F1000" s="32">
        <f>VLOOKUP(A1000,[3]s_03_24!E:G,3,FALSE)</f>
        <v>2152.8000000000029</v>
      </c>
      <c r="G1000" s="34">
        <f t="shared" si="88"/>
        <v>1</v>
      </c>
      <c r="H1000" s="33">
        <f t="shared" si="85"/>
        <v>72</v>
      </c>
      <c r="I1000" s="32">
        <f t="shared" si="85"/>
        <v>2152.8000000000029</v>
      </c>
      <c r="J1000" s="33">
        <f>VLOOKUP(A1000,[3]v_03_23!F:I,3,FALSE)</f>
        <v>74</v>
      </c>
      <c r="K1000" s="32">
        <f>VLOOKUP(A1000,[3]v_03_23!F:I,4,FALSE)</f>
        <v>1574.07</v>
      </c>
      <c r="L1000" s="31">
        <f t="shared" si="86"/>
        <v>-2</v>
      </c>
      <c r="M1000" s="31">
        <f t="shared" si="86"/>
        <v>578.73000000000297</v>
      </c>
      <c r="N1000" s="35">
        <f t="shared" si="87"/>
        <v>0.36766471630867942</v>
      </c>
    </row>
    <row r="1001" spans="1:14" x14ac:dyDescent="0.25">
      <c r="A1001" s="31" t="s">
        <v>576</v>
      </c>
      <c r="B1001" s="32" t="s">
        <v>577</v>
      </c>
      <c r="C1001" s="33">
        <v>0</v>
      </c>
      <c r="D1001" s="32">
        <v>0</v>
      </c>
      <c r="E1001" s="33">
        <v>0</v>
      </c>
      <c r="F1001" s="32">
        <v>0</v>
      </c>
      <c r="G1001" s="34"/>
      <c r="H1001" s="33">
        <f t="shared" si="85"/>
        <v>0</v>
      </c>
      <c r="I1001" s="32">
        <f t="shared" si="85"/>
        <v>0</v>
      </c>
      <c r="J1001" s="33">
        <v>0</v>
      </c>
      <c r="K1001" s="32">
        <v>0</v>
      </c>
      <c r="L1001" s="31">
        <f t="shared" si="86"/>
        <v>0</v>
      </c>
      <c r="M1001" s="31">
        <f t="shared" si="86"/>
        <v>0</v>
      </c>
      <c r="N1001" s="35"/>
    </row>
    <row r="1002" spans="1:14" x14ac:dyDescent="0.25">
      <c r="A1002" s="31" t="s">
        <v>578</v>
      </c>
      <c r="B1002" s="32" t="s">
        <v>579</v>
      </c>
      <c r="C1002" s="33">
        <v>0</v>
      </c>
      <c r="D1002" s="32">
        <v>0</v>
      </c>
      <c r="E1002" s="33">
        <v>0</v>
      </c>
      <c r="F1002" s="32">
        <v>0</v>
      </c>
      <c r="G1002" s="34"/>
      <c r="H1002" s="33">
        <f t="shared" si="85"/>
        <v>0</v>
      </c>
      <c r="I1002" s="32">
        <f t="shared" si="85"/>
        <v>0</v>
      </c>
      <c r="J1002" s="33">
        <f>VLOOKUP(A1002,[3]v_03_23!F:I,3,FALSE)</f>
        <v>6</v>
      </c>
      <c r="K1002" s="32">
        <f>VLOOKUP(A1002,[3]v_03_23!F:I,4,FALSE)</f>
        <v>112.46</v>
      </c>
      <c r="L1002" s="31">
        <f t="shared" si="86"/>
        <v>-6</v>
      </c>
      <c r="M1002" s="31">
        <f t="shared" si="86"/>
        <v>-112.46</v>
      </c>
      <c r="N1002" s="35">
        <f t="shared" si="87"/>
        <v>-1</v>
      </c>
    </row>
    <row r="1003" spans="1:14" x14ac:dyDescent="0.25">
      <c r="A1003" s="31" t="s">
        <v>580</v>
      </c>
      <c r="B1003" s="32" t="s">
        <v>581</v>
      </c>
      <c r="C1003" s="33">
        <v>0</v>
      </c>
      <c r="D1003" s="32">
        <v>0</v>
      </c>
      <c r="E1003" s="33">
        <v>0</v>
      </c>
      <c r="F1003" s="32">
        <v>0</v>
      </c>
      <c r="G1003" s="34"/>
      <c r="H1003" s="33">
        <f t="shared" si="85"/>
        <v>0</v>
      </c>
      <c r="I1003" s="32">
        <f t="shared" si="85"/>
        <v>0</v>
      </c>
      <c r="J1003" s="33">
        <f>VLOOKUP(A1003,[3]v_03_23!F:I,3,FALSE)</f>
        <v>1</v>
      </c>
      <c r="K1003" s="32">
        <f>VLOOKUP(A1003,[3]v_03_23!F:I,4,FALSE)</f>
        <v>10.57</v>
      </c>
      <c r="L1003" s="31">
        <f t="shared" si="86"/>
        <v>-1</v>
      </c>
      <c r="M1003" s="31">
        <f t="shared" si="86"/>
        <v>-10.57</v>
      </c>
      <c r="N1003" s="35">
        <f t="shared" si="87"/>
        <v>-1</v>
      </c>
    </row>
    <row r="1004" spans="1:14" x14ac:dyDescent="0.25">
      <c r="A1004" s="31" t="s">
        <v>582</v>
      </c>
      <c r="B1004" s="32" t="s">
        <v>583</v>
      </c>
      <c r="C1004" s="33">
        <v>0</v>
      </c>
      <c r="D1004" s="32">
        <v>0</v>
      </c>
      <c r="E1004" s="33">
        <v>0</v>
      </c>
      <c r="F1004" s="32">
        <v>0</v>
      </c>
      <c r="G1004" s="34"/>
      <c r="H1004" s="33">
        <f t="shared" si="85"/>
        <v>0</v>
      </c>
      <c r="I1004" s="32">
        <f t="shared" si="85"/>
        <v>0</v>
      </c>
      <c r="J1004" s="33">
        <v>0</v>
      </c>
      <c r="K1004" s="32">
        <v>0</v>
      </c>
      <c r="L1004" s="31">
        <f t="shared" si="86"/>
        <v>0</v>
      </c>
      <c r="M1004" s="31">
        <f t="shared" si="86"/>
        <v>0</v>
      </c>
      <c r="N1004" s="35"/>
    </row>
    <row r="1005" spans="1:14" x14ac:dyDescent="0.25">
      <c r="A1005" s="31" t="s">
        <v>588</v>
      </c>
      <c r="B1005" s="32" t="s">
        <v>589</v>
      </c>
      <c r="C1005" s="33">
        <v>0</v>
      </c>
      <c r="D1005" s="32">
        <v>0</v>
      </c>
      <c r="E1005" s="33">
        <v>0</v>
      </c>
      <c r="F1005" s="32">
        <v>0</v>
      </c>
      <c r="G1005" s="34"/>
      <c r="H1005" s="33">
        <f t="shared" si="85"/>
        <v>0</v>
      </c>
      <c r="I1005" s="32">
        <f t="shared" si="85"/>
        <v>0</v>
      </c>
      <c r="J1005" s="33">
        <f>VLOOKUP(A1005,[3]v_03_23!F:I,3,FALSE)</f>
        <v>34</v>
      </c>
      <c r="K1005" s="32">
        <f>VLOOKUP(A1005,[3]v_03_23!F:I,4,FALSE)</f>
        <v>192.44</v>
      </c>
      <c r="L1005" s="31">
        <f t="shared" si="86"/>
        <v>-34</v>
      </c>
      <c r="M1005" s="31">
        <f t="shared" si="86"/>
        <v>-192.44</v>
      </c>
      <c r="N1005" s="35">
        <f t="shared" si="87"/>
        <v>-1</v>
      </c>
    </row>
    <row r="1006" spans="1:14" x14ac:dyDescent="0.25">
      <c r="A1006" s="31" t="s">
        <v>810</v>
      </c>
      <c r="B1006" s="32" t="s">
        <v>811</v>
      </c>
      <c r="C1006" s="33">
        <v>0</v>
      </c>
      <c r="D1006" s="32">
        <v>0</v>
      </c>
      <c r="E1006" s="33">
        <v>0</v>
      </c>
      <c r="F1006" s="32">
        <v>0</v>
      </c>
      <c r="G1006" s="34"/>
      <c r="H1006" s="33">
        <f t="shared" si="85"/>
        <v>0</v>
      </c>
      <c r="I1006" s="32">
        <f t="shared" si="85"/>
        <v>0</v>
      </c>
      <c r="J1006" s="33">
        <v>0</v>
      </c>
      <c r="K1006" s="32">
        <v>0</v>
      </c>
      <c r="L1006" s="31">
        <f t="shared" si="86"/>
        <v>0</v>
      </c>
      <c r="M1006" s="31">
        <f t="shared" si="86"/>
        <v>0</v>
      </c>
      <c r="N1006" s="35"/>
    </row>
    <row r="1007" spans="1:14" x14ac:dyDescent="0.25">
      <c r="A1007" s="31" t="s">
        <v>749</v>
      </c>
      <c r="B1007" s="32" t="s">
        <v>750</v>
      </c>
      <c r="C1007" s="33">
        <v>0</v>
      </c>
      <c r="D1007" s="32">
        <v>0</v>
      </c>
      <c r="E1007" s="33">
        <v>0</v>
      </c>
      <c r="F1007" s="32">
        <v>0</v>
      </c>
      <c r="G1007" s="34"/>
      <c r="H1007" s="33">
        <f t="shared" si="85"/>
        <v>0</v>
      </c>
      <c r="I1007" s="32">
        <f t="shared" si="85"/>
        <v>0</v>
      </c>
      <c r="J1007" s="33">
        <f>VLOOKUP(A1007,[3]v_03_23!F:I,3,FALSE)</f>
        <v>1</v>
      </c>
      <c r="K1007" s="32">
        <f>VLOOKUP(A1007,[3]v_03_23!F:I,4,FALSE)</f>
        <v>14.2</v>
      </c>
      <c r="L1007" s="31">
        <f t="shared" si="86"/>
        <v>-1</v>
      </c>
      <c r="M1007" s="31">
        <f t="shared" si="86"/>
        <v>-14.2</v>
      </c>
      <c r="N1007" s="35">
        <f t="shared" si="87"/>
        <v>-1</v>
      </c>
    </row>
    <row r="1008" spans="1:14" x14ac:dyDescent="0.25">
      <c r="A1008" s="31" t="s">
        <v>812</v>
      </c>
      <c r="B1008" s="32" t="s">
        <v>813</v>
      </c>
      <c r="C1008" s="33">
        <v>0</v>
      </c>
      <c r="D1008" s="32">
        <v>0</v>
      </c>
      <c r="E1008" s="33">
        <v>0</v>
      </c>
      <c r="F1008" s="32">
        <v>0</v>
      </c>
      <c r="G1008" s="34"/>
      <c r="H1008" s="33">
        <f t="shared" si="85"/>
        <v>0</v>
      </c>
      <c r="I1008" s="32">
        <f t="shared" si="85"/>
        <v>0</v>
      </c>
      <c r="J1008" s="33">
        <v>0</v>
      </c>
      <c r="K1008" s="32">
        <v>0</v>
      </c>
      <c r="L1008" s="31">
        <f t="shared" si="86"/>
        <v>0</v>
      </c>
      <c r="M1008" s="31">
        <f t="shared" si="86"/>
        <v>0</v>
      </c>
      <c r="N1008" s="35"/>
    </row>
    <row r="1009" spans="1:14" x14ac:dyDescent="0.25">
      <c r="A1009" s="31" t="s">
        <v>751</v>
      </c>
      <c r="B1009" s="32" t="s">
        <v>752</v>
      </c>
      <c r="C1009" s="33">
        <v>0</v>
      </c>
      <c r="D1009" s="32">
        <v>0</v>
      </c>
      <c r="E1009" s="33">
        <v>0</v>
      </c>
      <c r="F1009" s="32">
        <v>0</v>
      </c>
      <c r="G1009" s="34"/>
      <c r="H1009" s="33">
        <f t="shared" si="85"/>
        <v>0</v>
      </c>
      <c r="I1009" s="32">
        <f t="shared" si="85"/>
        <v>0</v>
      </c>
      <c r="J1009" s="33">
        <v>0</v>
      </c>
      <c r="K1009" s="32">
        <v>0</v>
      </c>
      <c r="L1009" s="31">
        <f t="shared" si="86"/>
        <v>0</v>
      </c>
      <c r="M1009" s="31">
        <f t="shared" si="86"/>
        <v>0</v>
      </c>
      <c r="N1009" s="35"/>
    </row>
    <row r="1010" spans="1:14" x14ac:dyDescent="0.25">
      <c r="A1010" s="31" t="s">
        <v>596</v>
      </c>
      <c r="B1010" s="32" t="s">
        <v>597</v>
      </c>
      <c r="C1010" s="33">
        <v>0</v>
      </c>
      <c r="D1010" s="32">
        <v>0</v>
      </c>
      <c r="E1010" s="33">
        <v>0</v>
      </c>
      <c r="F1010" s="32">
        <v>0</v>
      </c>
      <c r="G1010" s="34"/>
      <c r="H1010" s="33">
        <f t="shared" si="85"/>
        <v>0</v>
      </c>
      <c r="I1010" s="32">
        <f t="shared" si="85"/>
        <v>0</v>
      </c>
      <c r="J1010" s="33">
        <f>VLOOKUP(A1010,[3]v_03_23!F:I,3,FALSE)</f>
        <v>1</v>
      </c>
      <c r="K1010" s="32">
        <f>VLOOKUP(A1010,[3]v_03_23!F:I,4,FALSE)</f>
        <v>11.65</v>
      </c>
      <c r="L1010" s="31">
        <f t="shared" si="86"/>
        <v>-1</v>
      </c>
      <c r="M1010" s="31">
        <f t="shared" si="86"/>
        <v>-11.65</v>
      </c>
      <c r="N1010" s="35">
        <f t="shared" si="87"/>
        <v>-1</v>
      </c>
    </row>
    <row r="1011" spans="1:14" x14ac:dyDescent="0.25">
      <c r="A1011" s="31" t="s">
        <v>598</v>
      </c>
      <c r="B1011" s="32" t="s">
        <v>599</v>
      </c>
      <c r="C1011" s="33">
        <v>0</v>
      </c>
      <c r="D1011" s="32">
        <v>0</v>
      </c>
      <c r="E1011" s="33">
        <v>0</v>
      </c>
      <c r="F1011" s="32">
        <v>0</v>
      </c>
      <c r="G1011" s="34"/>
      <c r="H1011" s="33">
        <f t="shared" si="85"/>
        <v>0</v>
      </c>
      <c r="I1011" s="32">
        <f t="shared" si="85"/>
        <v>0</v>
      </c>
      <c r="J1011" s="33">
        <f>VLOOKUP(A1011,[3]v_03_23!F:I,3,FALSE)</f>
        <v>0</v>
      </c>
      <c r="K1011" s="32">
        <f>VLOOKUP(A1011,[3]v_03_23!F:I,4,FALSE)</f>
        <v>0</v>
      </c>
      <c r="L1011" s="31">
        <f t="shared" si="86"/>
        <v>0</v>
      </c>
      <c r="M1011" s="31">
        <f t="shared" si="86"/>
        <v>0</v>
      </c>
      <c r="N1011" s="35"/>
    </row>
    <row r="1012" spans="1:14" x14ac:dyDescent="0.25">
      <c r="A1012" s="31" t="s">
        <v>600</v>
      </c>
      <c r="B1012" s="32" t="s">
        <v>601</v>
      </c>
      <c r="C1012" s="33">
        <v>0</v>
      </c>
      <c r="D1012" s="32">
        <v>0</v>
      </c>
      <c r="E1012" s="33">
        <v>0</v>
      </c>
      <c r="F1012" s="32">
        <v>0</v>
      </c>
      <c r="G1012" s="34"/>
      <c r="H1012" s="33">
        <f t="shared" si="85"/>
        <v>0</v>
      </c>
      <c r="I1012" s="32">
        <f t="shared" si="85"/>
        <v>0</v>
      </c>
      <c r="J1012" s="33">
        <v>0</v>
      </c>
      <c r="K1012" s="32">
        <v>0</v>
      </c>
      <c r="L1012" s="31">
        <f t="shared" si="86"/>
        <v>0</v>
      </c>
      <c r="M1012" s="31">
        <f t="shared" si="86"/>
        <v>0</v>
      </c>
      <c r="N1012" s="35"/>
    </row>
    <row r="1013" spans="1:14" x14ac:dyDescent="0.25">
      <c r="A1013" s="31" t="s">
        <v>610</v>
      </c>
      <c r="B1013" s="32" t="s">
        <v>611</v>
      </c>
      <c r="C1013" s="33">
        <v>0</v>
      </c>
      <c r="D1013" s="32">
        <v>0</v>
      </c>
      <c r="E1013" s="33">
        <v>0</v>
      </c>
      <c r="F1013" s="32">
        <v>0</v>
      </c>
      <c r="G1013" s="34"/>
      <c r="H1013" s="33">
        <f t="shared" si="85"/>
        <v>0</v>
      </c>
      <c r="I1013" s="32">
        <f t="shared" si="85"/>
        <v>0</v>
      </c>
      <c r="J1013" s="33">
        <f>VLOOKUP(A1013,[3]v_03_23!F:I,3,FALSE)</f>
        <v>4</v>
      </c>
      <c r="K1013" s="32">
        <f>VLOOKUP(A1013,[3]v_03_23!F:I,4,FALSE)</f>
        <v>35.72</v>
      </c>
      <c r="L1013" s="31">
        <f t="shared" si="86"/>
        <v>-4</v>
      </c>
      <c r="M1013" s="31">
        <f t="shared" si="86"/>
        <v>-35.72</v>
      </c>
      <c r="N1013" s="35">
        <f t="shared" si="87"/>
        <v>-1</v>
      </c>
    </row>
    <row r="1014" spans="1:14" x14ac:dyDescent="0.25">
      <c r="A1014" s="31" t="s">
        <v>612</v>
      </c>
      <c r="B1014" s="32" t="s">
        <v>613</v>
      </c>
      <c r="C1014" s="33">
        <v>0</v>
      </c>
      <c r="D1014" s="32">
        <v>0</v>
      </c>
      <c r="E1014" s="33">
        <v>0</v>
      </c>
      <c r="F1014" s="32">
        <v>0</v>
      </c>
      <c r="G1014" s="34"/>
      <c r="H1014" s="33">
        <f t="shared" si="85"/>
        <v>0</v>
      </c>
      <c r="I1014" s="32">
        <f t="shared" si="85"/>
        <v>0</v>
      </c>
      <c r="J1014" s="33">
        <f>VLOOKUP(A1014,[3]v_03_23!F:I,3,FALSE)</f>
        <v>2</v>
      </c>
      <c r="K1014" s="32">
        <f>VLOOKUP(A1014,[3]v_03_23!F:I,4,FALSE)</f>
        <v>50.78</v>
      </c>
      <c r="L1014" s="31">
        <f t="shared" si="86"/>
        <v>-2</v>
      </c>
      <c r="M1014" s="31">
        <f t="shared" si="86"/>
        <v>-50.78</v>
      </c>
      <c r="N1014" s="35">
        <f t="shared" si="87"/>
        <v>-1</v>
      </c>
    </row>
    <row r="1015" spans="1:14" x14ac:dyDescent="0.25">
      <c r="A1015" s="31" t="s">
        <v>618</v>
      </c>
      <c r="B1015" s="32" t="s">
        <v>619</v>
      </c>
      <c r="C1015" s="33">
        <v>0</v>
      </c>
      <c r="D1015" s="32">
        <v>0</v>
      </c>
      <c r="E1015" s="33">
        <v>0</v>
      </c>
      <c r="F1015" s="32">
        <v>0</v>
      </c>
      <c r="G1015" s="34"/>
      <c r="H1015" s="33">
        <f t="shared" si="85"/>
        <v>0</v>
      </c>
      <c r="I1015" s="32">
        <f t="shared" si="85"/>
        <v>0</v>
      </c>
      <c r="J1015" s="33">
        <v>0</v>
      </c>
      <c r="K1015" s="32">
        <v>0</v>
      </c>
      <c r="L1015" s="31">
        <f t="shared" si="86"/>
        <v>0</v>
      </c>
      <c r="M1015" s="31">
        <f t="shared" si="86"/>
        <v>0</v>
      </c>
      <c r="N1015" s="35"/>
    </row>
    <row r="1016" spans="1:14" x14ac:dyDescent="0.25">
      <c r="A1016" s="31" t="s">
        <v>622</v>
      </c>
      <c r="B1016" s="32" t="s">
        <v>623</v>
      </c>
      <c r="C1016" s="33">
        <v>0</v>
      </c>
      <c r="D1016" s="32">
        <v>0</v>
      </c>
      <c r="E1016" s="33">
        <v>0</v>
      </c>
      <c r="F1016" s="32">
        <v>0</v>
      </c>
      <c r="G1016" s="34"/>
      <c r="H1016" s="33">
        <f t="shared" si="85"/>
        <v>0</v>
      </c>
      <c r="I1016" s="32">
        <f t="shared" si="85"/>
        <v>0</v>
      </c>
      <c r="J1016" s="33">
        <v>0</v>
      </c>
      <c r="K1016" s="32">
        <v>0</v>
      </c>
      <c r="L1016" s="31">
        <f t="shared" si="86"/>
        <v>0</v>
      </c>
      <c r="M1016" s="31">
        <f t="shared" si="86"/>
        <v>0</v>
      </c>
      <c r="N1016" s="35"/>
    </row>
    <row r="1017" spans="1:14" x14ac:dyDescent="0.25">
      <c r="A1017" s="31" t="s">
        <v>624</v>
      </c>
      <c r="B1017" s="32" t="s">
        <v>625</v>
      </c>
      <c r="C1017" s="33">
        <v>0</v>
      </c>
      <c r="D1017" s="32">
        <v>0</v>
      </c>
      <c r="E1017" s="33">
        <v>0</v>
      </c>
      <c r="F1017" s="32">
        <v>0</v>
      </c>
      <c r="G1017" s="34"/>
      <c r="H1017" s="33">
        <f t="shared" si="85"/>
        <v>0</v>
      </c>
      <c r="I1017" s="32">
        <f t="shared" si="85"/>
        <v>0</v>
      </c>
      <c r="J1017" s="33">
        <f>VLOOKUP(A1017,[3]v_03_23!F:I,3,FALSE)</f>
        <v>4</v>
      </c>
      <c r="K1017" s="32">
        <f>VLOOKUP(A1017,[3]v_03_23!F:I,4,FALSE)</f>
        <v>62.28</v>
      </c>
      <c r="L1017" s="31">
        <f t="shared" si="86"/>
        <v>-4</v>
      </c>
      <c r="M1017" s="31">
        <f t="shared" si="86"/>
        <v>-62.28</v>
      </c>
      <c r="N1017" s="35">
        <f t="shared" si="87"/>
        <v>-1</v>
      </c>
    </row>
    <row r="1018" spans="1:14" x14ac:dyDescent="0.25">
      <c r="A1018" s="31" t="s">
        <v>626</v>
      </c>
      <c r="B1018" s="32" t="s">
        <v>627</v>
      </c>
      <c r="C1018" s="33">
        <v>0</v>
      </c>
      <c r="D1018" s="32">
        <v>0</v>
      </c>
      <c r="E1018" s="33">
        <v>0</v>
      </c>
      <c r="F1018" s="32">
        <v>0</v>
      </c>
      <c r="G1018" s="34"/>
      <c r="H1018" s="33">
        <f t="shared" si="85"/>
        <v>0</v>
      </c>
      <c r="I1018" s="32">
        <f t="shared" si="85"/>
        <v>0</v>
      </c>
      <c r="J1018" s="33">
        <f>VLOOKUP(A1018,[3]v_03_23!F:I,3,FALSE)</f>
        <v>4</v>
      </c>
      <c r="K1018" s="32">
        <f>VLOOKUP(A1018,[3]v_03_23!F:I,4,FALSE)</f>
        <v>39.020000000000003</v>
      </c>
      <c r="L1018" s="31">
        <f t="shared" si="86"/>
        <v>-4</v>
      </c>
      <c r="M1018" s="31">
        <f t="shared" si="86"/>
        <v>-39.020000000000003</v>
      </c>
      <c r="N1018" s="35">
        <f t="shared" si="87"/>
        <v>-1</v>
      </c>
    </row>
    <row r="1019" spans="1:14" x14ac:dyDescent="0.25">
      <c r="A1019" s="31" t="s">
        <v>628</v>
      </c>
      <c r="B1019" s="32" t="s">
        <v>629</v>
      </c>
      <c r="C1019" s="33">
        <v>0</v>
      </c>
      <c r="D1019" s="32">
        <v>0</v>
      </c>
      <c r="E1019" s="33">
        <v>0</v>
      </c>
      <c r="F1019" s="32">
        <v>0</v>
      </c>
      <c r="G1019" s="34"/>
      <c r="H1019" s="33">
        <f t="shared" si="85"/>
        <v>0</v>
      </c>
      <c r="I1019" s="32">
        <f t="shared" si="85"/>
        <v>0</v>
      </c>
      <c r="J1019" s="33">
        <v>0</v>
      </c>
      <c r="K1019" s="32">
        <v>0</v>
      </c>
      <c r="L1019" s="31">
        <f t="shared" si="86"/>
        <v>0</v>
      </c>
      <c r="M1019" s="31">
        <f t="shared" si="86"/>
        <v>0</v>
      </c>
      <c r="N1019" s="35"/>
    </row>
    <row r="1020" spans="1:14" x14ac:dyDescent="0.25">
      <c r="A1020" s="31" t="s">
        <v>636</v>
      </c>
      <c r="B1020" s="32" t="s">
        <v>637</v>
      </c>
      <c r="C1020" s="33">
        <v>0</v>
      </c>
      <c r="D1020" s="32">
        <v>0</v>
      </c>
      <c r="E1020" s="33">
        <v>0</v>
      </c>
      <c r="F1020" s="32">
        <v>0</v>
      </c>
      <c r="G1020" s="34"/>
      <c r="H1020" s="33">
        <f t="shared" si="85"/>
        <v>0</v>
      </c>
      <c r="I1020" s="32">
        <f t="shared" si="85"/>
        <v>0</v>
      </c>
      <c r="J1020" s="33">
        <f>VLOOKUP(A1020,[3]v_03_23!F:I,3,FALSE)</f>
        <v>12</v>
      </c>
      <c r="K1020" s="32">
        <f>VLOOKUP(A1020,[3]v_03_23!F:I,4,FALSE)</f>
        <v>1182.82</v>
      </c>
      <c r="L1020" s="31">
        <f t="shared" si="86"/>
        <v>-12</v>
      </c>
      <c r="M1020" s="31">
        <f t="shared" si="86"/>
        <v>-1182.82</v>
      </c>
      <c r="N1020" s="35">
        <f t="shared" si="87"/>
        <v>-1</v>
      </c>
    </row>
    <row r="1021" spans="1:14" x14ac:dyDescent="0.25">
      <c r="A1021" s="31" t="s">
        <v>638</v>
      </c>
      <c r="B1021" s="32" t="s">
        <v>639</v>
      </c>
      <c r="C1021" s="33">
        <v>0</v>
      </c>
      <c r="D1021" s="32">
        <v>0</v>
      </c>
      <c r="E1021" s="33">
        <v>0</v>
      </c>
      <c r="F1021" s="32">
        <v>0</v>
      </c>
      <c r="G1021" s="34"/>
      <c r="H1021" s="33">
        <f t="shared" si="85"/>
        <v>0</v>
      </c>
      <c r="I1021" s="32">
        <f t="shared" si="85"/>
        <v>0</v>
      </c>
      <c r="J1021" s="33">
        <f>VLOOKUP(A1021,[3]v_03_23!F:I,3,FALSE)</f>
        <v>1</v>
      </c>
      <c r="K1021" s="32">
        <f>VLOOKUP(A1021,[3]v_03_23!F:I,4,FALSE)</f>
        <v>19.34</v>
      </c>
      <c r="L1021" s="31">
        <f t="shared" si="86"/>
        <v>-1</v>
      </c>
      <c r="M1021" s="31">
        <f t="shared" si="86"/>
        <v>-19.34</v>
      </c>
      <c r="N1021" s="35">
        <f t="shared" si="87"/>
        <v>-1</v>
      </c>
    </row>
    <row r="1022" spans="1:14" x14ac:dyDescent="0.25">
      <c r="A1022" s="31" t="s">
        <v>644</v>
      </c>
      <c r="B1022" s="32" t="s">
        <v>645</v>
      </c>
      <c r="C1022" s="33">
        <v>0</v>
      </c>
      <c r="D1022" s="32">
        <v>0</v>
      </c>
      <c r="E1022" s="33">
        <v>0</v>
      </c>
      <c r="F1022" s="32">
        <v>0</v>
      </c>
      <c r="G1022" s="34"/>
      <c r="H1022" s="33">
        <f t="shared" si="85"/>
        <v>0</v>
      </c>
      <c r="I1022" s="32">
        <f t="shared" si="85"/>
        <v>0</v>
      </c>
      <c r="J1022" s="33">
        <f>VLOOKUP(A1022,[3]v_03_23!F:I,3,FALSE)</f>
        <v>4</v>
      </c>
      <c r="K1022" s="32">
        <f>VLOOKUP(A1022,[3]v_03_23!F:I,4,FALSE)</f>
        <v>20.48</v>
      </c>
      <c r="L1022" s="31">
        <f t="shared" si="86"/>
        <v>-4</v>
      </c>
      <c r="M1022" s="31">
        <f t="shared" si="86"/>
        <v>-20.48</v>
      </c>
      <c r="N1022" s="35">
        <f t="shared" si="87"/>
        <v>-1</v>
      </c>
    </row>
    <row r="1023" spans="1:14" x14ac:dyDescent="0.25">
      <c r="A1023" s="31" t="s">
        <v>646</v>
      </c>
      <c r="B1023" s="32" t="s">
        <v>647</v>
      </c>
      <c r="C1023" s="33">
        <v>0</v>
      </c>
      <c r="D1023" s="32">
        <v>0</v>
      </c>
      <c r="E1023" s="33">
        <v>0</v>
      </c>
      <c r="F1023" s="32">
        <v>0</v>
      </c>
      <c r="G1023" s="34"/>
      <c r="H1023" s="33">
        <f t="shared" si="85"/>
        <v>0</v>
      </c>
      <c r="I1023" s="32">
        <f t="shared" si="85"/>
        <v>0</v>
      </c>
      <c r="J1023" s="33">
        <f>VLOOKUP(A1023,[3]v_03_23!F:I,3,FALSE)</f>
        <v>-2</v>
      </c>
      <c r="K1023" s="32">
        <f>VLOOKUP(A1023,[3]v_03_23!F:I,4,FALSE)</f>
        <v>-129.22</v>
      </c>
      <c r="L1023" s="31">
        <f t="shared" si="86"/>
        <v>2</v>
      </c>
      <c r="M1023" s="31">
        <f t="shared" si="86"/>
        <v>129.22</v>
      </c>
      <c r="N1023" s="35">
        <f t="shared" si="87"/>
        <v>-1</v>
      </c>
    </row>
    <row r="1024" spans="1:14" x14ac:dyDescent="0.25">
      <c r="A1024" s="31" t="s">
        <v>648</v>
      </c>
      <c r="B1024" s="32" t="s">
        <v>649</v>
      </c>
      <c r="C1024" s="33">
        <v>0</v>
      </c>
      <c r="D1024" s="32">
        <v>0</v>
      </c>
      <c r="E1024" s="33">
        <v>0</v>
      </c>
      <c r="F1024" s="32">
        <v>0</v>
      </c>
      <c r="G1024" s="34"/>
      <c r="H1024" s="33">
        <f t="shared" si="85"/>
        <v>0</v>
      </c>
      <c r="I1024" s="32">
        <f t="shared" si="85"/>
        <v>0</v>
      </c>
      <c r="J1024" s="33">
        <f>VLOOKUP(A1024,[3]v_03_23!F:I,3,FALSE)</f>
        <v>-1</v>
      </c>
      <c r="K1024" s="32">
        <f>VLOOKUP(A1024,[3]v_03_23!F:I,4,FALSE)</f>
        <v>-8.11</v>
      </c>
      <c r="L1024" s="31">
        <f t="shared" si="86"/>
        <v>1</v>
      </c>
      <c r="M1024" s="31">
        <f t="shared" si="86"/>
        <v>8.11</v>
      </c>
      <c r="N1024" s="35">
        <f t="shared" si="87"/>
        <v>-1</v>
      </c>
    </row>
    <row r="1025" spans="1:14" x14ac:dyDescent="0.25">
      <c r="A1025" s="31" t="s">
        <v>767</v>
      </c>
      <c r="B1025" s="32" t="s">
        <v>768</v>
      </c>
      <c r="C1025" s="33">
        <v>0</v>
      </c>
      <c r="D1025" s="32">
        <v>0</v>
      </c>
      <c r="E1025" s="33">
        <v>0</v>
      </c>
      <c r="F1025" s="32">
        <v>0</v>
      </c>
      <c r="G1025" s="34"/>
      <c r="H1025" s="33">
        <f t="shared" si="85"/>
        <v>0</v>
      </c>
      <c r="I1025" s="32">
        <f t="shared" si="85"/>
        <v>0</v>
      </c>
      <c r="J1025" s="33">
        <v>0</v>
      </c>
      <c r="K1025" s="32">
        <v>0</v>
      </c>
      <c r="L1025" s="31">
        <f t="shared" si="86"/>
        <v>0</v>
      </c>
      <c r="M1025" s="31">
        <f t="shared" si="86"/>
        <v>0</v>
      </c>
      <c r="N1025" s="35"/>
    </row>
    <row r="1026" spans="1:14" x14ac:dyDescent="0.25">
      <c r="A1026" s="31" t="s">
        <v>652</v>
      </c>
      <c r="B1026" s="32" t="s">
        <v>653</v>
      </c>
      <c r="C1026" s="33">
        <v>0</v>
      </c>
      <c r="D1026" s="32">
        <v>0</v>
      </c>
      <c r="E1026" s="33">
        <v>0</v>
      </c>
      <c r="F1026" s="32">
        <v>0</v>
      </c>
      <c r="G1026" s="34"/>
      <c r="H1026" s="33">
        <f t="shared" si="85"/>
        <v>0</v>
      </c>
      <c r="I1026" s="32">
        <f t="shared" si="85"/>
        <v>0</v>
      </c>
      <c r="J1026" s="33">
        <f>VLOOKUP(A1026,[3]v_03_23!F:I,3,FALSE)</f>
        <v>0</v>
      </c>
      <c r="K1026" s="32">
        <f>VLOOKUP(A1026,[3]v_03_23!F:I,4,FALSE)</f>
        <v>0</v>
      </c>
      <c r="L1026" s="31">
        <f t="shared" si="86"/>
        <v>0</v>
      </c>
      <c r="M1026" s="31">
        <f t="shared" si="86"/>
        <v>0</v>
      </c>
      <c r="N1026" s="35"/>
    </row>
    <row r="1027" spans="1:14" x14ac:dyDescent="0.25">
      <c r="A1027" s="31" t="s">
        <v>656</v>
      </c>
      <c r="B1027" s="32" t="s">
        <v>657</v>
      </c>
      <c r="C1027" s="33">
        <v>0</v>
      </c>
      <c r="D1027" s="32">
        <v>0</v>
      </c>
      <c r="E1027" s="33">
        <v>0</v>
      </c>
      <c r="F1027" s="32">
        <v>0</v>
      </c>
      <c r="G1027" s="34"/>
      <c r="H1027" s="33">
        <f t="shared" si="85"/>
        <v>0</v>
      </c>
      <c r="I1027" s="32">
        <f t="shared" si="85"/>
        <v>0</v>
      </c>
      <c r="J1027" s="33">
        <v>0</v>
      </c>
      <c r="K1027" s="32">
        <v>0</v>
      </c>
      <c r="L1027" s="31">
        <f t="shared" si="86"/>
        <v>0</v>
      </c>
      <c r="M1027" s="31">
        <f t="shared" si="86"/>
        <v>0</v>
      </c>
      <c r="N1027" s="35"/>
    </row>
    <row r="1028" spans="1:14" x14ac:dyDescent="0.25">
      <c r="A1028" s="31" t="s">
        <v>658</v>
      </c>
      <c r="B1028" s="32" t="s">
        <v>659</v>
      </c>
      <c r="C1028" s="33">
        <v>0</v>
      </c>
      <c r="D1028" s="32">
        <v>0</v>
      </c>
      <c r="E1028" s="33">
        <v>0</v>
      </c>
      <c r="F1028" s="32">
        <v>0</v>
      </c>
      <c r="G1028" s="34"/>
      <c r="H1028" s="33">
        <f t="shared" si="85"/>
        <v>0</v>
      </c>
      <c r="I1028" s="32">
        <f t="shared" si="85"/>
        <v>0</v>
      </c>
      <c r="J1028" s="33">
        <v>0</v>
      </c>
      <c r="K1028" s="32">
        <v>0</v>
      </c>
      <c r="L1028" s="31">
        <f t="shared" si="86"/>
        <v>0</v>
      </c>
      <c r="M1028" s="31">
        <f t="shared" si="86"/>
        <v>0</v>
      </c>
      <c r="N1028" s="35"/>
    </row>
    <row r="1029" spans="1:14" x14ac:dyDescent="0.25">
      <c r="A1029" s="31" t="s">
        <v>660</v>
      </c>
      <c r="B1029" s="32" t="s">
        <v>661</v>
      </c>
      <c r="C1029" s="33">
        <v>0</v>
      </c>
      <c r="D1029" s="32">
        <v>0</v>
      </c>
      <c r="E1029" s="33">
        <v>0</v>
      </c>
      <c r="F1029" s="32">
        <v>0</v>
      </c>
      <c r="G1029" s="34"/>
      <c r="H1029" s="33">
        <f t="shared" si="85"/>
        <v>0</v>
      </c>
      <c r="I1029" s="32">
        <f t="shared" si="85"/>
        <v>0</v>
      </c>
      <c r="J1029" s="33">
        <f>VLOOKUP(A1029,[3]v_03_23!F:I,3,FALSE)</f>
        <v>-1</v>
      </c>
      <c r="K1029" s="32">
        <f>VLOOKUP(A1029,[3]v_03_23!F:I,4,FALSE)</f>
        <v>-65.489999999999995</v>
      </c>
      <c r="L1029" s="31">
        <f t="shared" si="86"/>
        <v>1</v>
      </c>
      <c r="M1029" s="31">
        <f t="shared" si="86"/>
        <v>65.489999999999995</v>
      </c>
      <c r="N1029" s="35">
        <f t="shared" si="87"/>
        <v>-1</v>
      </c>
    </row>
    <row r="1030" spans="1:14" x14ac:dyDescent="0.25">
      <c r="A1030" s="31" t="s">
        <v>664</v>
      </c>
      <c r="B1030" s="32" t="s">
        <v>665</v>
      </c>
      <c r="C1030" s="33">
        <v>0</v>
      </c>
      <c r="D1030" s="32">
        <v>0</v>
      </c>
      <c r="E1030" s="33">
        <v>0</v>
      </c>
      <c r="F1030" s="32">
        <v>0</v>
      </c>
      <c r="G1030" s="34"/>
      <c r="H1030" s="33">
        <f t="shared" si="85"/>
        <v>0</v>
      </c>
      <c r="I1030" s="32">
        <f t="shared" si="85"/>
        <v>0</v>
      </c>
      <c r="J1030" s="33">
        <v>0</v>
      </c>
      <c r="K1030" s="32">
        <v>0</v>
      </c>
      <c r="L1030" s="31">
        <f t="shared" si="86"/>
        <v>0</v>
      </c>
      <c r="M1030" s="31">
        <f t="shared" si="86"/>
        <v>0</v>
      </c>
      <c r="N1030" s="35"/>
    </row>
    <row r="1031" spans="1:14" x14ac:dyDescent="0.25">
      <c r="A1031" s="31" t="s">
        <v>666</v>
      </c>
      <c r="B1031" s="32" t="s">
        <v>667</v>
      </c>
      <c r="C1031" s="33">
        <v>0</v>
      </c>
      <c r="D1031" s="32">
        <v>0</v>
      </c>
      <c r="E1031" s="33">
        <v>0</v>
      </c>
      <c r="F1031" s="32">
        <v>0</v>
      </c>
      <c r="G1031" s="34"/>
      <c r="H1031" s="33">
        <f t="shared" si="85"/>
        <v>0</v>
      </c>
      <c r="I1031" s="32">
        <f t="shared" si="85"/>
        <v>0</v>
      </c>
      <c r="J1031" s="33">
        <f>VLOOKUP(A1031,[3]v_03_23!F:I,3,FALSE)</f>
        <v>0</v>
      </c>
      <c r="K1031" s="32">
        <f>VLOOKUP(A1031,[3]v_03_23!F:I,4,FALSE)</f>
        <v>0</v>
      </c>
      <c r="L1031" s="31">
        <f t="shared" si="86"/>
        <v>0</v>
      </c>
      <c r="M1031" s="31">
        <f t="shared" si="86"/>
        <v>0</v>
      </c>
      <c r="N1031" s="35"/>
    </row>
    <row r="1032" spans="1:14" x14ac:dyDescent="0.25">
      <c r="A1032" s="31" t="s">
        <v>668</v>
      </c>
      <c r="B1032" s="32" t="s">
        <v>669</v>
      </c>
      <c r="C1032" s="33">
        <v>0</v>
      </c>
      <c r="D1032" s="32">
        <v>0</v>
      </c>
      <c r="E1032" s="33">
        <v>0</v>
      </c>
      <c r="F1032" s="32">
        <v>0</v>
      </c>
      <c r="G1032" s="34"/>
      <c r="H1032" s="33">
        <f t="shared" si="85"/>
        <v>0</v>
      </c>
      <c r="I1032" s="32">
        <f t="shared" si="85"/>
        <v>0</v>
      </c>
      <c r="J1032" s="33">
        <f>VLOOKUP(A1032,[3]v_03_23!F:I,3,FALSE)</f>
        <v>3</v>
      </c>
      <c r="K1032" s="32">
        <f>VLOOKUP(A1032,[3]v_03_23!F:I,4,FALSE)</f>
        <v>58.77</v>
      </c>
      <c r="L1032" s="31">
        <f t="shared" si="86"/>
        <v>-3</v>
      </c>
      <c r="M1032" s="31">
        <f t="shared" si="86"/>
        <v>-58.77</v>
      </c>
      <c r="N1032" s="35">
        <f t="shared" si="87"/>
        <v>-1</v>
      </c>
    </row>
    <row r="1033" spans="1:14" x14ac:dyDescent="0.25">
      <c r="A1033" s="31" t="s">
        <v>670</v>
      </c>
      <c r="B1033" s="32" t="s">
        <v>671</v>
      </c>
      <c r="C1033" s="33">
        <v>0</v>
      </c>
      <c r="D1033" s="32">
        <v>0</v>
      </c>
      <c r="E1033" s="33">
        <v>0</v>
      </c>
      <c r="F1033" s="32">
        <v>0</v>
      </c>
      <c r="G1033" s="34"/>
      <c r="H1033" s="33">
        <f t="shared" si="85"/>
        <v>0</v>
      </c>
      <c r="I1033" s="32">
        <f t="shared" si="85"/>
        <v>0</v>
      </c>
      <c r="J1033" s="33">
        <v>0</v>
      </c>
      <c r="K1033" s="32">
        <v>0</v>
      </c>
      <c r="L1033" s="31">
        <f t="shared" si="86"/>
        <v>0</v>
      </c>
      <c r="M1033" s="31">
        <f t="shared" si="86"/>
        <v>0</v>
      </c>
      <c r="N1033" s="35"/>
    </row>
    <row r="1034" spans="1:14" x14ac:dyDescent="0.25">
      <c r="A1034" s="31" t="s">
        <v>672</v>
      </c>
      <c r="B1034" s="32" t="s">
        <v>673</v>
      </c>
      <c r="C1034" s="33">
        <v>0</v>
      </c>
      <c r="D1034" s="32">
        <v>0</v>
      </c>
      <c r="E1034" s="33">
        <v>0</v>
      </c>
      <c r="F1034" s="32">
        <v>0</v>
      </c>
      <c r="G1034" s="34"/>
      <c r="H1034" s="33">
        <f t="shared" si="85"/>
        <v>0</v>
      </c>
      <c r="I1034" s="32">
        <f t="shared" si="85"/>
        <v>0</v>
      </c>
      <c r="J1034" s="33">
        <f>VLOOKUP(A1034,[3]v_03_23!F:I,3,FALSE)</f>
        <v>4</v>
      </c>
      <c r="K1034" s="32">
        <f>VLOOKUP(A1034,[3]v_03_23!F:I,4,FALSE)</f>
        <v>64.92</v>
      </c>
      <c r="L1034" s="31">
        <f t="shared" si="86"/>
        <v>-4</v>
      </c>
      <c r="M1034" s="31">
        <f t="shared" si="86"/>
        <v>-64.92</v>
      </c>
      <c r="N1034" s="35">
        <f t="shared" si="87"/>
        <v>-1</v>
      </c>
    </row>
    <row r="1035" spans="1:14" x14ac:dyDescent="0.25">
      <c r="A1035" s="31" t="s">
        <v>814</v>
      </c>
      <c r="B1035" s="32" t="s">
        <v>815</v>
      </c>
      <c r="C1035" s="33">
        <v>0</v>
      </c>
      <c r="D1035" s="32">
        <v>0</v>
      </c>
      <c r="E1035" s="33">
        <v>0</v>
      </c>
      <c r="F1035" s="32">
        <v>0</v>
      </c>
      <c r="G1035" s="34"/>
      <c r="H1035" s="33">
        <f t="shared" si="85"/>
        <v>0</v>
      </c>
      <c r="I1035" s="32">
        <f t="shared" si="85"/>
        <v>0</v>
      </c>
      <c r="J1035" s="33">
        <v>0</v>
      </c>
      <c r="K1035" s="32">
        <v>0</v>
      </c>
      <c r="L1035" s="31">
        <f t="shared" si="86"/>
        <v>0</v>
      </c>
      <c r="M1035" s="31">
        <f t="shared" si="86"/>
        <v>0</v>
      </c>
      <c r="N1035" s="35"/>
    </row>
    <row r="1036" spans="1:14" x14ac:dyDescent="0.25">
      <c r="A1036" s="31" t="s">
        <v>676</v>
      </c>
      <c r="B1036" s="32" t="s">
        <v>677</v>
      </c>
      <c r="C1036" s="33">
        <v>0</v>
      </c>
      <c r="D1036" s="32">
        <v>0</v>
      </c>
      <c r="E1036" s="33">
        <v>0</v>
      </c>
      <c r="F1036" s="32">
        <v>0</v>
      </c>
      <c r="G1036" s="34"/>
      <c r="H1036" s="33">
        <f t="shared" si="85"/>
        <v>0</v>
      </c>
      <c r="I1036" s="32">
        <f t="shared" si="85"/>
        <v>0</v>
      </c>
      <c r="J1036" s="33">
        <f>VLOOKUP(A1036,[3]v_03_23!F:I,3,FALSE)</f>
        <v>4</v>
      </c>
      <c r="K1036" s="32">
        <f>VLOOKUP(A1036,[3]v_03_23!F:I,4,FALSE)</f>
        <v>37.200000000000003</v>
      </c>
      <c r="L1036" s="31">
        <f t="shared" si="86"/>
        <v>-4</v>
      </c>
      <c r="M1036" s="31">
        <f t="shared" si="86"/>
        <v>-37.200000000000003</v>
      </c>
      <c r="N1036" s="35">
        <f t="shared" si="87"/>
        <v>-1</v>
      </c>
    </row>
    <row r="1037" spans="1:14" x14ac:dyDescent="0.25">
      <c r="A1037" s="31" t="s">
        <v>678</v>
      </c>
      <c r="B1037" s="32" t="s">
        <v>679</v>
      </c>
      <c r="C1037" s="33">
        <v>0</v>
      </c>
      <c r="D1037" s="32">
        <v>0</v>
      </c>
      <c r="E1037" s="33">
        <v>0</v>
      </c>
      <c r="F1037" s="32">
        <v>0</v>
      </c>
      <c r="G1037" s="34"/>
      <c r="H1037" s="33">
        <f t="shared" si="85"/>
        <v>0</v>
      </c>
      <c r="I1037" s="32">
        <f t="shared" si="85"/>
        <v>0</v>
      </c>
      <c r="J1037" s="33">
        <v>0</v>
      </c>
      <c r="K1037" s="32">
        <v>0</v>
      </c>
      <c r="L1037" s="31">
        <f t="shared" si="86"/>
        <v>0</v>
      </c>
      <c r="M1037" s="31">
        <f t="shared" si="86"/>
        <v>0</v>
      </c>
      <c r="N1037" s="35"/>
    </row>
    <row r="1038" spans="1:14" x14ac:dyDescent="0.25">
      <c r="A1038" s="31" t="s">
        <v>684</v>
      </c>
      <c r="B1038" s="32" t="s">
        <v>685</v>
      </c>
      <c r="C1038" s="33">
        <v>0</v>
      </c>
      <c r="D1038" s="32">
        <v>0</v>
      </c>
      <c r="E1038" s="33">
        <v>0</v>
      </c>
      <c r="F1038" s="32">
        <v>0</v>
      </c>
      <c r="G1038" s="34"/>
      <c r="H1038" s="33">
        <f t="shared" si="85"/>
        <v>0</v>
      </c>
      <c r="I1038" s="32">
        <f t="shared" si="85"/>
        <v>0</v>
      </c>
      <c r="J1038" s="33">
        <f>VLOOKUP(A1038,[3]v_03_23!F:I,3,FALSE)</f>
        <v>0</v>
      </c>
      <c r="K1038" s="32">
        <f>VLOOKUP(A1038,[3]v_03_23!F:I,4,FALSE)</f>
        <v>0</v>
      </c>
      <c r="L1038" s="31">
        <f t="shared" si="86"/>
        <v>0</v>
      </c>
      <c r="M1038" s="31">
        <f t="shared" si="86"/>
        <v>0</v>
      </c>
      <c r="N1038" s="35"/>
    </row>
    <row r="1039" spans="1:14" x14ac:dyDescent="0.25">
      <c r="A1039" s="31" t="s">
        <v>686</v>
      </c>
      <c r="B1039" s="32" t="s">
        <v>687</v>
      </c>
      <c r="C1039" s="33">
        <v>0</v>
      </c>
      <c r="D1039" s="32">
        <v>0</v>
      </c>
      <c r="E1039" s="33">
        <v>0</v>
      </c>
      <c r="F1039" s="32">
        <v>0</v>
      </c>
      <c r="G1039" s="34"/>
      <c r="H1039" s="33">
        <f t="shared" ref="H1039:I1055" si="89">C1039+E1039</f>
        <v>0</v>
      </c>
      <c r="I1039" s="32">
        <f t="shared" si="89"/>
        <v>0</v>
      </c>
      <c r="J1039" s="33">
        <v>0</v>
      </c>
      <c r="K1039" s="32">
        <v>0</v>
      </c>
      <c r="L1039" s="31">
        <f t="shared" ref="L1039:M1055" si="90">H1039-J1039</f>
        <v>0</v>
      </c>
      <c r="M1039" s="31">
        <f t="shared" si="90"/>
        <v>0</v>
      </c>
      <c r="N1039" s="35"/>
    </row>
    <row r="1040" spans="1:14" x14ac:dyDescent="0.25">
      <c r="A1040" s="31" t="s">
        <v>816</v>
      </c>
      <c r="B1040" s="32" t="s">
        <v>817</v>
      </c>
      <c r="C1040" s="33">
        <v>0</v>
      </c>
      <c r="D1040" s="32">
        <v>0</v>
      </c>
      <c r="E1040" s="33">
        <v>0</v>
      </c>
      <c r="F1040" s="32">
        <v>0</v>
      </c>
      <c r="G1040" s="34"/>
      <c r="H1040" s="33">
        <f t="shared" si="89"/>
        <v>0</v>
      </c>
      <c r="I1040" s="32">
        <f t="shared" si="89"/>
        <v>0</v>
      </c>
      <c r="J1040" s="33">
        <f>VLOOKUP(A1040,[3]v_03_23!F:I,3,FALSE)</f>
        <v>0</v>
      </c>
      <c r="K1040" s="32">
        <f>VLOOKUP(A1040,[3]v_03_23!F:I,4,FALSE)</f>
        <v>0</v>
      </c>
      <c r="L1040" s="31">
        <f t="shared" si="90"/>
        <v>0</v>
      </c>
      <c r="M1040" s="31">
        <f t="shared" si="90"/>
        <v>0</v>
      </c>
      <c r="N1040" s="35"/>
    </row>
    <row r="1041" spans="1:14" x14ac:dyDescent="0.25">
      <c r="A1041" s="31" t="s">
        <v>690</v>
      </c>
      <c r="B1041" s="32" t="s">
        <v>691</v>
      </c>
      <c r="C1041" s="33">
        <v>0</v>
      </c>
      <c r="D1041" s="32">
        <v>0</v>
      </c>
      <c r="E1041" s="33">
        <v>0</v>
      </c>
      <c r="F1041" s="32">
        <v>0</v>
      </c>
      <c r="G1041" s="34"/>
      <c r="H1041" s="33">
        <f t="shared" si="89"/>
        <v>0</v>
      </c>
      <c r="I1041" s="32">
        <f t="shared" si="89"/>
        <v>0</v>
      </c>
      <c r="J1041" s="33">
        <v>0</v>
      </c>
      <c r="K1041" s="32">
        <v>0</v>
      </c>
      <c r="L1041" s="31">
        <f t="shared" si="90"/>
        <v>0</v>
      </c>
      <c r="M1041" s="31">
        <f t="shared" si="90"/>
        <v>0</v>
      </c>
      <c r="N1041" s="35"/>
    </row>
    <row r="1042" spans="1:14" x14ac:dyDescent="0.25">
      <c r="A1042" s="31" t="s">
        <v>692</v>
      </c>
      <c r="B1042" s="32" t="s">
        <v>693</v>
      </c>
      <c r="C1042" s="33">
        <v>0</v>
      </c>
      <c r="D1042" s="32">
        <v>0</v>
      </c>
      <c r="E1042" s="33">
        <v>0</v>
      </c>
      <c r="F1042" s="32">
        <v>0</v>
      </c>
      <c r="G1042" s="34"/>
      <c r="H1042" s="33">
        <f t="shared" si="89"/>
        <v>0</v>
      </c>
      <c r="I1042" s="32">
        <f t="shared" si="89"/>
        <v>0</v>
      </c>
      <c r="J1042" s="33">
        <v>0</v>
      </c>
      <c r="K1042" s="32">
        <v>0</v>
      </c>
      <c r="L1042" s="31">
        <f t="shared" si="90"/>
        <v>0</v>
      </c>
      <c r="M1042" s="31">
        <f t="shared" si="90"/>
        <v>0</v>
      </c>
      <c r="N1042" s="35"/>
    </row>
    <row r="1043" spans="1:14" x14ac:dyDescent="0.25">
      <c r="A1043" s="31" t="s">
        <v>694</v>
      </c>
      <c r="B1043" s="32" t="s">
        <v>695</v>
      </c>
      <c r="C1043" s="33">
        <v>0</v>
      </c>
      <c r="D1043" s="32">
        <v>0</v>
      </c>
      <c r="E1043" s="33">
        <v>0</v>
      </c>
      <c r="F1043" s="32">
        <v>0</v>
      </c>
      <c r="G1043" s="34"/>
      <c r="H1043" s="33">
        <f t="shared" si="89"/>
        <v>0</v>
      </c>
      <c r="I1043" s="32">
        <f t="shared" si="89"/>
        <v>0</v>
      </c>
      <c r="J1043" s="33">
        <f>VLOOKUP(A1043,[3]v_03_23!F:I,3,FALSE)</f>
        <v>-2</v>
      </c>
      <c r="K1043" s="32">
        <f>VLOOKUP(A1043,[3]v_03_23!F:I,4,FALSE)</f>
        <v>-32.619999999999997</v>
      </c>
      <c r="L1043" s="31">
        <f t="shared" si="90"/>
        <v>2</v>
      </c>
      <c r="M1043" s="31">
        <f t="shared" si="90"/>
        <v>32.619999999999997</v>
      </c>
      <c r="N1043" s="35">
        <f t="shared" ref="N1043:N1055" si="91">M1043/K1043</f>
        <v>-1</v>
      </c>
    </row>
    <row r="1044" spans="1:14" x14ac:dyDescent="0.25">
      <c r="A1044" s="31" t="s">
        <v>696</v>
      </c>
      <c r="B1044" s="32" t="s">
        <v>697</v>
      </c>
      <c r="C1044" s="33">
        <v>0</v>
      </c>
      <c r="D1044" s="32">
        <v>0</v>
      </c>
      <c r="E1044" s="33">
        <v>0</v>
      </c>
      <c r="F1044" s="32">
        <v>0</v>
      </c>
      <c r="G1044" s="34"/>
      <c r="H1044" s="33">
        <f t="shared" si="89"/>
        <v>0</v>
      </c>
      <c r="I1044" s="32">
        <f t="shared" si="89"/>
        <v>0</v>
      </c>
      <c r="J1044" s="33">
        <f>VLOOKUP(A1044,[3]v_03_23!F:I,3,FALSE)</f>
        <v>42</v>
      </c>
      <c r="K1044" s="32">
        <f>VLOOKUP(A1044,[3]v_03_23!F:I,4,FALSE)</f>
        <v>683.32</v>
      </c>
      <c r="L1044" s="31">
        <f t="shared" si="90"/>
        <v>-42</v>
      </c>
      <c r="M1044" s="31">
        <f t="shared" si="90"/>
        <v>-683.32</v>
      </c>
      <c r="N1044" s="35">
        <f t="shared" si="91"/>
        <v>-1</v>
      </c>
    </row>
    <row r="1045" spans="1:14" x14ac:dyDescent="0.25">
      <c r="A1045" s="31" t="s">
        <v>698</v>
      </c>
      <c r="B1045" s="32" t="s">
        <v>699</v>
      </c>
      <c r="C1045" s="33">
        <v>0</v>
      </c>
      <c r="D1045" s="32">
        <v>0</v>
      </c>
      <c r="E1045" s="33">
        <v>0</v>
      </c>
      <c r="F1045" s="32">
        <v>0</v>
      </c>
      <c r="G1045" s="34"/>
      <c r="H1045" s="33">
        <f t="shared" si="89"/>
        <v>0</v>
      </c>
      <c r="I1045" s="32">
        <f t="shared" si="89"/>
        <v>0</v>
      </c>
      <c r="J1045" s="33">
        <v>0</v>
      </c>
      <c r="K1045" s="32">
        <v>0</v>
      </c>
      <c r="L1045" s="31">
        <f t="shared" si="90"/>
        <v>0</v>
      </c>
      <c r="M1045" s="31">
        <f t="shared" si="90"/>
        <v>0</v>
      </c>
      <c r="N1045" s="35"/>
    </row>
    <row r="1046" spans="1:14" x14ac:dyDescent="0.25">
      <c r="A1046" s="31" t="s">
        <v>700</v>
      </c>
      <c r="B1046" s="32" t="s">
        <v>701</v>
      </c>
      <c r="C1046" s="33">
        <v>0</v>
      </c>
      <c r="D1046" s="32">
        <v>0</v>
      </c>
      <c r="E1046" s="33">
        <v>0</v>
      </c>
      <c r="F1046" s="32">
        <v>0</v>
      </c>
      <c r="G1046" s="34"/>
      <c r="H1046" s="33">
        <f t="shared" si="89"/>
        <v>0</v>
      </c>
      <c r="I1046" s="32">
        <f t="shared" si="89"/>
        <v>0</v>
      </c>
      <c r="J1046" s="33">
        <f>VLOOKUP(A1046,[3]v_03_23!F:I,3,FALSE)</f>
        <v>1</v>
      </c>
      <c r="K1046" s="32">
        <f>VLOOKUP(A1046,[3]v_03_23!F:I,4,FALSE)</f>
        <v>31.89</v>
      </c>
      <c r="L1046" s="31">
        <f t="shared" si="90"/>
        <v>-1</v>
      </c>
      <c r="M1046" s="31">
        <f t="shared" si="90"/>
        <v>-31.89</v>
      </c>
      <c r="N1046" s="35">
        <f t="shared" si="91"/>
        <v>-1</v>
      </c>
    </row>
    <row r="1047" spans="1:14" x14ac:dyDescent="0.25">
      <c r="A1047" s="31" t="s">
        <v>702</v>
      </c>
      <c r="B1047" s="32" t="s">
        <v>703</v>
      </c>
      <c r="C1047" s="33">
        <v>0</v>
      </c>
      <c r="D1047" s="32">
        <v>0</v>
      </c>
      <c r="E1047" s="33">
        <v>0</v>
      </c>
      <c r="F1047" s="32">
        <v>0</v>
      </c>
      <c r="G1047" s="34"/>
      <c r="H1047" s="33">
        <f t="shared" si="89"/>
        <v>0</v>
      </c>
      <c r="I1047" s="32">
        <f t="shared" si="89"/>
        <v>0</v>
      </c>
      <c r="J1047" s="33">
        <v>0</v>
      </c>
      <c r="K1047" s="32">
        <v>0</v>
      </c>
      <c r="L1047" s="31">
        <f t="shared" si="90"/>
        <v>0</v>
      </c>
      <c r="M1047" s="31">
        <f t="shared" si="90"/>
        <v>0</v>
      </c>
      <c r="N1047" s="35"/>
    </row>
    <row r="1048" spans="1:14" x14ac:dyDescent="0.25">
      <c r="A1048" s="31" t="s">
        <v>706</v>
      </c>
      <c r="B1048" s="32" t="s">
        <v>707</v>
      </c>
      <c r="C1048" s="33">
        <v>0</v>
      </c>
      <c r="D1048" s="32">
        <v>0</v>
      </c>
      <c r="E1048" s="33">
        <v>0</v>
      </c>
      <c r="F1048" s="32">
        <v>0</v>
      </c>
      <c r="G1048" s="34"/>
      <c r="H1048" s="33">
        <f t="shared" si="89"/>
        <v>0</v>
      </c>
      <c r="I1048" s="32">
        <f t="shared" si="89"/>
        <v>0</v>
      </c>
      <c r="J1048" s="33">
        <v>0</v>
      </c>
      <c r="K1048" s="32">
        <v>0</v>
      </c>
      <c r="L1048" s="31">
        <f t="shared" si="90"/>
        <v>0</v>
      </c>
      <c r="M1048" s="31">
        <f t="shared" si="90"/>
        <v>0</v>
      </c>
      <c r="N1048" s="35"/>
    </row>
    <row r="1049" spans="1:14" x14ac:dyDescent="0.25">
      <c r="A1049" s="31" t="s">
        <v>708</v>
      </c>
      <c r="B1049" s="32" t="s">
        <v>709</v>
      </c>
      <c r="C1049" s="33">
        <v>0</v>
      </c>
      <c r="D1049" s="32">
        <v>0</v>
      </c>
      <c r="E1049" s="33">
        <v>0</v>
      </c>
      <c r="F1049" s="32">
        <v>0</v>
      </c>
      <c r="G1049" s="34"/>
      <c r="H1049" s="33">
        <f t="shared" si="89"/>
        <v>0</v>
      </c>
      <c r="I1049" s="32">
        <f t="shared" si="89"/>
        <v>0</v>
      </c>
      <c r="J1049" s="33">
        <v>0</v>
      </c>
      <c r="K1049" s="32">
        <v>0</v>
      </c>
      <c r="L1049" s="31">
        <f t="shared" si="90"/>
        <v>0</v>
      </c>
      <c r="M1049" s="31">
        <f t="shared" si="90"/>
        <v>0</v>
      </c>
      <c r="N1049" s="35"/>
    </row>
    <row r="1050" spans="1:14" x14ac:dyDescent="0.25">
      <c r="A1050" s="31" t="s">
        <v>710</v>
      </c>
      <c r="B1050" s="32" t="s">
        <v>711</v>
      </c>
      <c r="C1050" s="33">
        <v>0</v>
      </c>
      <c r="D1050" s="32">
        <v>0</v>
      </c>
      <c r="E1050" s="33">
        <v>0</v>
      </c>
      <c r="F1050" s="32">
        <v>0</v>
      </c>
      <c r="G1050" s="34"/>
      <c r="H1050" s="33">
        <f t="shared" si="89"/>
        <v>0</v>
      </c>
      <c r="I1050" s="32">
        <f t="shared" si="89"/>
        <v>0</v>
      </c>
      <c r="J1050" s="33">
        <f>VLOOKUP(A1050,[3]v_03_23!F:I,3,FALSE)</f>
        <v>2</v>
      </c>
      <c r="K1050" s="32">
        <f>VLOOKUP(A1050,[3]v_03_23!F:I,4,FALSE)</f>
        <v>27.72</v>
      </c>
      <c r="L1050" s="31">
        <f t="shared" si="90"/>
        <v>-2</v>
      </c>
      <c r="M1050" s="31">
        <f t="shared" si="90"/>
        <v>-27.72</v>
      </c>
      <c r="N1050" s="35">
        <f t="shared" si="91"/>
        <v>-1</v>
      </c>
    </row>
    <row r="1051" spans="1:14" x14ac:dyDescent="0.25">
      <c r="A1051" s="31" t="s">
        <v>712</v>
      </c>
      <c r="B1051" s="32" t="s">
        <v>713</v>
      </c>
      <c r="C1051" s="33">
        <v>0</v>
      </c>
      <c r="D1051" s="32">
        <v>0</v>
      </c>
      <c r="E1051" s="33">
        <f>VLOOKUP(A1051,[3]s_03_24!E:G,2,FALSE)</f>
        <v>86</v>
      </c>
      <c r="F1051" s="32">
        <f>VLOOKUP(A1051,[3]s_03_24!E:G,3,FALSE)</f>
        <v>3431.4000000000051</v>
      </c>
      <c r="G1051" s="34">
        <f t="shared" ref="G1051" si="92">F1051/I1051</f>
        <v>1</v>
      </c>
      <c r="H1051" s="33">
        <f t="shared" si="89"/>
        <v>86</v>
      </c>
      <c r="I1051" s="32">
        <f t="shared" si="89"/>
        <v>3431.4000000000051</v>
      </c>
      <c r="J1051" s="33">
        <v>0</v>
      </c>
      <c r="K1051" s="32">
        <v>0</v>
      </c>
      <c r="L1051" s="31">
        <f t="shared" si="90"/>
        <v>86</v>
      </c>
      <c r="M1051" s="31">
        <f t="shared" si="90"/>
        <v>3431.4000000000051</v>
      </c>
      <c r="N1051" s="35"/>
    </row>
    <row r="1052" spans="1:14" x14ac:dyDescent="0.25">
      <c r="A1052" s="31" t="s">
        <v>714</v>
      </c>
      <c r="B1052" s="32" t="s">
        <v>715</v>
      </c>
      <c r="C1052" s="33">
        <v>0</v>
      </c>
      <c r="D1052" s="32">
        <v>0</v>
      </c>
      <c r="E1052" s="33">
        <v>0</v>
      </c>
      <c r="F1052" s="32">
        <v>0</v>
      </c>
      <c r="G1052" s="34"/>
      <c r="H1052" s="33">
        <f t="shared" si="89"/>
        <v>0</v>
      </c>
      <c r="I1052" s="32">
        <f t="shared" si="89"/>
        <v>0</v>
      </c>
      <c r="J1052" s="33">
        <f>VLOOKUP(A1052,[3]v_03_23!F:I,3,FALSE)</f>
        <v>1</v>
      </c>
      <c r="K1052" s="32">
        <f>VLOOKUP(A1052,[3]v_03_23!F:I,4,FALSE)</f>
        <v>8.11</v>
      </c>
      <c r="L1052" s="31">
        <f t="shared" si="90"/>
        <v>-1</v>
      </c>
      <c r="M1052" s="31">
        <f t="shared" si="90"/>
        <v>-8.11</v>
      </c>
      <c r="N1052" s="35">
        <f t="shared" si="91"/>
        <v>-1</v>
      </c>
    </row>
    <row r="1053" spans="1:14" x14ac:dyDescent="0.25">
      <c r="A1053" s="31" t="s">
        <v>726</v>
      </c>
      <c r="B1053" s="32" t="s">
        <v>727</v>
      </c>
      <c r="C1053" s="33">
        <v>0</v>
      </c>
      <c r="D1053" s="32">
        <v>0</v>
      </c>
      <c r="E1053" s="33">
        <v>0</v>
      </c>
      <c r="F1053" s="32">
        <v>0</v>
      </c>
      <c r="G1053" s="34"/>
      <c r="H1053" s="33">
        <f t="shared" si="89"/>
        <v>0</v>
      </c>
      <c r="I1053" s="32">
        <f t="shared" si="89"/>
        <v>0</v>
      </c>
      <c r="J1053" s="33">
        <f>VLOOKUP(A1053,[3]v_03_23!F:I,3,FALSE)</f>
        <v>3</v>
      </c>
      <c r="K1053" s="32">
        <f>VLOOKUP(A1053,[3]v_03_23!F:I,4,FALSE)</f>
        <v>366.39</v>
      </c>
      <c r="L1053" s="31">
        <f t="shared" si="90"/>
        <v>-3</v>
      </c>
      <c r="M1053" s="31">
        <f t="shared" si="90"/>
        <v>-366.39</v>
      </c>
      <c r="N1053" s="35">
        <f t="shared" si="91"/>
        <v>-1</v>
      </c>
    </row>
    <row r="1054" spans="1:14" x14ac:dyDescent="0.25">
      <c r="A1054" s="31" t="s">
        <v>728</v>
      </c>
      <c r="B1054" s="32" t="s">
        <v>729</v>
      </c>
      <c r="C1054" s="33">
        <v>0</v>
      </c>
      <c r="D1054" s="32">
        <v>0</v>
      </c>
      <c r="E1054" s="33">
        <v>0</v>
      </c>
      <c r="F1054" s="32">
        <v>0</v>
      </c>
      <c r="G1054" s="34"/>
      <c r="H1054" s="33">
        <f t="shared" si="89"/>
        <v>0</v>
      </c>
      <c r="I1054" s="32">
        <f t="shared" si="89"/>
        <v>0</v>
      </c>
      <c r="J1054" s="33">
        <f>VLOOKUP(A1054,[3]v_03_23!F:I,3,FALSE)</f>
        <v>0</v>
      </c>
      <c r="K1054" s="32">
        <f>VLOOKUP(A1054,[3]v_03_23!F:I,4,FALSE)</f>
        <v>0</v>
      </c>
      <c r="L1054" s="31">
        <f t="shared" si="90"/>
        <v>0</v>
      </c>
      <c r="M1054" s="31">
        <f t="shared" si="90"/>
        <v>0</v>
      </c>
      <c r="N1054" s="35"/>
    </row>
    <row r="1055" spans="1:14" x14ac:dyDescent="0.25">
      <c r="A1055" s="31" t="s">
        <v>734</v>
      </c>
      <c r="B1055" s="32" t="s">
        <v>735</v>
      </c>
      <c r="C1055" s="33">
        <v>0</v>
      </c>
      <c r="D1055" s="32">
        <v>0</v>
      </c>
      <c r="E1055" s="33">
        <v>0</v>
      </c>
      <c r="F1055" s="32">
        <v>0</v>
      </c>
      <c r="G1055" s="34"/>
      <c r="H1055" s="33">
        <f t="shared" si="89"/>
        <v>0</v>
      </c>
      <c r="I1055" s="32">
        <f t="shared" si="89"/>
        <v>0</v>
      </c>
      <c r="J1055" s="33">
        <f>VLOOKUP(A1055,[3]v_03_23!F:I,3,FALSE)</f>
        <v>105</v>
      </c>
      <c r="K1055" s="32">
        <f>VLOOKUP(A1055,[3]v_03_23!F:I,4,FALSE)</f>
        <v>422.1</v>
      </c>
      <c r="L1055" s="31">
        <f t="shared" si="90"/>
        <v>-105</v>
      </c>
      <c r="M1055" s="31">
        <f t="shared" si="90"/>
        <v>-422.1</v>
      </c>
      <c r="N1055" s="35">
        <f t="shared" si="91"/>
        <v>-1</v>
      </c>
    </row>
  </sheetData>
  <mergeCells count="7">
    <mergeCell ref="A1:B2"/>
    <mergeCell ref="C1:I1"/>
    <mergeCell ref="J1:K2"/>
    <mergeCell ref="L1:N2"/>
    <mergeCell ref="C2:D2"/>
    <mergeCell ref="E2:F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CA07-C74A-402F-ACDF-AB0F5D7A49C7}">
  <dimension ref="A3:J390"/>
  <sheetViews>
    <sheetView topLeftCell="A252" workbookViewId="0">
      <selection activeCell="D269" sqref="D269"/>
    </sheetView>
  </sheetViews>
  <sheetFormatPr defaultRowHeight="15" x14ac:dyDescent="0.25"/>
  <cols>
    <col min="1" max="1" width="19.7109375" bestFit="1" customWidth="1"/>
    <col min="2" max="2" width="15.85546875" bestFit="1" customWidth="1"/>
    <col min="3" max="3" width="35.140625" bestFit="1" customWidth="1"/>
    <col min="4" max="4" width="40.7109375" bestFit="1" customWidth="1"/>
    <col min="5" max="5" width="31.140625" bestFit="1" customWidth="1"/>
    <col min="6" max="6" width="36.7109375" bestFit="1" customWidth="1"/>
    <col min="7" max="7" width="36.85546875" bestFit="1" customWidth="1"/>
    <col min="8" max="8" width="42.5703125" bestFit="1" customWidth="1"/>
    <col min="9" max="9" width="35.140625" bestFit="1" customWidth="1"/>
    <col min="10" max="10" width="40.7109375" bestFit="1" customWidth="1"/>
  </cols>
  <sheetData>
    <row r="3" spans="1:10" x14ac:dyDescent="0.25">
      <c r="A3" s="1" t="s">
        <v>1</v>
      </c>
      <c r="B3" s="1" t="s">
        <v>0</v>
      </c>
      <c r="C3" t="s">
        <v>781</v>
      </c>
      <c r="D3" t="s">
        <v>782</v>
      </c>
      <c r="E3" t="s">
        <v>783</v>
      </c>
      <c r="F3" t="s">
        <v>784</v>
      </c>
      <c r="G3" t="s">
        <v>785</v>
      </c>
      <c r="H3" t="s">
        <v>786</v>
      </c>
      <c r="I3" t="s">
        <v>787</v>
      </c>
      <c r="J3" t="s">
        <v>788</v>
      </c>
    </row>
    <row r="4" spans="1:10" x14ac:dyDescent="0.25">
      <c r="A4" t="s">
        <v>11</v>
      </c>
      <c r="B4" t="s">
        <v>10</v>
      </c>
      <c r="C4">
        <v>3483</v>
      </c>
      <c r="D4">
        <v>50055.28</v>
      </c>
      <c r="E4">
        <v>4</v>
      </c>
      <c r="F4">
        <v>80.599999999999994</v>
      </c>
      <c r="G4">
        <v>3487</v>
      </c>
      <c r="H4">
        <v>50135.88</v>
      </c>
      <c r="I4">
        <v>332</v>
      </c>
      <c r="J4">
        <v>4319.3599999999997</v>
      </c>
    </row>
    <row r="5" spans="1:10" x14ac:dyDescent="0.25">
      <c r="A5" t="s">
        <v>13</v>
      </c>
      <c r="B5" t="s">
        <v>12</v>
      </c>
      <c r="C5">
        <v>2</v>
      </c>
      <c r="D5">
        <v>10.06</v>
      </c>
      <c r="E5">
        <v>0</v>
      </c>
      <c r="F5">
        <v>0</v>
      </c>
      <c r="G5">
        <v>2</v>
      </c>
      <c r="H5">
        <v>10.06</v>
      </c>
      <c r="I5">
        <v>4</v>
      </c>
      <c r="J5">
        <v>33.15</v>
      </c>
    </row>
    <row r="6" spans="1:10" x14ac:dyDescent="0.25">
      <c r="A6" t="s">
        <v>15</v>
      </c>
      <c r="B6" t="s">
        <v>14</v>
      </c>
      <c r="C6">
        <v>22</v>
      </c>
      <c r="D6">
        <v>277.54999999999995</v>
      </c>
      <c r="E6">
        <v>0</v>
      </c>
      <c r="F6">
        <v>0</v>
      </c>
      <c r="G6">
        <v>22</v>
      </c>
      <c r="H6">
        <v>277.54999999999995</v>
      </c>
      <c r="I6">
        <v>3</v>
      </c>
      <c r="J6">
        <v>56.319999999999993</v>
      </c>
    </row>
    <row r="7" spans="1:10" x14ac:dyDescent="0.25">
      <c r="A7" t="s">
        <v>473</v>
      </c>
      <c r="B7" t="s">
        <v>472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13</v>
      </c>
      <c r="J7">
        <v>175.98000000000002</v>
      </c>
    </row>
    <row r="8" spans="1:10" x14ac:dyDescent="0.25">
      <c r="A8" t="s">
        <v>17</v>
      </c>
      <c r="B8" t="s">
        <v>16</v>
      </c>
      <c r="C8">
        <v>2</v>
      </c>
      <c r="D8">
        <v>30.36</v>
      </c>
      <c r="E8">
        <v>0</v>
      </c>
      <c r="F8">
        <v>0</v>
      </c>
      <c r="G8">
        <v>2</v>
      </c>
      <c r="H8">
        <v>30.36</v>
      </c>
      <c r="I8">
        <v>6</v>
      </c>
      <c r="J8">
        <v>100.33999999999999</v>
      </c>
    </row>
    <row r="9" spans="1:10" x14ac:dyDescent="0.25">
      <c r="A9" t="s">
        <v>532</v>
      </c>
      <c r="B9" t="s">
        <v>531</v>
      </c>
      <c r="C9">
        <v>119</v>
      </c>
      <c r="D9">
        <v>674.8900000000001</v>
      </c>
      <c r="E9">
        <v>0</v>
      </c>
      <c r="F9">
        <v>0</v>
      </c>
      <c r="G9">
        <v>119</v>
      </c>
      <c r="H9">
        <v>674.8900000000001</v>
      </c>
      <c r="I9">
        <v>424</v>
      </c>
      <c r="J9">
        <v>2539.48</v>
      </c>
    </row>
    <row r="10" spans="1:10" x14ac:dyDescent="0.25">
      <c r="A10" t="s">
        <v>747</v>
      </c>
      <c r="B10" t="s">
        <v>748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572</v>
      </c>
      <c r="B11" t="s">
        <v>573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119.51</v>
      </c>
    </row>
    <row r="12" spans="1:10" x14ac:dyDescent="0.25">
      <c r="A12" t="s">
        <v>574</v>
      </c>
      <c r="B12" t="s">
        <v>575</v>
      </c>
      <c r="C12">
        <v>0</v>
      </c>
      <c r="D12">
        <v>0</v>
      </c>
      <c r="E12">
        <v>65</v>
      </c>
      <c r="F12">
        <v>2054.0099999999998</v>
      </c>
      <c r="G12">
        <v>65</v>
      </c>
      <c r="H12">
        <v>2054.0099999999998</v>
      </c>
      <c r="I12">
        <v>497</v>
      </c>
      <c r="J12">
        <v>10783.54</v>
      </c>
    </row>
    <row r="13" spans="1:10" x14ac:dyDescent="0.25">
      <c r="A13" t="s">
        <v>576</v>
      </c>
      <c r="B13" t="s">
        <v>577</v>
      </c>
      <c r="C13">
        <v>1</v>
      </c>
      <c r="D13">
        <v>41.24</v>
      </c>
      <c r="E13">
        <v>0</v>
      </c>
      <c r="F13">
        <v>0</v>
      </c>
      <c r="G13">
        <v>1</v>
      </c>
      <c r="H13">
        <v>41.24</v>
      </c>
      <c r="I13">
        <v>1</v>
      </c>
      <c r="J13">
        <v>28.03</v>
      </c>
    </row>
    <row r="14" spans="1:10" x14ac:dyDescent="0.25">
      <c r="A14" t="s">
        <v>19</v>
      </c>
      <c r="B14" t="s">
        <v>18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23</v>
      </c>
      <c r="J14">
        <v>178.88</v>
      </c>
    </row>
    <row r="15" spans="1:10" x14ac:dyDescent="0.25">
      <c r="A15" t="s">
        <v>554</v>
      </c>
      <c r="B15" t="s">
        <v>553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578</v>
      </c>
      <c r="B16" t="s">
        <v>579</v>
      </c>
      <c r="C16">
        <v>3</v>
      </c>
      <c r="D16">
        <v>61.3</v>
      </c>
      <c r="E16">
        <v>0</v>
      </c>
      <c r="F16">
        <v>0</v>
      </c>
      <c r="G16">
        <v>3</v>
      </c>
      <c r="H16">
        <v>61.3</v>
      </c>
      <c r="I16">
        <v>4</v>
      </c>
      <c r="J16">
        <v>69.7</v>
      </c>
    </row>
    <row r="17" spans="1:10" x14ac:dyDescent="0.25">
      <c r="A17" t="s">
        <v>21</v>
      </c>
      <c r="B17" t="s">
        <v>20</v>
      </c>
      <c r="C17">
        <v>15</v>
      </c>
      <c r="D17">
        <v>369.33000000000004</v>
      </c>
      <c r="E17">
        <v>0</v>
      </c>
      <c r="F17">
        <v>0</v>
      </c>
      <c r="G17">
        <v>15</v>
      </c>
      <c r="H17">
        <v>369.33000000000004</v>
      </c>
      <c r="I17">
        <v>26</v>
      </c>
      <c r="J17">
        <v>470.43999999999994</v>
      </c>
    </row>
    <row r="18" spans="1:10" x14ac:dyDescent="0.25">
      <c r="A18" t="s">
        <v>23</v>
      </c>
      <c r="B18" t="s">
        <v>22</v>
      </c>
      <c r="C18">
        <v>974</v>
      </c>
      <c r="D18">
        <v>17624.53</v>
      </c>
      <c r="E18">
        <v>0</v>
      </c>
      <c r="F18">
        <v>0</v>
      </c>
      <c r="G18">
        <v>974</v>
      </c>
      <c r="H18">
        <v>17624.53</v>
      </c>
      <c r="I18">
        <v>1005</v>
      </c>
      <c r="J18">
        <v>16858.7</v>
      </c>
    </row>
    <row r="19" spans="1:10" x14ac:dyDescent="0.25">
      <c r="A19" t="s">
        <v>25</v>
      </c>
      <c r="B19" t="s">
        <v>24</v>
      </c>
      <c r="C19">
        <v>3</v>
      </c>
      <c r="D19">
        <v>67.849999999999994</v>
      </c>
      <c r="E19">
        <v>193</v>
      </c>
      <c r="F19">
        <v>5934.7000000000071</v>
      </c>
      <c r="G19">
        <v>196</v>
      </c>
      <c r="H19">
        <v>6002.5500000000075</v>
      </c>
      <c r="I19">
        <v>1432</v>
      </c>
      <c r="J19">
        <v>29378.350000000002</v>
      </c>
    </row>
    <row r="20" spans="1:10" x14ac:dyDescent="0.25">
      <c r="A20" t="s">
        <v>534</v>
      </c>
      <c r="B20" t="s">
        <v>533</v>
      </c>
      <c r="C20">
        <v>7</v>
      </c>
      <c r="D20">
        <v>343.51</v>
      </c>
      <c r="E20">
        <v>0</v>
      </c>
      <c r="F20">
        <v>0</v>
      </c>
      <c r="G20">
        <v>7</v>
      </c>
      <c r="H20">
        <v>343.51</v>
      </c>
      <c r="I20">
        <v>16</v>
      </c>
      <c r="J20">
        <v>824.04</v>
      </c>
    </row>
    <row r="21" spans="1:10" x14ac:dyDescent="0.25">
      <c r="A21" t="s">
        <v>580</v>
      </c>
      <c r="B21" t="s">
        <v>581</v>
      </c>
      <c r="C21">
        <v>1</v>
      </c>
      <c r="D21">
        <v>10.57</v>
      </c>
      <c r="E21">
        <v>0</v>
      </c>
      <c r="F21">
        <v>0</v>
      </c>
      <c r="G21">
        <v>1</v>
      </c>
      <c r="H21">
        <v>10.57</v>
      </c>
      <c r="I21">
        <v>10</v>
      </c>
      <c r="J21">
        <v>102.84</v>
      </c>
    </row>
    <row r="22" spans="1:10" x14ac:dyDescent="0.25">
      <c r="A22" t="s">
        <v>582</v>
      </c>
      <c r="B22" t="s">
        <v>583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17.07</v>
      </c>
    </row>
    <row r="23" spans="1:10" x14ac:dyDescent="0.25">
      <c r="A23" t="s">
        <v>584</v>
      </c>
      <c r="B23" t="s">
        <v>585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-3</v>
      </c>
      <c r="J23">
        <v>-28.5</v>
      </c>
    </row>
    <row r="24" spans="1:10" x14ac:dyDescent="0.25">
      <c r="A24" t="s">
        <v>586</v>
      </c>
      <c r="B24" t="s">
        <v>587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</v>
      </c>
      <c r="J24">
        <v>75.55</v>
      </c>
    </row>
    <row r="25" spans="1:10" x14ac:dyDescent="0.25">
      <c r="A25" t="s">
        <v>588</v>
      </c>
      <c r="B25" t="s">
        <v>589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38</v>
      </c>
      <c r="J25">
        <v>219.99</v>
      </c>
    </row>
    <row r="26" spans="1:10" x14ac:dyDescent="0.25">
      <c r="A26" t="s">
        <v>27</v>
      </c>
      <c r="B26" t="s">
        <v>26</v>
      </c>
      <c r="C26">
        <v>2</v>
      </c>
      <c r="D26">
        <v>14.86</v>
      </c>
      <c r="E26">
        <v>0</v>
      </c>
      <c r="F26">
        <v>0</v>
      </c>
      <c r="G26">
        <v>2</v>
      </c>
      <c r="H26">
        <v>14.86</v>
      </c>
      <c r="I26">
        <v>0</v>
      </c>
      <c r="J26">
        <v>0</v>
      </c>
    </row>
    <row r="27" spans="1:10" x14ac:dyDescent="0.25">
      <c r="A27" t="s">
        <v>749</v>
      </c>
      <c r="B27" t="s">
        <v>750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</v>
      </c>
      <c r="J27">
        <v>-16.97</v>
      </c>
    </row>
    <row r="28" spans="1:10" x14ac:dyDescent="0.25">
      <c r="A28" t="s">
        <v>29</v>
      </c>
      <c r="B28" t="s">
        <v>28</v>
      </c>
      <c r="C28">
        <v>4</v>
      </c>
      <c r="D28">
        <v>25.92</v>
      </c>
      <c r="E28">
        <v>0</v>
      </c>
      <c r="F28">
        <v>0</v>
      </c>
      <c r="G28">
        <v>4</v>
      </c>
      <c r="H28">
        <v>25.92</v>
      </c>
      <c r="I28">
        <v>3</v>
      </c>
      <c r="J28">
        <v>10.75</v>
      </c>
    </row>
    <row r="29" spans="1:10" x14ac:dyDescent="0.25">
      <c r="A29" t="s">
        <v>31</v>
      </c>
      <c r="B29" t="s">
        <v>30</v>
      </c>
      <c r="C29">
        <v>62</v>
      </c>
      <c r="D29">
        <v>2157.1800000000003</v>
      </c>
      <c r="E29">
        <v>0</v>
      </c>
      <c r="F29">
        <v>0</v>
      </c>
      <c r="G29">
        <v>62</v>
      </c>
      <c r="H29">
        <v>2157.1800000000003</v>
      </c>
      <c r="I29">
        <v>218</v>
      </c>
      <c r="J29">
        <v>6369.61</v>
      </c>
    </row>
    <row r="30" spans="1:10" x14ac:dyDescent="0.25">
      <c r="A30" t="s">
        <v>590</v>
      </c>
      <c r="B30" t="s">
        <v>591</v>
      </c>
      <c r="C30">
        <v>1</v>
      </c>
      <c r="D30">
        <v>6.73</v>
      </c>
      <c r="E30">
        <v>0</v>
      </c>
      <c r="F30">
        <v>0</v>
      </c>
      <c r="G30">
        <v>1</v>
      </c>
      <c r="H30">
        <v>6.73</v>
      </c>
      <c r="I30">
        <v>0</v>
      </c>
      <c r="J30">
        <v>0</v>
      </c>
    </row>
    <row r="31" spans="1:10" x14ac:dyDescent="0.25">
      <c r="A31" t="s">
        <v>751</v>
      </c>
      <c r="B31" t="s">
        <v>752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31.23</v>
      </c>
    </row>
    <row r="32" spans="1:10" x14ac:dyDescent="0.25">
      <c r="A32" t="s">
        <v>592</v>
      </c>
      <c r="B32" t="s">
        <v>593</v>
      </c>
      <c r="C32">
        <v>1</v>
      </c>
      <c r="D32">
        <v>4.83</v>
      </c>
      <c r="E32">
        <v>0</v>
      </c>
      <c r="F32">
        <v>0</v>
      </c>
      <c r="G32">
        <v>1</v>
      </c>
      <c r="H32">
        <v>4.83</v>
      </c>
      <c r="I32">
        <v>0</v>
      </c>
      <c r="J32">
        <v>0</v>
      </c>
    </row>
    <row r="33" spans="1:10" x14ac:dyDescent="0.25">
      <c r="A33" t="s">
        <v>594</v>
      </c>
      <c r="B33" t="s">
        <v>595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216.5</v>
      </c>
    </row>
    <row r="34" spans="1:10" x14ac:dyDescent="0.25">
      <c r="A34" t="s">
        <v>596</v>
      </c>
      <c r="B34" t="s">
        <v>597</v>
      </c>
      <c r="C34">
        <v>1</v>
      </c>
      <c r="D34">
        <v>16.309999999999999</v>
      </c>
      <c r="E34">
        <v>0</v>
      </c>
      <c r="F34">
        <v>0</v>
      </c>
      <c r="G34">
        <v>1</v>
      </c>
      <c r="H34">
        <v>16.309999999999999</v>
      </c>
      <c r="I34">
        <v>1</v>
      </c>
      <c r="J34">
        <v>11.82</v>
      </c>
    </row>
    <row r="35" spans="1:10" x14ac:dyDescent="0.25">
      <c r="A35" t="s">
        <v>33</v>
      </c>
      <c r="B35" t="s">
        <v>32</v>
      </c>
      <c r="C35">
        <v>323</v>
      </c>
      <c r="D35">
        <v>5198.5299999999988</v>
      </c>
      <c r="E35">
        <v>144</v>
      </c>
      <c r="F35">
        <v>2878.3200000000065</v>
      </c>
      <c r="G35">
        <v>467</v>
      </c>
      <c r="H35">
        <v>8076.8500000000049</v>
      </c>
      <c r="I35">
        <v>2500</v>
      </c>
      <c r="J35">
        <v>34670.159999999996</v>
      </c>
    </row>
    <row r="36" spans="1:10" x14ac:dyDescent="0.25">
      <c r="A36" t="s">
        <v>598</v>
      </c>
      <c r="B36" t="s">
        <v>599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27.93</v>
      </c>
    </row>
    <row r="37" spans="1:10" x14ac:dyDescent="0.25">
      <c r="A37" t="s">
        <v>35</v>
      </c>
      <c r="B37" t="s">
        <v>34</v>
      </c>
      <c r="C37">
        <v>3</v>
      </c>
      <c r="D37">
        <v>39.64</v>
      </c>
      <c r="E37">
        <v>0</v>
      </c>
      <c r="F37">
        <v>0</v>
      </c>
      <c r="G37">
        <v>3</v>
      </c>
      <c r="H37">
        <v>39.64</v>
      </c>
      <c r="I37">
        <v>0</v>
      </c>
      <c r="J37">
        <v>0</v>
      </c>
    </row>
    <row r="38" spans="1:10" x14ac:dyDescent="0.25">
      <c r="A38" t="s">
        <v>600</v>
      </c>
      <c r="B38" t="s">
        <v>601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16.72</v>
      </c>
    </row>
    <row r="39" spans="1:10" x14ac:dyDescent="0.25">
      <c r="A39" t="s">
        <v>602</v>
      </c>
      <c r="B39" t="s">
        <v>603</v>
      </c>
      <c r="C39">
        <v>2</v>
      </c>
      <c r="D39">
        <v>19.03</v>
      </c>
      <c r="E39">
        <v>0</v>
      </c>
      <c r="F39">
        <v>0</v>
      </c>
      <c r="G39">
        <v>2</v>
      </c>
      <c r="H39">
        <v>19.03</v>
      </c>
      <c r="I39">
        <v>0</v>
      </c>
      <c r="J39">
        <v>0</v>
      </c>
    </row>
    <row r="40" spans="1:10" x14ac:dyDescent="0.25">
      <c r="A40" t="s">
        <v>604</v>
      </c>
      <c r="B40" t="s">
        <v>605</v>
      </c>
      <c r="C40">
        <v>1</v>
      </c>
      <c r="D40">
        <v>11.39</v>
      </c>
      <c r="E40">
        <v>0</v>
      </c>
      <c r="F40">
        <v>0</v>
      </c>
      <c r="G40">
        <v>1</v>
      </c>
      <c r="H40">
        <v>11.39</v>
      </c>
      <c r="I40">
        <v>0</v>
      </c>
      <c r="J40">
        <v>0</v>
      </c>
    </row>
    <row r="41" spans="1:10" x14ac:dyDescent="0.25">
      <c r="A41" t="s">
        <v>536</v>
      </c>
      <c r="B41" t="s">
        <v>535</v>
      </c>
      <c r="C41">
        <v>2</v>
      </c>
      <c r="D41">
        <v>36.06</v>
      </c>
      <c r="E41">
        <v>0</v>
      </c>
      <c r="F41">
        <v>0</v>
      </c>
      <c r="G41">
        <v>2</v>
      </c>
      <c r="H41">
        <v>36.06</v>
      </c>
      <c r="I41">
        <v>0</v>
      </c>
      <c r="J41">
        <v>0</v>
      </c>
    </row>
    <row r="42" spans="1:10" x14ac:dyDescent="0.25">
      <c r="A42" t="s">
        <v>37</v>
      </c>
      <c r="B42" t="s">
        <v>36</v>
      </c>
      <c r="C42">
        <v>8</v>
      </c>
      <c r="D42">
        <v>45.19</v>
      </c>
      <c r="E42">
        <v>0</v>
      </c>
      <c r="F42">
        <v>0</v>
      </c>
      <c r="G42">
        <v>8</v>
      </c>
      <c r="H42">
        <v>45.19</v>
      </c>
      <c r="I42">
        <v>0</v>
      </c>
      <c r="J42">
        <v>0</v>
      </c>
    </row>
    <row r="43" spans="1:10" x14ac:dyDescent="0.25">
      <c r="A43" t="s">
        <v>526</v>
      </c>
      <c r="B43" t="s">
        <v>525</v>
      </c>
      <c r="C43">
        <v>29</v>
      </c>
      <c r="D43">
        <v>644.85</v>
      </c>
      <c r="E43">
        <v>3</v>
      </c>
      <c r="F43">
        <v>104.69999999999999</v>
      </c>
      <c r="G43">
        <v>32</v>
      </c>
      <c r="H43">
        <v>749.55</v>
      </c>
      <c r="I43">
        <v>179</v>
      </c>
      <c r="J43">
        <v>3753.4700000000003</v>
      </c>
    </row>
    <row r="44" spans="1:10" x14ac:dyDescent="0.25">
      <c r="A44" t="s">
        <v>39</v>
      </c>
      <c r="B44" t="s">
        <v>38</v>
      </c>
      <c r="C44">
        <v>3</v>
      </c>
      <c r="D44">
        <v>67.2</v>
      </c>
      <c r="E44">
        <v>12</v>
      </c>
      <c r="F44">
        <v>562.79999999999995</v>
      </c>
      <c r="G44">
        <v>15</v>
      </c>
      <c r="H44">
        <v>630</v>
      </c>
      <c r="I44">
        <v>18</v>
      </c>
      <c r="J44">
        <v>706.79</v>
      </c>
    </row>
    <row r="45" spans="1:10" x14ac:dyDescent="0.25">
      <c r="A45" t="s">
        <v>41</v>
      </c>
      <c r="B45" t="s">
        <v>40</v>
      </c>
      <c r="C45">
        <v>33</v>
      </c>
      <c r="D45">
        <v>3043.04</v>
      </c>
      <c r="E45">
        <v>0</v>
      </c>
      <c r="F45">
        <v>0</v>
      </c>
      <c r="G45">
        <v>33</v>
      </c>
      <c r="H45">
        <v>3043.04</v>
      </c>
      <c r="I45">
        <v>35</v>
      </c>
      <c r="J45">
        <v>2759.24</v>
      </c>
    </row>
    <row r="46" spans="1:10" x14ac:dyDescent="0.25">
      <c r="A46" t="s">
        <v>606</v>
      </c>
      <c r="B46" t="s">
        <v>607</v>
      </c>
      <c r="C46">
        <v>1</v>
      </c>
      <c r="D46">
        <v>9.1300000000000008</v>
      </c>
      <c r="E46">
        <v>0</v>
      </c>
      <c r="F46">
        <v>0</v>
      </c>
      <c r="G46">
        <v>1</v>
      </c>
      <c r="H46">
        <v>9.1300000000000008</v>
      </c>
      <c r="I46">
        <v>0</v>
      </c>
      <c r="J46">
        <v>0</v>
      </c>
    </row>
    <row r="47" spans="1:10" x14ac:dyDescent="0.25">
      <c r="A47" t="s">
        <v>608</v>
      </c>
      <c r="B47" t="s">
        <v>609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-1</v>
      </c>
      <c r="J47">
        <v>-17.09</v>
      </c>
    </row>
    <row r="48" spans="1:10" x14ac:dyDescent="0.25">
      <c r="A48" t="s">
        <v>508</v>
      </c>
      <c r="B48" t="s">
        <v>507</v>
      </c>
      <c r="C48">
        <v>9</v>
      </c>
      <c r="D48">
        <v>31.200000000000003</v>
      </c>
      <c r="E48">
        <v>0</v>
      </c>
      <c r="F48">
        <v>0</v>
      </c>
      <c r="G48">
        <v>9</v>
      </c>
      <c r="H48">
        <v>31.200000000000003</v>
      </c>
      <c r="I48">
        <v>33</v>
      </c>
      <c r="J48">
        <v>114.10999999999999</v>
      </c>
    </row>
    <row r="49" spans="1:10" x14ac:dyDescent="0.25">
      <c r="A49" t="s">
        <v>753</v>
      </c>
      <c r="B49" t="s">
        <v>754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5.54</v>
      </c>
    </row>
    <row r="50" spans="1:10" x14ac:dyDescent="0.25">
      <c r="A50" t="s">
        <v>43</v>
      </c>
      <c r="B50" t="s">
        <v>42</v>
      </c>
      <c r="C50">
        <v>50</v>
      </c>
      <c r="D50">
        <v>888.16000000000008</v>
      </c>
      <c r="E50">
        <v>2149</v>
      </c>
      <c r="F50">
        <v>42819.779999999948</v>
      </c>
      <c r="G50">
        <v>2199</v>
      </c>
      <c r="H50">
        <v>43707.939999999944</v>
      </c>
      <c r="I50">
        <v>6680</v>
      </c>
      <c r="J50">
        <v>86551.74</v>
      </c>
    </row>
    <row r="51" spans="1:10" x14ac:dyDescent="0.25">
      <c r="A51" t="s">
        <v>504</v>
      </c>
      <c r="B51" t="s">
        <v>503</v>
      </c>
      <c r="C51">
        <v>41</v>
      </c>
      <c r="D51">
        <v>167.45</v>
      </c>
      <c r="E51">
        <v>0</v>
      </c>
      <c r="F51">
        <v>0</v>
      </c>
      <c r="G51">
        <v>41</v>
      </c>
      <c r="H51">
        <v>167.45</v>
      </c>
      <c r="I51">
        <v>17</v>
      </c>
      <c r="J51">
        <v>81.430000000000007</v>
      </c>
    </row>
    <row r="52" spans="1:10" x14ac:dyDescent="0.25">
      <c r="A52" t="s">
        <v>610</v>
      </c>
      <c r="B52" t="s">
        <v>611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73</v>
      </c>
      <c r="J52">
        <v>487.6099999999999</v>
      </c>
    </row>
    <row r="53" spans="1:10" x14ac:dyDescent="0.25">
      <c r="A53" t="s">
        <v>45</v>
      </c>
      <c r="B53" t="s">
        <v>44</v>
      </c>
      <c r="C53">
        <v>17</v>
      </c>
      <c r="D53">
        <v>103.81</v>
      </c>
      <c r="E53">
        <v>0</v>
      </c>
      <c r="F53">
        <v>0</v>
      </c>
      <c r="G53">
        <v>17</v>
      </c>
      <c r="H53">
        <v>103.81</v>
      </c>
      <c r="I53">
        <v>15</v>
      </c>
      <c r="J53">
        <v>88.34</v>
      </c>
    </row>
    <row r="54" spans="1:10" x14ac:dyDescent="0.25">
      <c r="A54" t="s">
        <v>612</v>
      </c>
      <c r="B54" t="s">
        <v>613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</v>
      </c>
      <c r="J54">
        <v>43.21</v>
      </c>
    </row>
    <row r="55" spans="1:10" x14ac:dyDescent="0.25">
      <c r="A55" t="s">
        <v>614</v>
      </c>
      <c r="B55" t="s">
        <v>615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18.93</v>
      </c>
    </row>
    <row r="56" spans="1:10" x14ac:dyDescent="0.25">
      <c r="A56" t="s">
        <v>47</v>
      </c>
      <c r="B56" t="s">
        <v>46</v>
      </c>
      <c r="C56">
        <v>23</v>
      </c>
      <c r="D56">
        <v>681.31999999999994</v>
      </c>
      <c r="E56">
        <v>906</v>
      </c>
      <c r="F56">
        <v>33129.27999999981</v>
      </c>
      <c r="G56">
        <v>929</v>
      </c>
      <c r="H56">
        <v>33810.599999999809</v>
      </c>
      <c r="I56">
        <v>2469</v>
      </c>
      <c r="J56">
        <v>75442.320000000007</v>
      </c>
    </row>
    <row r="57" spans="1:10" x14ac:dyDescent="0.25">
      <c r="A57" t="s">
        <v>512</v>
      </c>
      <c r="B57" t="s">
        <v>511</v>
      </c>
      <c r="C57">
        <v>201</v>
      </c>
      <c r="D57">
        <v>4131.8500000000004</v>
      </c>
      <c r="E57">
        <v>0</v>
      </c>
      <c r="F57">
        <v>0</v>
      </c>
      <c r="G57">
        <v>201</v>
      </c>
      <c r="H57">
        <v>4131.8500000000004</v>
      </c>
      <c r="I57">
        <v>200</v>
      </c>
      <c r="J57">
        <v>4404.7299999999996</v>
      </c>
    </row>
    <row r="58" spans="1:10" x14ac:dyDescent="0.25">
      <c r="A58" t="s">
        <v>616</v>
      </c>
      <c r="B58" t="s">
        <v>617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618</v>
      </c>
      <c r="B59" t="s">
        <v>619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22</v>
      </c>
      <c r="J59">
        <v>657.08</v>
      </c>
    </row>
    <row r="60" spans="1:10" x14ac:dyDescent="0.25">
      <c r="A60" t="s">
        <v>755</v>
      </c>
      <c r="B60" t="s">
        <v>756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-2</v>
      </c>
      <c r="J60">
        <v>-16.5</v>
      </c>
    </row>
    <row r="61" spans="1:10" x14ac:dyDescent="0.25">
      <c r="A61" t="s">
        <v>492</v>
      </c>
      <c r="B61" t="s">
        <v>491</v>
      </c>
      <c r="C61">
        <v>0</v>
      </c>
      <c r="D61">
        <v>0</v>
      </c>
      <c r="E61">
        <v>70</v>
      </c>
      <c r="F61">
        <v>3322.6000000000013</v>
      </c>
      <c r="G61">
        <v>70</v>
      </c>
      <c r="H61">
        <v>3322.6000000000013</v>
      </c>
      <c r="I61">
        <v>653</v>
      </c>
      <c r="J61">
        <v>18703.620000000003</v>
      </c>
    </row>
    <row r="62" spans="1:10" x14ac:dyDescent="0.25">
      <c r="A62" t="s">
        <v>620</v>
      </c>
      <c r="B62" t="s">
        <v>621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18.489999999999998</v>
      </c>
    </row>
    <row r="63" spans="1:10" x14ac:dyDescent="0.25">
      <c r="A63" t="s">
        <v>556</v>
      </c>
      <c r="B63" t="s">
        <v>555</v>
      </c>
      <c r="C63">
        <v>32</v>
      </c>
      <c r="D63">
        <v>127.69999999999999</v>
      </c>
      <c r="E63">
        <v>0</v>
      </c>
      <c r="F63">
        <v>0</v>
      </c>
      <c r="G63">
        <v>32</v>
      </c>
      <c r="H63">
        <v>127.69999999999999</v>
      </c>
      <c r="I63">
        <v>0</v>
      </c>
      <c r="J63">
        <v>0</v>
      </c>
    </row>
    <row r="64" spans="1:10" x14ac:dyDescent="0.25">
      <c r="A64" t="s">
        <v>622</v>
      </c>
      <c r="B64" t="s">
        <v>623</v>
      </c>
      <c r="C64">
        <v>1</v>
      </c>
      <c r="D64">
        <v>20.92</v>
      </c>
      <c r="E64">
        <v>0</v>
      </c>
      <c r="F64">
        <v>0</v>
      </c>
      <c r="G64">
        <v>1</v>
      </c>
      <c r="H64">
        <v>20.92</v>
      </c>
      <c r="I64">
        <v>7</v>
      </c>
      <c r="J64">
        <v>121.98000000000002</v>
      </c>
    </row>
    <row r="65" spans="1:10" x14ac:dyDescent="0.25">
      <c r="A65" t="s">
        <v>624</v>
      </c>
      <c r="B65" t="s">
        <v>625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63</v>
      </c>
      <c r="J65">
        <v>553.98</v>
      </c>
    </row>
    <row r="66" spans="1:10" x14ac:dyDescent="0.25">
      <c r="A66" t="s">
        <v>626</v>
      </c>
      <c r="B66" t="s">
        <v>627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135</v>
      </c>
      <c r="J66">
        <v>1154.3499999999999</v>
      </c>
    </row>
    <row r="67" spans="1:10" x14ac:dyDescent="0.25">
      <c r="A67" t="s">
        <v>628</v>
      </c>
      <c r="B67" t="s">
        <v>629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13.06</v>
      </c>
    </row>
    <row r="68" spans="1:10" x14ac:dyDescent="0.25">
      <c r="A68" t="s">
        <v>757</v>
      </c>
      <c r="B68" t="s">
        <v>758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630</v>
      </c>
      <c r="B69" t="s">
        <v>631</v>
      </c>
      <c r="C69">
        <v>1</v>
      </c>
      <c r="D69">
        <v>36.58</v>
      </c>
      <c r="E69">
        <v>0</v>
      </c>
      <c r="F69">
        <v>0</v>
      </c>
      <c r="G69">
        <v>1</v>
      </c>
      <c r="H69">
        <v>36.58</v>
      </c>
      <c r="I69">
        <v>0</v>
      </c>
      <c r="J69">
        <v>0</v>
      </c>
    </row>
    <row r="70" spans="1:10" x14ac:dyDescent="0.25">
      <c r="A70" t="s">
        <v>49</v>
      </c>
      <c r="B70" t="s">
        <v>48</v>
      </c>
      <c r="C70">
        <v>6</v>
      </c>
      <c r="D70">
        <v>79.599999999999994</v>
      </c>
      <c r="E70">
        <v>0</v>
      </c>
      <c r="F70">
        <v>0</v>
      </c>
      <c r="G70">
        <v>6</v>
      </c>
      <c r="H70">
        <v>79.599999999999994</v>
      </c>
      <c r="I70">
        <v>24</v>
      </c>
      <c r="J70">
        <v>283.84000000000003</v>
      </c>
    </row>
    <row r="71" spans="1:10" x14ac:dyDescent="0.25">
      <c r="A71" t="s">
        <v>51</v>
      </c>
      <c r="B71" t="s">
        <v>50</v>
      </c>
      <c r="C71">
        <v>16</v>
      </c>
      <c r="D71">
        <v>208.45</v>
      </c>
      <c r="E71">
        <v>0</v>
      </c>
      <c r="F71">
        <v>0</v>
      </c>
      <c r="G71">
        <v>16</v>
      </c>
      <c r="H71">
        <v>208.45</v>
      </c>
      <c r="I71">
        <v>23</v>
      </c>
      <c r="J71">
        <v>356.84</v>
      </c>
    </row>
    <row r="72" spans="1:10" x14ac:dyDescent="0.25">
      <c r="A72" t="s">
        <v>524</v>
      </c>
      <c r="B72" t="s">
        <v>523</v>
      </c>
      <c r="C72">
        <v>76</v>
      </c>
      <c r="D72">
        <v>22.69</v>
      </c>
      <c r="E72">
        <v>0</v>
      </c>
      <c r="F72">
        <v>0</v>
      </c>
      <c r="G72">
        <v>76</v>
      </c>
      <c r="H72">
        <v>22.69</v>
      </c>
      <c r="I72">
        <v>162</v>
      </c>
      <c r="J72">
        <v>629.63</v>
      </c>
    </row>
    <row r="73" spans="1:10" x14ac:dyDescent="0.25">
      <c r="A73" t="s">
        <v>498</v>
      </c>
      <c r="B73" t="s">
        <v>497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558</v>
      </c>
      <c r="B74" t="s">
        <v>557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759</v>
      </c>
      <c r="B75" t="s">
        <v>760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-1</v>
      </c>
      <c r="J75">
        <v>-11.39</v>
      </c>
    </row>
    <row r="76" spans="1:10" x14ac:dyDescent="0.25">
      <c r="A76" t="s">
        <v>53</v>
      </c>
      <c r="B76" t="s">
        <v>52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55</v>
      </c>
      <c r="B77" t="s">
        <v>54</v>
      </c>
      <c r="C77">
        <v>297</v>
      </c>
      <c r="D77">
        <v>8360.39</v>
      </c>
      <c r="E77">
        <v>5</v>
      </c>
      <c r="F77">
        <v>89.8</v>
      </c>
      <c r="G77">
        <v>302</v>
      </c>
      <c r="H77">
        <v>8450.1899999999987</v>
      </c>
      <c r="I77">
        <v>912</v>
      </c>
      <c r="J77">
        <v>23754.15</v>
      </c>
    </row>
    <row r="78" spans="1:10" x14ac:dyDescent="0.25">
      <c r="A78" t="s">
        <v>57</v>
      </c>
      <c r="B78" t="s">
        <v>56</v>
      </c>
      <c r="C78">
        <v>6</v>
      </c>
      <c r="D78">
        <v>197.85000000000002</v>
      </c>
      <c r="E78">
        <v>68</v>
      </c>
      <c r="F78">
        <v>3423.2000000000003</v>
      </c>
      <c r="G78">
        <v>74</v>
      </c>
      <c r="H78">
        <v>3621.05</v>
      </c>
      <c r="I78">
        <v>164</v>
      </c>
      <c r="J78">
        <v>6841.07</v>
      </c>
    </row>
    <row r="79" spans="1:10" x14ac:dyDescent="0.25">
      <c r="A79" t="s">
        <v>538</v>
      </c>
      <c r="B79" t="s">
        <v>537</v>
      </c>
      <c r="C79">
        <v>63</v>
      </c>
      <c r="D79">
        <v>3802.75</v>
      </c>
      <c r="E79">
        <v>2</v>
      </c>
      <c r="F79">
        <v>159.80000000000001</v>
      </c>
      <c r="G79">
        <v>65</v>
      </c>
      <c r="H79">
        <v>3962.55</v>
      </c>
      <c r="I79">
        <v>196</v>
      </c>
      <c r="J79">
        <v>11336.880000000001</v>
      </c>
    </row>
    <row r="80" spans="1:10" x14ac:dyDescent="0.25">
      <c r="A80" t="s">
        <v>506</v>
      </c>
      <c r="B80" t="s">
        <v>505</v>
      </c>
      <c r="C80">
        <v>4</v>
      </c>
      <c r="D80">
        <v>180.38</v>
      </c>
      <c r="E80">
        <v>0</v>
      </c>
      <c r="F80">
        <v>0</v>
      </c>
      <c r="G80">
        <v>4</v>
      </c>
      <c r="H80">
        <v>180.38</v>
      </c>
      <c r="I80">
        <v>2</v>
      </c>
      <c r="J80">
        <v>118.81</v>
      </c>
    </row>
    <row r="81" spans="1:10" x14ac:dyDescent="0.25">
      <c r="A81" t="s">
        <v>632</v>
      </c>
      <c r="B81" t="s">
        <v>633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-1</v>
      </c>
      <c r="J81">
        <v>-10.84</v>
      </c>
    </row>
    <row r="82" spans="1:10" x14ac:dyDescent="0.25">
      <c r="A82" t="s">
        <v>634</v>
      </c>
      <c r="B82" t="s">
        <v>635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22.42</v>
      </c>
    </row>
    <row r="83" spans="1:10" x14ac:dyDescent="0.25">
      <c r="A83" t="s">
        <v>761</v>
      </c>
      <c r="B83" t="s">
        <v>762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763</v>
      </c>
      <c r="B84" t="s">
        <v>764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2</v>
      </c>
      <c r="J84">
        <v>23.6</v>
      </c>
    </row>
    <row r="85" spans="1:10" x14ac:dyDescent="0.25">
      <c r="A85" t="s">
        <v>636</v>
      </c>
      <c r="B85" t="s">
        <v>637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11</v>
      </c>
      <c r="J85">
        <v>1134.52</v>
      </c>
    </row>
    <row r="86" spans="1:10" x14ac:dyDescent="0.25">
      <c r="A86" t="s">
        <v>59</v>
      </c>
      <c r="B86" t="s">
        <v>58</v>
      </c>
      <c r="C86">
        <v>87</v>
      </c>
      <c r="D86">
        <v>6623.05</v>
      </c>
      <c r="E86">
        <v>0</v>
      </c>
      <c r="F86">
        <v>0</v>
      </c>
      <c r="G86">
        <v>87</v>
      </c>
      <c r="H86">
        <v>6623.05</v>
      </c>
      <c r="I86">
        <v>274</v>
      </c>
      <c r="J86">
        <v>19270.309999999998</v>
      </c>
    </row>
    <row r="87" spans="1:10" x14ac:dyDescent="0.25">
      <c r="A87" t="s">
        <v>500</v>
      </c>
      <c r="B87" t="s">
        <v>499</v>
      </c>
      <c r="C87">
        <v>3</v>
      </c>
      <c r="D87">
        <v>78.86</v>
      </c>
      <c r="E87">
        <v>1505</v>
      </c>
      <c r="F87">
        <v>49753.939999999842</v>
      </c>
      <c r="G87">
        <v>1508</v>
      </c>
      <c r="H87">
        <v>49832.799999999843</v>
      </c>
      <c r="I87">
        <v>2766</v>
      </c>
      <c r="J87">
        <v>72982.89</v>
      </c>
    </row>
    <row r="88" spans="1:10" x14ac:dyDescent="0.25">
      <c r="A88" t="s">
        <v>540</v>
      </c>
      <c r="B88" t="s">
        <v>539</v>
      </c>
      <c r="C88">
        <v>14</v>
      </c>
      <c r="D88">
        <v>468.28</v>
      </c>
      <c r="E88">
        <v>25</v>
      </c>
      <c r="F88">
        <v>950.49999999999966</v>
      </c>
      <c r="G88">
        <v>39</v>
      </c>
      <c r="H88">
        <v>1418.7799999999997</v>
      </c>
      <c r="I88">
        <v>24</v>
      </c>
      <c r="J88">
        <v>837.9</v>
      </c>
    </row>
    <row r="89" spans="1:10" x14ac:dyDescent="0.25">
      <c r="A89" t="s">
        <v>61</v>
      </c>
      <c r="B89" t="s">
        <v>60</v>
      </c>
      <c r="C89">
        <v>7</v>
      </c>
      <c r="D89">
        <v>141.54999999999998</v>
      </c>
      <c r="E89">
        <v>0</v>
      </c>
      <c r="F89">
        <v>0</v>
      </c>
      <c r="G89">
        <v>7</v>
      </c>
      <c r="H89">
        <v>141.54999999999998</v>
      </c>
      <c r="I89">
        <v>-4</v>
      </c>
      <c r="J89">
        <v>-63</v>
      </c>
    </row>
    <row r="90" spans="1:10" x14ac:dyDescent="0.25">
      <c r="A90" t="s">
        <v>63</v>
      </c>
      <c r="B90" t="s">
        <v>62</v>
      </c>
      <c r="C90">
        <v>18</v>
      </c>
      <c r="D90">
        <v>445.64</v>
      </c>
      <c r="E90">
        <v>0</v>
      </c>
      <c r="F90">
        <v>0</v>
      </c>
      <c r="G90">
        <v>18</v>
      </c>
      <c r="H90">
        <v>445.64</v>
      </c>
      <c r="I90">
        <v>59</v>
      </c>
      <c r="J90">
        <v>1299.3800000000001</v>
      </c>
    </row>
    <row r="91" spans="1:10" x14ac:dyDescent="0.25">
      <c r="A91" t="s">
        <v>65</v>
      </c>
      <c r="B91" t="s">
        <v>64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75.91</v>
      </c>
    </row>
    <row r="92" spans="1:10" x14ac:dyDescent="0.25">
      <c r="A92" t="s">
        <v>67</v>
      </c>
      <c r="B92" t="s">
        <v>66</v>
      </c>
      <c r="C92">
        <v>24</v>
      </c>
      <c r="D92">
        <v>832.16</v>
      </c>
      <c r="E92">
        <v>0</v>
      </c>
      <c r="F92">
        <v>0</v>
      </c>
      <c r="G92">
        <v>24</v>
      </c>
      <c r="H92">
        <v>832.16</v>
      </c>
      <c r="I92">
        <v>24</v>
      </c>
      <c r="J92">
        <v>717.56999999999994</v>
      </c>
    </row>
    <row r="93" spans="1:10" x14ac:dyDescent="0.25">
      <c r="A93" t="s">
        <v>638</v>
      </c>
      <c r="B93" t="s">
        <v>639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21.51</v>
      </c>
    </row>
    <row r="94" spans="1:10" x14ac:dyDescent="0.25">
      <c r="A94" t="s">
        <v>69</v>
      </c>
      <c r="B94" t="s">
        <v>68</v>
      </c>
      <c r="C94">
        <v>17</v>
      </c>
      <c r="D94">
        <v>599.7299999999999</v>
      </c>
      <c r="E94">
        <v>12</v>
      </c>
      <c r="F94">
        <v>467.05000000000007</v>
      </c>
      <c r="G94">
        <v>29</v>
      </c>
      <c r="H94">
        <v>1066.78</v>
      </c>
      <c r="I94">
        <v>70</v>
      </c>
      <c r="J94">
        <v>2055.79</v>
      </c>
    </row>
    <row r="95" spans="1:10" x14ac:dyDescent="0.25">
      <c r="A95" t="s">
        <v>71</v>
      </c>
      <c r="B95" t="s">
        <v>70</v>
      </c>
      <c r="C95">
        <v>18</v>
      </c>
      <c r="D95">
        <v>451.1</v>
      </c>
      <c r="E95">
        <v>0</v>
      </c>
      <c r="F95">
        <v>0</v>
      </c>
      <c r="G95">
        <v>18</v>
      </c>
      <c r="H95">
        <v>451.1</v>
      </c>
      <c r="I95">
        <v>19</v>
      </c>
      <c r="J95">
        <v>414.19</v>
      </c>
    </row>
    <row r="96" spans="1:10" x14ac:dyDescent="0.25">
      <c r="A96" t="s">
        <v>640</v>
      </c>
      <c r="B96" t="s">
        <v>641</v>
      </c>
      <c r="C96">
        <v>1</v>
      </c>
      <c r="D96">
        <v>20.41</v>
      </c>
      <c r="E96">
        <v>0</v>
      </c>
      <c r="F96">
        <v>0</v>
      </c>
      <c r="G96">
        <v>1</v>
      </c>
      <c r="H96">
        <v>20.41</v>
      </c>
      <c r="I96">
        <v>0</v>
      </c>
      <c r="J96">
        <v>0</v>
      </c>
    </row>
    <row r="97" spans="1:10" x14ac:dyDescent="0.25">
      <c r="A97" t="s">
        <v>518</v>
      </c>
      <c r="B97" t="s">
        <v>517</v>
      </c>
      <c r="C97">
        <v>15</v>
      </c>
      <c r="D97">
        <v>309.32</v>
      </c>
      <c r="E97">
        <v>288</v>
      </c>
      <c r="F97">
        <v>7305.4900000000125</v>
      </c>
      <c r="G97">
        <v>303</v>
      </c>
      <c r="H97">
        <v>7614.810000000014</v>
      </c>
      <c r="I97">
        <v>1459</v>
      </c>
      <c r="J97">
        <v>29574.25</v>
      </c>
    </row>
    <row r="98" spans="1:10" x14ac:dyDescent="0.25">
      <c r="A98" t="s">
        <v>73</v>
      </c>
      <c r="B98" t="s">
        <v>72</v>
      </c>
      <c r="C98">
        <v>59</v>
      </c>
      <c r="D98">
        <v>2870.5</v>
      </c>
      <c r="E98">
        <v>0</v>
      </c>
      <c r="F98">
        <v>0</v>
      </c>
      <c r="G98">
        <v>59</v>
      </c>
      <c r="H98">
        <v>2870.5</v>
      </c>
      <c r="I98">
        <v>67</v>
      </c>
      <c r="J98">
        <v>3905.01</v>
      </c>
    </row>
    <row r="99" spans="1:10" x14ac:dyDescent="0.25">
      <c r="A99" t="s">
        <v>75</v>
      </c>
      <c r="B99" t="s">
        <v>74</v>
      </c>
      <c r="C99">
        <v>3</v>
      </c>
      <c r="D99">
        <v>76.64</v>
      </c>
      <c r="E99">
        <v>0</v>
      </c>
      <c r="F99">
        <v>0</v>
      </c>
      <c r="G99">
        <v>3</v>
      </c>
      <c r="H99">
        <v>76.64</v>
      </c>
      <c r="I99">
        <v>2</v>
      </c>
      <c r="J99">
        <v>49.42</v>
      </c>
    </row>
    <row r="100" spans="1:10" x14ac:dyDescent="0.25">
      <c r="A100" t="s">
        <v>542</v>
      </c>
      <c r="B100" t="s">
        <v>541</v>
      </c>
      <c r="C100">
        <v>-2</v>
      </c>
      <c r="D100">
        <v>-10.24</v>
      </c>
      <c r="E100">
        <v>0</v>
      </c>
      <c r="F100">
        <v>0</v>
      </c>
      <c r="G100">
        <v>-2</v>
      </c>
      <c r="H100">
        <v>-10.24</v>
      </c>
      <c r="I100">
        <v>2</v>
      </c>
      <c r="J100">
        <v>13.36</v>
      </c>
    </row>
    <row r="101" spans="1:10" x14ac:dyDescent="0.25">
      <c r="A101" t="s">
        <v>570</v>
      </c>
      <c r="B101" t="s">
        <v>569</v>
      </c>
      <c r="C101">
        <v>12</v>
      </c>
      <c r="D101">
        <v>508.32</v>
      </c>
      <c r="E101">
        <v>0</v>
      </c>
      <c r="F101">
        <v>0</v>
      </c>
      <c r="G101">
        <v>12</v>
      </c>
      <c r="H101">
        <v>508.32</v>
      </c>
      <c r="I101">
        <v>13</v>
      </c>
      <c r="J101">
        <v>563.81999999999994</v>
      </c>
    </row>
    <row r="102" spans="1:10" x14ac:dyDescent="0.25">
      <c r="A102" t="s">
        <v>642</v>
      </c>
      <c r="B102" t="s">
        <v>643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765</v>
      </c>
      <c r="B103" t="s">
        <v>766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</v>
      </c>
      <c r="J103">
        <v>-10.75</v>
      </c>
    </row>
    <row r="104" spans="1:10" x14ac:dyDescent="0.25">
      <c r="A104" t="s">
        <v>528</v>
      </c>
      <c r="B104" t="s">
        <v>527</v>
      </c>
      <c r="C104">
        <v>102</v>
      </c>
      <c r="D104">
        <v>4459.33</v>
      </c>
      <c r="E104">
        <v>45</v>
      </c>
      <c r="F104">
        <v>2180.4999999999995</v>
      </c>
      <c r="G104">
        <v>147</v>
      </c>
      <c r="H104">
        <v>6639.83</v>
      </c>
      <c r="I104">
        <v>543</v>
      </c>
      <c r="J104">
        <v>22346.940000000002</v>
      </c>
    </row>
    <row r="105" spans="1:10" x14ac:dyDescent="0.25">
      <c r="A105" t="s">
        <v>77</v>
      </c>
      <c r="B105" t="s">
        <v>76</v>
      </c>
      <c r="C105">
        <v>461</v>
      </c>
      <c r="D105">
        <v>5607.1200000000008</v>
      </c>
      <c r="E105">
        <v>0</v>
      </c>
      <c r="F105">
        <v>0</v>
      </c>
      <c r="G105">
        <v>461</v>
      </c>
      <c r="H105">
        <v>5607.1200000000008</v>
      </c>
      <c r="I105">
        <v>119</v>
      </c>
      <c r="J105">
        <v>1103.5500000000002</v>
      </c>
    </row>
    <row r="106" spans="1:10" x14ac:dyDescent="0.25">
      <c r="A106" t="s">
        <v>644</v>
      </c>
      <c r="B106" t="s">
        <v>645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28</v>
      </c>
      <c r="J106">
        <v>143.36000000000001</v>
      </c>
    </row>
    <row r="107" spans="1:10" x14ac:dyDescent="0.25">
      <c r="A107" t="s">
        <v>79</v>
      </c>
      <c r="B107" t="s">
        <v>78</v>
      </c>
      <c r="C107">
        <v>189</v>
      </c>
      <c r="D107">
        <v>2718.02</v>
      </c>
      <c r="E107">
        <v>0</v>
      </c>
      <c r="F107">
        <v>0</v>
      </c>
      <c r="G107">
        <v>189</v>
      </c>
      <c r="H107">
        <v>2718.02</v>
      </c>
      <c r="I107">
        <v>593</v>
      </c>
      <c r="J107">
        <v>8580.82</v>
      </c>
    </row>
    <row r="108" spans="1:10" x14ac:dyDescent="0.25">
      <c r="A108" t="s">
        <v>81</v>
      </c>
      <c r="B108" t="s">
        <v>80</v>
      </c>
      <c r="C108">
        <v>32</v>
      </c>
      <c r="D108">
        <v>1433.2600000000002</v>
      </c>
      <c r="E108">
        <v>0</v>
      </c>
      <c r="F108">
        <v>0</v>
      </c>
      <c r="G108">
        <v>32</v>
      </c>
      <c r="H108">
        <v>1433.2600000000002</v>
      </c>
      <c r="I108">
        <v>1008</v>
      </c>
      <c r="J108">
        <v>33136.15</v>
      </c>
    </row>
    <row r="109" spans="1:10" x14ac:dyDescent="0.25">
      <c r="A109" t="s">
        <v>646</v>
      </c>
      <c r="B109" t="s">
        <v>647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64.61</v>
      </c>
    </row>
    <row r="110" spans="1:10" x14ac:dyDescent="0.25">
      <c r="A110" t="s">
        <v>83</v>
      </c>
      <c r="B110" t="s">
        <v>82</v>
      </c>
      <c r="C110">
        <v>3</v>
      </c>
      <c r="D110">
        <v>352.23</v>
      </c>
      <c r="E110">
        <v>0</v>
      </c>
      <c r="F110">
        <v>0</v>
      </c>
      <c r="G110">
        <v>3</v>
      </c>
      <c r="H110">
        <v>352.23</v>
      </c>
      <c r="I110">
        <v>0</v>
      </c>
      <c r="J110">
        <v>0</v>
      </c>
    </row>
    <row r="111" spans="1:10" x14ac:dyDescent="0.25">
      <c r="A111" t="s">
        <v>85</v>
      </c>
      <c r="B111" t="s">
        <v>84</v>
      </c>
      <c r="C111">
        <v>120</v>
      </c>
      <c r="D111">
        <v>6784.1</v>
      </c>
      <c r="E111">
        <v>0</v>
      </c>
      <c r="F111">
        <v>0</v>
      </c>
      <c r="G111">
        <v>120</v>
      </c>
      <c r="H111">
        <v>6784.1</v>
      </c>
      <c r="I111">
        <v>105</v>
      </c>
      <c r="J111">
        <v>5264.46</v>
      </c>
    </row>
    <row r="112" spans="1:10" x14ac:dyDescent="0.25">
      <c r="A112" t="s">
        <v>494</v>
      </c>
      <c r="B112" t="s">
        <v>493</v>
      </c>
      <c r="C112">
        <v>97</v>
      </c>
      <c r="D112">
        <v>2912.6399999999994</v>
      </c>
      <c r="E112">
        <v>28</v>
      </c>
      <c r="F112">
        <v>1245.3999999999996</v>
      </c>
      <c r="G112">
        <v>125</v>
      </c>
      <c r="H112">
        <v>4158.04</v>
      </c>
      <c r="I112">
        <v>230</v>
      </c>
      <c r="J112">
        <v>6806.46</v>
      </c>
    </row>
    <row r="113" spans="1:10" x14ac:dyDescent="0.25">
      <c r="A113" t="s">
        <v>87</v>
      </c>
      <c r="B113" t="s">
        <v>86</v>
      </c>
      <c r="C113">
        <v>111</v>
      </c>
      <c r="D113">
        <v>1317.43</v>
      </c>
      <c r="E113">
        <v>1</v>
      </c>
      <c r="F113">
        <v>19.899999999999999</v>
      </c>
      <c r="G113">
        <v>112</v>
      </c>
      <c r="H113">
        <v>1337.33</v>
      </c>
      <c r="I113">
        <v>105</v>
      </c>
      <c r="J113">
        <v>987.62999999999988</v>
      </c>
    </row>
    <row r="114" spans="1:10" x14ac:dyDescent="0.25">
      <c r="A114" t="s">
        <v>89</v>
      </c>
      <c r="B114" t="s">
        <v>88</v>
      </c>
      <c r="C114">
        <v>1</v>
      </c>
      <c r="D114">
        <v>55.84</v>
      </c>
      <c r="E114">
        <v>0</v>
      </c>
      <c r="F114">
        <v>0</v>
      </c>
      <c r="G114">
        <v>1</v>
      </c>
      <c r="H114">
        <v>55.84</v>
      </c>
      <c r="I114">
        <v>0</v>
      </c>
      <c r="J114">
        <v>0</v>
      </c>
    </row>
    <row r="115" spans="1:10" x14ac:dyDescent="0.25">
      <c r="A115" t="s">
        <v>648</v>
      </c>
      <c r="B115" t="s">
        <v>649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-3</v>
      </c>
      <c r="J115">
        <v>-24.33</v>
      </c>
    </row>
    <row r="116" spans="1:10" x14ac:dyDescent="0.25">
      <c r="A116" t="s">
        <v>650</v>
      </c>
      <c r="B116" t="s">
        <v>651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</v>
      </c>
      <c r="J116">
        <v>143.11000000000001</v>
      </c>
    </row>
    <row r="117" spans="1:10" x14ac:dyDescent="0.25">
      <c r="A117" t="s">
        <v>91</v>
      </c>
      <c r="B117" t="s">
        <v>90</v>
      </c>
      <c r="C117">
        <v>20</v>
      </c>
      <c r="D117">
        <v>462.66</v>
      </c>
      <c r="E117">
        <v>0</v>
      </c>
      <c r="F117">
        <v>0</v>
      </c>
      <c r="G117">
        <v>20</v>
      </c>
      <c r="H117">
        <v>462.66</v>
      </c>
      <c r="I117">
        <v>2</v>
      </c>
      <c r="J117">
        <v>34.89</v>
      </c>
    </row>
    <row r="118" spans="1:10" x14ac:dyDescent="0.25">
      <c r="A118" t="s">
        <v>93</v>
      </c>
      <c r="B118" t="s">
        <v>92</v>
      </c>
      <c r="C118">
        <v>16</v>
      </c>
      <c r="D118">
        <v>71.180000000000007</v>
      </c>
      <c r="E118">
        <v>0</v>
      </c>
      <c r="F118">
        <v>0</v>
      </c>
      <c r="G118">
        <v>16</v>
      </c>
      <c r="H118">
        <v>71.180000000000007</v>
      </c>
      <c r="I118">
        <v>3</v>
      </c>
      <c r="J118">
        <v>13.57</v>
      </c>
    </row>
    <row r="119" spans="1:10" x14ac:dyDescent="0.25">
      <c r="A119" t="s">
        <v>95</v>
      </c>
      <c r="B119" t="s">
        <v>94</v>
      </c>
      <c r="C119">
        <v>3</v>
      </c>
      <c r="D119">
        <v>86.9</v>
      </c>
      <c r="E119">
        <v>0</v>
      </c>
      <c r="F119">
        <v>0</v>
      </c>
      <c r="G119">
        <v>3</v>
      </c>
      <c r="H119">
        <v>86.9</v>
      </c>
      <c r="I119">
        <v>1</v>
      </c>
      <c r="J119">
        <v>33.5</v>
      </c>
    </row>
    <row r="120" spans="1:10" x14ac:dyDescent="0.25">
      <c r="A120" t="s">
        <v>97</v>
      </c>
      <c r="B120" t="s">
        <v>96</v>
      </c>
      <c r="C120">
        <v>2</v>
      </c>
      <c r="D120">
        <v>111.24</v>
      </c>
      <c r="E120">
        <v>0</v>
      </c>
      <c r="F120">
        <v>0</v>
      </c>
      <c r="G120">
        <v>2</v>
      </c>
      <c r="H120">
        <v>111.24</v>
      </c>
      <c r="I120">
        <v>1</v>
      </c>
      <c r="J120">
        <v>36.46</v>
      </c>
    </row>
    <row r="121" spans="1:10" x14ac:dyDescent="0.25">
      <c r="A121" t="s">
        <v>99</v>
      </c>
      <c r="B121" t="s">
        <v>98</v>
      </c>
      <c r="C121">
        <v>3</v>
      </c>
      <c r="D121">
        <v>125.08999999999999</v>
      </c>
      <c r="E121">
        <v>0</v>
      </c>
      <c r="F121">
        <v>0</v>
      </c>
      <c r="G121">
        <v>3</v>
      </c>
      <c r="H121">
        <v>125.08999999999999</v>
      </c>
      <c r="I121">
        <v>38</v>
      </c>
      <c r="J121">
        <v>1551.74</v>
      </c>
    </row>
    <row r="122" spans="1:10" x14ac:dyDescent="0.25">
      <c r="A122" t="s">
        <v>101</v>
      </c>
      <c r="B122" t="s">
        <v>100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24</v>
      </c>
      <c r="J122">
        <v>141.28</v>
      </c>
    </row>
    <row r="123" spans="1:10" x14ac:dyDescent="0.25">
      <c r="A123" t="s">
        <v>767</v>
      </c>
      <c r="B123" t="s">
        <v>768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2</v>
      </c>
      <c r="J123">
        <v>49.02</v>
      </c>
    </row>
    <row r="124" spans="1:10" x14ac:dyDescent="0.25">
      <c r="A124" t="s">
        <v>103</v>
      </c>
      <c r="B124" t="s">
        <v>102</v>
      </c>
      <c r="C124">
        <v>20</v>
      </c>
      <c r="D124">
        <v>507.84</v>
      </c>
      <c r="E124">
        <v>40</v>
      </c>
      <c r="F124">
        <v>1210.6899999999996</v>
      </c>
      <c r="G124">
        <v>60</v>
      </c>
      <c r="H124">
        <v>1718.5299999999995</v>
      </c>
      <c r="I124">
        <v>245</v>
      </c>
      <c r="J124">
        <v>5707.38</v>
      </c>
    </row>
    <row r="125" spans="1:10" x14ac:dyDescent="0.25">
      <c r="A125" t="s">
        <v>652</v>
      </c>
      <c r="B125" t="s">
        <v>653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20.41</v>
      </c>
    </row>
    <row r="126" spans="1:10" x14ac:dyDescent="0.25">
      <c r="A126" t="s">
        <v>654</v>
      </c>
      <c r="B126" t="s">
        <v>655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510</v>
      </c>
      <c r="B127" t="s">
        <v>509</v>
      </c>
      <c r="C127">
        <v>532</v>
      </c>
      <c r="D127">
        <v>7943.79</v>
      </c>
      <c r="E127">
        <v>0</v>
      </c>
      <c r="F127">
        <v>0</v>
      </c>
      <c r="G127">
        <v>532</v>
      </c>
      <c r="H127">
        <v>7943.79</v>
      </c>
      <c r="I127">
        <v>237</v>
      </c>
      <c r="J127">
        <v>3029.43</v>
      </c>
    </row>
    <row r="128" spans="1:10" x14ac:dyDescent="0.25">
      <c r="A128" t="s">
        <v>769</v>
      </c>
      <c r="B128" t="s">
        <v>770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656</v>
      </c>
      <c r="B129" t="s">
        <v>657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4</v>
      </c>
      <c r="J129">
        <v>279.06</v>
      </c>
    </row>
    <row r="130" spans="1:10" x14ac:dyDescent="0.25">
      <c r="A130" t="s">
        <v>479</v>
      </c>
      <c r="B130" t="s">
        <v>478</v>
      </c>
      <c r="C130">
        <v>82</v>
      </c>
      <c r="D130">
        <v>1827.2600000000002</v>
      </c>
      <c r="E130">
        <v>0</v>
      </c>
      <c r="F130">
        <v>0</v>
      </c>
      <c r="G130">
        <v>82</v>
      </c>
      <c r="H130">
        <v>1827.2600000000002</v>
      </c>
      <c r="I130">
        <v>280</v>
      </c>
      <c r="J130">
        <v>5669.34</v>
      </c>
    </row>
    <row r="131" spans="1:10" x14ac:dyDescent="0.25">
      <c r="A131" t="s">
        <v>105</v>
      </c>
      <c r="B131" t="s">
        <v>104</v>
      </c>
      <c r="C131">
        <v>43</v>
      </c>
      <c r="D131">
        <v>1066.24</v>
      </c>
      <c r="E131">
        <v>0</v>
      </c>
      <c r="F131">
        <v>0</v>
      </c>
      <c r="G131">
        <v>43</v>
      </c>
      <c r="H131">
        <v>1066.24</v>
      </c>
      <c r="I131">
        <v>0</v>
      </c>
      <c r="J131">
        <v>0</v>
      </c>
    </row>
    <row r="132" spans="1:10" x14ac:dyDescent="0.25">
      <c r="A132" t="s">
        <v>480</v>
      </c>
      <c r="B132" t="s">
        <v>478</v>
      </c>
      <c r="C132">
        <v>-10</v>
      </c>
      <c r="D132">
        <v>-117.10000000000001</v>
      </c>
      <c r="E132">
        <v>489</v>
      </c>
      <c r="F132">
        <v>7328.0300000000243</v>
      </c>
      <c r="G132">
        <v>479</v>
      </c>
      <c r="H132">
        <v>7210.9300000000239</v>
      </c>
      <c r="I132">
        <v>931</v>
      </c>
      <c r="J132">
        <v>9586.9700000000012</v>
      </c>
    </row>
    <row r="133" spans="1:10" x14ac:dyDescent="0.25">
      <c r="A133" t="s">
        <v>658</v>
      </c>
      <c r="B133" t="s">
        <v>659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32.979999999999997</v>
      </c>
    </row>
    <row r="134" spans="1:10" x14ac:dyDescent="0.25">
      <c r="A134" t="s">
        <v>107</v>
      </c>
      <c r="B134" t="s">
        <v>106</v>
      </c>
      <c r="C134">
        <v>12</v>
      </c>
      <c r="D134">
        <v>196.69</v>
      </c>
      <c r="E134">
        <v>0</v>
      </c>
      <c r="F134">
        <v>0</v>
      </c>
      <c r="G134">
        <v>12</v>
      </c>
      <c r="H134">
        <v>196.69</v>
      </c>
      <c r="I134">
        <v>4</v>
      </c>
      <c r="J134">
        <v>94.41</v>
      </c>
    </row>
    <row r="135" spans="1:10" x14ac:dyDescent="0.25">
      <c r="A135" t="s">
        <v>109</v>
      </c>
      <c r="B135" t="s">
        <v>108</v>
      </c>
      <c r="C135">
        <v>2</v>
      </c>
      <c r="D135">
        <v>183.2</v>
      </c>
      <c r="E135">
        <v>0</v>
      </c>
      <c r="F135">
        <v>0</v>
      </c>
      <c r="G135">
        <v>2</v>
      </c>
      <c r="H135">
        <v>183.2</v>
      </c>
      <c r="I135">
        <v>5</v>
      </c>
      <c r="J135">
        <v>307.46000000000004</v>
      </c>
    </row>
    <row r="136" spans="1:10" x14ac:dyDescent="0.25">
      <c r="A136" t="s">
        <v>111</v>
      </c>
      <c r="B136" t="s">
        <v>110</v>
      </c>
      <c r="C136">
        <v>1031</v>
      </c>
      <c r="D136">
        <v>13137.439999999999</v>
      </c>
      <c r="E136">
        <v>0</v>
      </c>
      <c r="F136">
        <v>0</v>
      </c>
      <c r="G136">
        <v>1031</v>
      </c>
      <c r="H136">
        <v>13137.439999999999</v>
      </c>
      <c r="I136">
        <v>670</v>
      </c>
      <c r="J136">
        <v>8261.76</v>
      </c>
    </row>
    <row r="137" spans="1:10" x14ac:dyDescent="0.25">
      <c r="A137" t="s">
        <v>477</v>
      </c>
      <c r="B137" t="s">
        <v>476</v>
      </c>
      <c r="C137">
        <v>170</v>
      </c>
      <c r="D137">
        <v>4732.2700000000004</v>
      </c>
      <c r="E137">
        <v>1787</v>
      </c>
      <c r="F137">
        <v>57767.230000000243</v>
      </c>
      <c r="G137">
        <v>1957</v>
      </c>
      <c r="H137">
        <v>62499.500000000247</v>
      </c>
      <c r="I137">
        <v>983</v>
      </c>
      <c r="J137">
        <v>30243.43</v>
      </c>
    </row>
    <row r="138" spans="1:10" x14ac:dyDescent="0.25">
      <c r="A138" t="s">
        <v>660</v>
      </c>
      <c r="B138" t="s">
        <v>661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t="s">
        <v>662</v>
      </c>
      <c r="B139" t="s">
        <v>663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</v>
      </c>
      <c r="J139">
        <v>394.15999999999997</v>
      </c>
    </row>
    <row r="140" spans="1:10" x14ac:dyDescent="0.25">
      <c r="A140" t="s">
        <v>664</v>
      </c>
      <c r="B140" t="s">
        <v>665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28.84</v>
      </c>
    </row>
    <row r="141" spans="1:10" x14ac:dyDescent="0.25">
      <c r="A141" t="s">
        <v>490</v>
      </c>
      <c r="B141" t="s">
        <v>489</v>
      </c>
      <c r="C141">
        <v>20</v>
      </c>
      <c r="D141">
        <v>779.36</v>
      </c>
      <c r="E141">
        <v>41</v>
      </c>
      <c r="F141">
        <v>1979.7999999999997</v>
      </c>
      <c r="G141">
        <v>61</v>
      </c>
      <c r="H141">
        <v>2759.1599999999994</v>
      </c>
      <c r="I141">
        <v>635</v>
      </c>
      <c r="J141">
        <v>24006.82</v>
      </c>
    </row>
    <row r="142" spans="1:10" x14ac:dyDescent="0.25">
      <c r="A142" t="s">
        <v>522</v>
      </c>
      <c r="B142" t="s">
        <v>521</v>
      </c>
      <c r="C142">
        <v>156</v>
      </c>
      <c r="D142">
        <v>6610.09</v>
      </c>
      <c r="E142">
        <v>45</v>
      </c>
      <c r="F142">
        <v>2695.4999999999995</v>
      </c>
      <c r="G142">
        <v>201</v>
      </c>
      <c r="H142">
        <v>9305.5899999999983</v>
      </c>
      <c r="I142">
        <v>192</v>
      </c>
      <c r="J142">
        <v>8727.82</v>
      </c>
    </row>
    <row r="143" spans="1:10" x14ac:dyDescent="0.25">
      <c r="A143" t="s">
        <v>666</v>
      </c>
      <c r="B143" t="s">
        <v>667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44.57</v>
      </c>
    </row>
    <row r="144" spans="1:10" x14ac:dyDescent="0.25">
      <c r="A144" t="s">
        <v>113</v>
      </c>
      <c r="B144" t="s">
        <v>112</v>
      </c>
      <c r="C144">
        <v>7</v>
      </c>
      <c r="D144">
        <v>105.13</v>
      </c>
      <c r="E144">
        <v>0</v>
      </c>
      <c r="F144">
        <v>0</v>
      </c>
      <c r="G144">
        <v>7</v>
      </c>
      <c r="H144">
        <v>105.13</v>
      </c>
      <c r="I144">
        <v>4</v>
      </c>
      <c r="J144">
        <v>59.63</v>
      </c>
    </row>
    <row r="145" spans="1:10" x14ac:dyDescent="0.25">
      <c r="A145" t="s">
        <v>115</v>
      </c>
      <c r="B145" t="s">
        <v>114</v>
      </c>
      <c r="C145">
        <v>2</v>
      </c>
      <c r="D145">
        <v>66.5</v>
      </c>
      <c r="E145">
        <v>0</v>
      </c>
      <c r="F145">
        <v>0</v>
      </c>
      <c r="G145">
        <v>2</v>
      </c>
      <c r="H145">
        <v>66.5</v>
      </c>
      <c r="I145">
        <v>2</v>
      </c>
      <c r="J145">
        <v>71.099999999999994</v>
      </c>
    </row>
    <row r="146" spans="1:10" x14ac:dyDescent="0.25">
      <c r="A146" t="s">
        <v>117</v>
      </c>
      <c r="B146" t="s">
        <v>116</v>
      </c>
      <c r="C146">
        <v>2</v>
      </c>
      <c r="D146">
        <v>109.8</v>
      </c>
      <c r="E146">
        <v>0</v>
      </c>
      <c r="F146">
        <v>0</v>
      </c>
      <c r="G146">
        <v>2</v>
      </c>
      <c r="H146">
        <v>109.8</v>
      </c>
      <c r="I146">
        <v>2</v>
      </c>
      <c r="J146">
        <v>115.25</v>
      </c>
    </row>
    <row r="147" spans="1:10" x14ac:dyDescent="0.25">
      <c r="A147" t="s">
        <v>544</v>
      </c>
      <c r="B147" t="s">
        <v>543</v>
      </c>
      <c r="C147">
        <v>428</v>
      </c>
      <c r="D147">
        <v>8726.7000000000007</v>
      </c>
      <c r="E147">
        <v>0</v>
      </c>
      <c r="F147">
        <v>0</v>
      </c>
      <c r="G147">
        <v>428</v>
      </c>
      <c r="H147">
        <v>8726.7000000000007</v>
      </c>
      <c r="I147">
        <v>1261</v>
      </c>
      <c r="J147">
        <v>25922.35</v>
      </c>
    </row>
    <row r="148" spans="1:10" x14ac:dyDescent="0.25">
      <c r="A148" t="s">
        <v>771</v>
      </c>
      <c r="B148" t="s">
        <v>772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119</v>
      </c>
      <c r="B149" t="s">
        <v>118</v>
      </c>
      <c r="C149">
        <v>12</v>
      </c>
      <c r="D149">
        <v>270.78999999999996</v>
      </c>
      <c r="E149">
        <v>0</v>
      </c>
      <c r="F149">
        <v>0</v>
      </c>
      <c r="G149">
        <v>12</v>
      </c>
      <c r="H149">
        <v>270.78999999999996</v>
      </c>
      <c r="I149">
        <v>13</v>
      </c>
      <c r="J149">
        <v>267.13</v>
      </c>
    </row>
    <row r="150" spans="1:10" x14ac:dyDescent="0.25">
      <c r="A150" t="s">
        <v>668</v>
      </c>
      <c r="B150" t="s">
        <v>669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13</v>
      </c>
      <c r="J150">
        <v>284.15999999999997</v>
      </c>
    </row>
    <row r="151" spans="1:10" x14ac:dyDescent="0.25">
      <c r="A151" t="s">
        <v>121</v>
      </c>
      <c r="B151" t="s">
        <v>120</v>
      </c>
      <c r="C151">
        <v>2</v>
      </c>
      <c r="D151">
        <v>34.14</v>
      </c>
      <c r="E151">
        <v>0</v>
      </c>
      <c r="F151">
        <v>0</v>
      </c>
      <c r="G151">
        <v>2</v>
      </c>
      <c r="H151">
        <v>34.14</v>
      </c>
      <c r="I151">
        <v>0</v>
      </c>
      <c r="J151">
        <v>0</v>
      </c>
    </row>
    <row r="152" spans="1:10" x14ac:dyDescent="0.25">
      <c r="A152" t="s">
        <v>546</v>
      </c>
      <c r="B152" t="s">
        <v>545</v>
      </c>
      <c r="C152">
        <v>211</v>
      </c>
      <c r="D152">
        <v>1582.1000000000001</v>
      </c>
      <c r="E152">
        <v>0</v>
      </c>
      <c r="F152">
        <v>0</v>
      </c>
      <c r="G152">
        <v>211</v>
      </c>
      <c r="H152">
        <v>1582.1000000000001</v>
      </c>
      <c r="I152">
        <v>207</v>
      </c>
      <c r="J152">
        <v>1703.6000000000001</v>
      </c>
    </row>
    <row r="153" spans="1:10" x14ac:dyDescent="0.25">
      <c r="A153" t="s">
        <v>670</v>
      </c>
      <c r="B153" t="s">
        <v>671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7.0000000000000284E-2</v>
      </c>
    </row>
    <row r="154" spans="1:10" x14ac:dyDescent="0.25">
      <c r="A154" t="s">
        <v>488</v>
      </c>
      <c r="B154" t="s">
        <v>487</v>
      </c>
      <c r="C154">
        <v>58</v>
      </c>
      <c r="D154">
        <v>837.36</v>
      </c>
      <c r="E154">
        <v>0</v>
      </c>
      <c r="F154">
        <v>0</v>
      </c>
      <c r="G154">
        <v>58</v>
      </c>
      <c r="H154">
        <v>837.36</v>
      </c>
      <c r="I154">
        <v>8</v>
      </c>
      <c r="J154">
        <v>230.14</v>
      </c>
    </row>
    <row r="155" spans="1:10" x14ac:dyDescent="0.25">
      <c r="A155" t="s">
        <v>672</v>
      </c>
      <c r="B155" t="s">
        <v>673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40.74</v>
      </c>
    </row>
    <row r="156" spans="1:10" x14ac:dyDescent="0.25">
      <c r="A156" t="s">
        <v>502</v>
      </c>
      <c r="B156" t="s">
        <v>501</v>
      </c>
      <c r="C156">
        <v>6</v>
      </c>
      <c r="D156">
        <v>438.25</v>
      </c>
      <c r="E156">
        <v>0</v>
      </c>
      <c r="F156">
        <v>0</v>
      </c>
      <c r="G156">
        <v>6</v>
      </c>
      <c r="H156">
        <v>438.25</v>
      </c>
      <c r="I156">
        <v>14</v>
      </c>
      <c r="J156">
        <v>1242.3899999999999</v>
      </c>
    </row>
    <row r="157" spans="1:10" x14ac:dyDescent="0.25">
      <c r="A157" t="s">
        <v>530</v>
      </c>
      <c r="B157" t="s">
        <v>529</v>
      </c>
      <c r="C157">
        <v>16</v>
      </c>
      <c r="D157">
        <v>736.81000000000006</v>
      </c>
      <c r="E157">
        <v>0</v>
      </c>
      <c r="F157">
        <v>0</v>
      </c>
      <c r="G157">
        <v>16</v>
      </c>
      <c r="H157">
        <v>736.81000000000006</v>
      </c>
      <c r="I157">
        <v>50</v>
      </c>
      <c r="J157">
        <v>2202.2799999999997</v>
      </c>
    </row>
    <row r="158" spans="1:10" x14ac:dyDescent="0.25">
      <c r="A158" t="s">
        <v>773</v>
      </c>
      <c r="B158" t="s">
        <v>774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674</v>
      </c>
      <c r="B159" t="s">
        <v>675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-3</v>
      </c>
      <c r="J159">
        <v>-31.98</v>
      </c>
    </row>
    <row r="160" spans="1:10" x14ac:dyDescent="0.25">
      <c r="A160" t="s">
        <v>775</v>
      </c>
      <c r="B160" t="s">
        <v>776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98.2</v>
      </c>
    </row>
    <row r="161" spans="1:10" x14ac:dyDescent="0.25">
      <c r="A161" t="s">
        <v>516</v>
      </c>
      <c r="B161" t="s">
        <v>515</v>
      </c>
      <c r="C161">
        <v>1107</v>
      </c>
      <c r="D161">
        <v>15709.4</v>
      </c>
      <c r="E161">
        <v>0</v>
      </c>
      <c r="F161">
        <v>0</v>
      </c>
      <c r="G161">
        <v>1107</v>
      </c>
      <c r="H161">
        <v>15709.4</v>
      </c>
      <c r="I161">
        <v>336</v>
      </c>
      <c r="J161">
        <v>4925.92</v>
      </c>
    </row>
    <row r="162" spans="1:10" x14ac:dyDescent="0.25">
      <c r="A162" t="s">
        <v>475</v>
      </c>
      <c r="B162" t="s">
        <v>474</v>
      </c>
      <c r="C162">
        <v>11</v>
      </c>
      <c r="D162">
        <v>215.99</v>
      </c>
      <c r="E162">
        <v>0</v>
      </c>
      <c r="F162">
        <v>0</v>
      </c>
      <c r="G162">
        <v>11</v>
      </c>
      <c r="H162">
        <v>215.99</v>
      </c>
      <c r="I162">
        <v>35</v>
      </c>
      <c r="J162">
        <v>514.47</v>
      </c>
    </row>
    <row r="163" spans="1:10" x14ac:dyDescent="0.25">
      <c r="A163" t="s">
        <v>123</v>
      </c>
      <c r="B163" t="s">
        <v>122</v>
      </c>
      <c r="C163">
        <v>80</v>
      </c>
      <c r="D163">
        <v>2117.61</v>
      </c>
      <c r="E163">
        <v>29</v>
      </c>
      <c r="F163">
        <v>1218.1899999999998</v>
      </c>
      <c r="G163">
        <v>109</v>
      </c>
      <c r="H163">
        <v>3335.8</v>
      </c>
      <c r="I163">
        <v>223</v>
      </c>
      <c r="J163">
        <v>5497.5300000000007</v>
      </c>
    </row>
    <row r="164" spans="1:10" x14ac:dyDescent="0.25">
      <c r="A164" t="s">
        <v>125</v>
      </c>
      <c r="B164" t="s">
        <v>124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2263</v>
      </c>
      <c r="J164">
        <v>28020.379999999997</v>
      </c>
    </row>
    <row r="165" spans="1:10" x14ac:dyDescent="0.25">
      <c r="A165" t="s">
        <v>560</v>
      </c>
      <c r="B165" t="s">
        <v>559</v>
      </c>
      <c r="C165">
        <v>133</v>
      </c>
      <c r="D165">
        <v>1520.85</v>
      </c>
      <c r="E165">
        <v>0</v>
      </c>
      <c r="F165">
        <v>0</v>
      </c>
      <c r="G165">
        <v>133</v>
      </c>
      <c r="H165">
        <v>1520.85</v>
      </c>
      <c r="I165">
        <v>241</v>
      </c>
      <c r="J165">
        <v>2476.4800000000005</v>
      </c>
    </row>
    <row r="166" spans="1:10" x14ac:dyDescent="0.25">
      <c r="A166" t="s">
        <v>496</v>
      </c>
      <c r="B166" t="s">
        <v>495</v>
      </c>
      <c r="C166">
        <v>23</v>
      </c>
      <c r="D166">
        <v>572.32000000000005</v>
      </c>
      <c r="E166">
        <v>0</v>
      </c>
      <c r="F166">
        <v>0</v>
      </c>
      <c r="G166">
        <v>23</v>
      </c>
      <c r="H166">
        <v>572.32000000000005</v>
      </c>
      <c r="I166">
        <v>18</v>
      </c>
      <c r="J166">
        <v>443.33</v>
      </c>
    </row>
    <row r="167" spans="1:10" x14ac:dyDescent="0.25">
      <c r="A167" t="s">
        <v>514</v>
      </c>
      <c r="B167" t="s">
        <v>513</v>
      </c>
      <c r="C167">
        <v>1</v>
      </c>
      <c r="D167">
        <v>24.41</v>
      </c>
      <c r="E167">
        <v>1</v>
      </c>
      <c r="F167">
        <v>28.93</v>
      </c>
      <c r="G167">
        <v>2</v>
      </c>
      <c r="H167">
        <v>53.339999999999996</v>
      </c>
      <c r="I167">
        <v>3</v>
      </c>
      <c r="J167">
        <v>74.5</v>
      </c>
    </row>
    <row r="168" spans="1:10" x14ac:dyDescent="0.25">
      <c r="A168" t="s">
        <v>676</v>
      </c>
      <c r="B168" t="s">
        <v>677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9</v>
      </c>
      <c r="J168">
        <v>101.35</v>
      </c>
    </row>
    <row r="169" spans="1:10" x14ac:dyDescent="0.25">
      <c r="A169" t="s">
        <v>678</v>
      </c>
      <c r="B169" t="s">
        <v>679</v>
      </c>
      <c r="C169">
        <v>-1</v>
      </c>
      <c r="D169">
        <v>-4.3600000000000003</v>
      </c>
      <c r="E169">
        <v>0</v>
      </c>
      <c r="F169">
        <v>0</v>
      </c>
      <c r="G169">
        <v>-1</v>
      </c>
      <c r="H169">
        <v>-4.3600000000000003</v>
      </c>
      <c r="I169">
        <v>0</v>
      </c>
      <c r="J169">
        <v>0</v>
      </c>
    </row>
    <row r="170" spans="1:10" x14ac:dyDescent="0.25">
      <c r="A170" t="s">
        <v>562</v>
      </c>
      <c r="B170" t="s">
        <v>561</v>
      </c>
      <c r="C170">
        <v>16</v>
      </c>
      <c r="D170">
        <v>79.660000000000011</v>
      </c>
      <c r="E170">
        <v>0</v>
      </c>
      <c r="F170">
        <v>0</v>
      </c>
      <c r="G170">
        <v>16</v>
      </c>
      <c r="H170">
        <v>79.660000000000011</v>
      </c>
      <c r="I170">
        <v>47</v>
      </c>
      <c r="J170">
        <v>371.03</v>
      </c>
    </row>
    <row r="171" spans="1:10" x14ac:dyDescent="0.25">
      <c r="A171" t="s">
        <v>127</v>
      </c>
      <c r="B171" t="s">
        <v>126</v>
      </c>
      <c r="C171">
        <v>374</v>
      </c>
      <c r="D171">
        <v>9044.630000000001</v>
      </c>
      <c r="E171">
        <v>405</v>
      </c>
      <c r="F171">
        <v>11862.500000000002</v>
      </c>
      <c r="G171">
        <v>779</v>
      </c>
      <c r="H171">
        <v>20907.130000000005</v>
      </c>
      <c r="I171">
        <v>1192</v>
      </c>
      <c r="J171">
        <v>27291.01</v>
      </c>
    </row>
    <row r="172" spans="1:10" x14ac:dyDescent="0.25">
      <c r="A172" t="s">
        <v>680</v>
      </c>
      <c r="B172" t="s">
        <v>681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</v>
      </c>
      <c r="J172">
        <v>-24.61</v>
      </c>
    </row>
    <row r="173" spans="1:10" x14ac:dyDescent="0.25">
      <c r="A173" t="s">
        <v>482</v>
      </c>
      <c r="B173" t="s">
        <v>481</v>
      </c>
      <c r="C173">
        <v>77</v>
      </c>
      <c r="D173">
        <v>3057.9400000000005</v>
      </c>
      <c r="E173">
        <v>7</v>
      </c>
      <c r="F173">
        <v>419.29999999999995</v>
      </c>
      <c r="G173">
        <v>84</v>
      </c>
      <c r="H173">
        <v>3477.24</v>
      </c>
      <c r="I173">
        <v>51</v>
      </c>
      <c r="J173">
        <v>2305</v>
      </c>
    </row>
    <row r="174" spans="1:10" x14ac:dyDescent="0.25">
      <c r="A174" t="s">
        <v>682</v>
      </c>
      <c r="B174" t="s">
        <v>683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</v>
      </c>
      <c r="J174">
        <v>404</v>
      </c>
    </row>
    <row r="175" spans="1:10" x14ac:dyDescent="0.25">
      <c r="A175" t="s">
        <v>129</v>
      </c>
      <c r="B175" t="s">
        <v>128</v>
      </c>
      <c r="C175">
        <v>3</v>
      </c>
      <c r="D175">
        <v>459.39</v>
      </c>
      <c r="E175">
        <v>0</v>
      </c>
      <c r="F175">
        <v>0</v>
      </c>
      <c r="G175">
        <v>3</v>
      </c>
      <c r="H175">
        <v>459.39</v>
      </c>
      <c r="I175">
        <v>0</v>
      </c>
      <c r="J175">
        <v>0</v>
      </c>
    </row>
    <row r="176" spans="1:10" x14ac:dyDescent="0.25">
      <c r="A176" t="s">
        <v>684</v>
      </c>
      <c r="B176" t="s">
        <v>685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47.98</v>
      </c>
    </row>
    <row r="177" spans="1:10" x14ac:dyDescent="0.25">
      <c r="A177" t="s">
        <v>548</v>
      </c>
      <c r="B177" t="s">
        <v>547</v>
      </c>
      <c r="C177">
        <v>43</v>
      </c>
      <c r="D177">
        <v>851.06999999999994</v>
      </c>
      <c r="E177">
        <v>0</v>
      </c>
      <c r="F177">
        <v>0</v>
      </c>
      <c r="G177">
        <v>43</v>
      </c>
      <c r="H177">
        <v>851.06999999999994</v>
      </c>
      <c r="I177">
        <v>55</v>
      </c>
      <c r="J177">
        <v>1090.27</v>
      </c>
    </row>
    <row r="178" spans="1:10" x14ac:dyDescent="0.25">
      <c r="A178" t="s">
        <v>131</v>
      </c>
      <c r="B178" t="s">
        <v>130</v>
      </c>
      <c r="C178">
        <v>1</v>
      </c>
      <c r="D178">
        <v>37.729999999999997</v>
      </c>
      <c r="E178">
        <v>0</v>
      </c>
      <c r="F178">
        <v>0</v>
      </c>
      <c r="G178">
        <v>1</v>
      </c>
      <c r="H178">
        <v>37.729999999999997</v>
      </c>
      <c r="I178">
        <v>3</v>
      </c>
      <c r="J178">
        <v>80.52</v>
      </c>
    </row>
    <row r="179" spans="1:10" x14ac:dyDescent="0.25">
      <c r="A179" t="s">
        <v>564</v>
      </c>
      <c r="B179" t="s">
        <v>563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 t="s">
        <v>686</v>
      </c>
      <c r="B180" t="s">
        <v>687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25.13</v>
      </c>
    </row>
    <row r="181" spans="1:10" x14ac:dyDescent="0.25">
      <c r="A181" t="s">
        <v>566</v>
      </c>
      <c r="B181" t="s">
        <v>565</v>
      </c>
      <c r="C181">
        <v>1</v>
      </c>
      <c r="D181">
        <v>65.75</v>
      </c>
      <c r="E181">
        <v>91</v>
      </c>
      <c r="F181">
        <v>7509.6100000000024</v>
      </c>
      <c r="G181">
        <v>92</v>
      </c>
      <c r="H181">
        <v>7575.3600000000024</v>
      </c>
      <c r="I181">
        <v>42</v>
      </c>
      <c r="J181">
        <v>2725.1600000000003</v>
      </c>
    </row>
    <row r="182" spans="1:10" x14ac:dyDescent="0.25">
      <c r="A182" t="s">
        <v>133</v>
      </c>
      <c r="B182" t="s">
        <v>132</v>
      </c>
      <c r="C182">
        <v>37</v>
      </c>
      <c r="D182">
        <v>1572.85</v>
      </c>
      <c r="E182">
        <v>4</v>
      </c>
      <c r="F182">
        <v>199.6</v>
      </c>
      <c r="G182">
        <v>41</v>
      </c>
      <c r="H182">
        <v>1772.4499999999998</v>
      </c>
      <c r="I182">
        <v>168</v>
      </c>
      <c r="J182">
        <v>7227.86</v>
      </c>
    </row>
    <row r="183" spans="1:10" x14ac:dyDescent="0.25">
      <c r="A183" t="s">
        <v>135</v>
      </c>
      <c r="B183" t="s">
        <v>134</v>
      </c>
      <c r="C183">
        <v>22</v>
      </c>
      <c r="D183">
        <v>563.47</v>
      </c>
      <c r="E183">
        <v>0</v>
      </c>
      <c r="F183">
        <v>0</v>
      </c>
      <c r="G183">
        <v>22</v>
      </c>
      <c r="H183">
        <v>563.47</v>
      </c>
      <c r="I183">
        <v>115</v>
      </c>
      <c r="J183">
        <v>2724.45</v>
      </c>
    </row>
    <row r="184" spans="1:10" x14ac:dyDescent="0.25">
      <c r="A184" t="s">
        <v>520</v>
      </c>
      <c r="B184" t="s">
        <v>519</v>
      </c>
      <c r="C184">
        <v>-14</v>
      </c>
      <c r="D184">
        <v>-837.39</v>
      </c>
      <c r="E184">
        <v>0</v>
      </c>
      <c r="F184">
        <v>0</v>
      </c>
      <c r="G184">
        <v>-14</v>
      </c>
      <c r="H184">
        <v>-837.39</v>
      </c>
      <c r="I184">
        <v>357</v>
      </c>
      <c r="J184">
        <v>21964.890000000003</v>
      </c>
    </row>
    <row r="185" spans="1:10" x14ac:dyDescent="0.25">
      <c r="A185" t="s">
        <v>688</v>
      </c>
      <c r="B185" t="s">
        <v>689</v>
      </c>
      <c r="C185">
        <v>3</v>
      </c>
      <c r="D185">
        <v>167.51999999999998</v>
      </c>
      <c r="E185">
        <v>0</v>
      </c>
      <c r="F185">
        <v>0</v>
      </c>
      <c r="G185">
        <v>3</v>
      </c>
      <c r="H185">
        <v>167.51999999999998</v>
      </c>
      <c r="I185">
        <v>2</v>
      </c>
      <c r="J185">
        <v>75.819999999999993</v>
      </c>
    </row>
    <row r="186" spans="1:10" x14ac:dyDescent="0.25">
      <c r="A186" t="s">
        <v>137</v>
      </c>
      <c r="B186" t="s">
        <v>136</v>
      </c>
      <c r="C186">
        <v>165</v>
      </c>
      <c r="D186">
        <v>8989.5</v>
      </c>
      <c r="E186">
        <v>0</v>
      </c>
      <c r="F186">
        <v>0</v>
      </c>
      <c r="G186">
        <v>165</v>
      </c>
      <c r="H186">
        <v>8989.5</v>
      </c>
      <c r="I186">
        <v>105</v>
      </c>
      <c r="J186">
        <v>6092.1799999999994</v>
      </c>
    </row>
    <row r="187" spans="1:10" x14ac:dyDescent="0.25">
      <c r="A187" t="s">
        <v>139</v>
      </c>
      <c r="B187" t="s">
        <v>138</v>
      </c>
      <c r="C187">
        <v>930</v>
      </c>
      <c r="D187">
        <v>11755.71</v>
      </c>
      <c r="E187">
        <v>163</v>
      </c>
      <c r="F187">
        <v>2468.7000000000071</v>
      </c>
      <c r="G187">
        <v>1093</v>
      </c>
      <c r="H187">
        <v>14224.410000000005</v>
      </c>
      <c r="I187">
        <v>9095</v>
      </c>
      <c r="J187">
        <v>111557.53</v>
      </c>
    </row>
    <row r="188" spans="1:10" x14ac:dyDescent="0.25">
      <c r="A188" t="s">
        <v>690</v>
      </c>
      <c r="B188" t="s">
        <v>691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-1</v>
      </c>
      <c r="J188">
        <v>-12.06</v>
      </c>
    </row>
    <row r="189" spans="1:10" x14ac:dyDescent="0.25">
      <c r="A189" t="s">
        <v>484</v>
      </c>
      <c r="B189" t="s">
        <v>483</v>
      </c>
      <c r="C189">
        <v>15</v>
      </c>
      <c r="D189">
        <v>313.71000000000004</v>
      </c>
      <c r="E189">
        <v>0</v>
      </c>
      <c r="F189">
        <v>0</v>
      </c>
      <c r="G189">
        <v>15</v>
      </c>
      <c r="H189">
        <v>313.71000000000004</v>
      </c>
      <c r="I189">
        <v>24</v>
      </c>
      <c r="J189">
        <v>478.38</v>
      </c>
    </row>
    <row r="190" spans="1:10" x14ac:dyDescent="0.25">
      <c r="A190" t="s">
        <v>692</v>
      </c>
      <c r="B190" t="s">
        <v>693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64</v>
      </c>
      <c r="J190">
        <v>1070.58</v>
      </c>
    </row>
    <row r="191" spans="1:10" x14ac:dyDescent="0.25">
      <c r="A191" t="s">
        <v>141</v>
      </c>
      <c r="B191" t="s">
        <v>140</v>
      </c>
      <c r="C191">
        <v>2</v>
      </c>
      <c r="D191">
        <v>93.86</v>
      </c>
      <c r="E191">
        <v>187</v>
      </c>
      <c r="F191">
        <v>11966.299999999997</v>
      </c>
      <c r="G191">
        <v>189</v>
      </c>
      <c r="H191">
        <v>12060.159999999998</v>
      </c>
      <c r="I191">
        <v>238</v>
      </c>
      <c r="J191">
        <v>12865.279999999999</v>
      </c>
    </row>
    <row r="192" spans="1:10" x14ac:dyDescent="0.25">
      <c r="A192" t="s">
        <v>143</v>
      </c>
      <c r="B192" t="s">
        <v>142</v>
      </c>
      <c r="C192">
        <v>2</v>
      </c>
      <c r="D192">
        <v>49.76</v>
      </c>
      <c r="E192">
        <v>188</v>
      </c>
      <c r="F192">
        <v>5758.440000000006</v>
      </c>
      <c r="G192">
        <v>190</v>
      </c>
      <c r="H192">
        <v>5808.2000000000062</v>
      </c>
      <c r="I192">
        <v>2158</v>
      </c>
      <c r="J192">
        <v>45873.94</v>
      </c>
    </row>
    <row r="193" spans="1:10" x14ac:dyDescent="0.25">
      <c r="A193" t="s">
        <v>145</v>
      </c>
      <c r="B193" t="s">
        <v>144</v>
      </c>
      <c r="C193">
        <v>73</v>
      </c>
      <c r="D193">
        <v>1781.4</v>
      </c>
      <c r="E193">
        <v>0</v>
      </c>
      <c r="F193">
        <v>0</v>
      </c>
      <c r="G193">
        <v>73</v>
      </c>
      <c r="H193">
        <v>1781.4</v>
      </c>
      <c r="I193">
        <v>693</v>
      </c>
      <c r="J193">
        <v>17109.259999999998</v>
      </c>
    </row>
    <row r="194" spans="1:10" x14ac:dyDescent="0.25">
      <c r="A194" t="s">
        <v>694</v>
      </c>
      <c r="B194" t="s">
        <v>695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-1</v>
      </c>
      <c r="J194">
        <v>-16.309999999999999</v>
      </c>
    </row>
    <row r="195" spans="1:10" x14ac:dyDescent="0.25">
      <c r="A195" t="s">
        <v>147</v>
      </c>
      <c r="B195" t="s">
        <v>146</v>
      </c>
      <c r="C195">
        <v>19</v>
      </c>
      <c r="D195">
        <v>96.37</v>
      </c>
      <c r="E195">
        <v>0</v>
      </c>
      <c r="F195">
        <v>0</v>
      </c>
      <c r="G195">
        <v>19</v>
      </c>
      <c r="H195">
        <v>96.37</v>
      </c>
      <c r="I195">
        <v>47</v>
      </c>
      <c r="J195">
        <v>268.74</v>
      </c>
    </row>
    <row r="196" spans="1:10" x14ac:dyDescent="0.25">
      <c r="A196" t="s">
        <v>149</v>
      </c>
      <c r="B196" t="s">
        <v>148</v>
      </c>
      <c r="C196">
        <v>2</v>
      </c>
      <c r="D196">
        <v>15.24</v>
      </c>
      <c r="E196">
        <v>0</v>
      </c>
      <c r="F196">
        <v>0</v>
      </c>
      <c r="G196">
        <v>2</v>
      </c>
      <c r="H196">
        <v>15.24</v>
      </c>
      <c r="I196">
        <v>335</v>
      </c>
      <c r="J196">
        <v>2157.41</v>
      </c>
    </row>
    <row r="197" spans="1:10" x14ac:dyDescent="0.25">
      <c r="A197" t="s">
        <v>550</v>
      </c>
      <c r="B197" t="s">
        <v>549</v>
      </c>
      <c r="C197">
        <v>157</v>
      </c>
      <c r="D197">
        <v>1005.6200000000001</v>
      </c>
      <c r="E197">
        <v>0</v>
      </c>
      <c r="F197">
        <v>0</v>
      </c>
      <c r="G197">
        <v>157</v>
      </c>
      <c r="H197">
        <v>1005.6200000000001</v>
      </c>
      <c r="I197">
        <v>270</v>
      </c>
      <c r="J197">
        <v>1119.56</v>
      </c>
    </row>
    <row r="198" spans="1:10" x14ac:dyDescent="0.25">
      <c r="A198" t="s">
        <v>151</v>
      </c>
      <c r="B198" t="s">
        <v>150</v>
      </c>
      <c r="C198">
        <v>234</v>
      </c>
      <c r="D198">
        <v>1546.8000000000002</v>
      </c>
      <c r="E198">
        <v>0</v>
      </c>
      <c r="F198">
        <v>0</v>
      </c>
      <c r="G198">
        <v>234</v>
      </c>
      <c r="H198">
        <v>1546.8000000000002</v>
      </c>
      <c r="I198">
        <v>887</v>
      </c>
      <c r="J198">
        <v>3712.94</v>
      </c>
    </row>
    <row r="199" spans="1:10" x14ac:dyDescent="0.25">
      <c r="A199" t="s">
        <v>153</v>
      </c>
      <c r="B199" t="s">
        <v>152</v>
      </c>
      <c r="C199">
        <v>372</v>
      </c>
      <c r="D199">
        <v>2339.19</v>
      </c>
      <c r="E199">
        <v>0</v>
      </c>
      <c r="F199">
        <v>0</v>
      </c>
      <c r="G199">
        <v>372</v>
      </c>
      <c r="H199">
        <v>2339.19</v>
      </c>
      <c r="I199">
        <v>716</v>
      </c>
      <c r="J199">
        <v>3068.8500000000004</v>
      </c>
    </row>
    <row r="200" spans="1:10" x14ac:dyDescent="0.25">
      <c r="A200" t="s">
        <v>486</v>
      </c>
      <c r="B200" t="s">
        <v>485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9.86</v>
      </c>
    </row>
    <row r="201" spans="1:10" x14ac:dyDescent="0.25">
      <c r="A201" t="s">
        <v>568</v>
      </c>
      <c r="B201" t="s">
        <v>567</v>
      </c>
      <c r="C201">
        <v>250</v>
      </c>
      <c r="D201">
        <v>3311.36</v>
      </c>
      <c r="E201">
        <v>0</v>
      </c>
      <c r="F201">
        <v>0</v>
      </c>
      <c r="G201">
        <v>250</v>
      </c>
      <c r="H201">
        <v>3311.36</v>
      </c>
      <c r="I201">
        <v>122</v>
      </c>
      <c r="J201">
        <v>1823.44</v>
      </c>
    </row>
    <row r="202" spans="1:10" x14ac:dyDescent="0.25">
      <c r="A202" t="s">
        <v>155</v>
      </c>
      <c r="B202" t="s">
        <v>154</v>
      </c>
      <c r="C202">
        <v>5</v>
      </c>
      <c r="D202">
        <v>33.400000000000006</v>
      </c>
      <c r="E202">
        <v>0</v>
      </c>
      <c r="F202">
        <v>0</v>
      </c>
      <c r="G202">
        <v>5</v>
      </c>
      <c r="H202">
        <v>33.400000000000006</v>
      </c>
      <c r="I202">
        <v>1</v>
      </c>
      <c r="J202">
        <v>8.11</v>
      </c>
    </row>
    <row r="203" spans="1:10" x14ac:dyDescent="0.25">
      <c r="A203" t="s">
        <v>696</v>
      </c>
      <c r="B203" t="s">
        <v>697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159</v>
      </c>
      <c r="J203">
        <v>2606.81</v>
      </c>
    </row>
    <row r="204" spans="1:10" x14ac:dyDescent="0.25">
      <c r="A204" t="s">
        <v>552</v>
      </c>
      <c r="B204" t="s">
        <v>551</v>
      </c>
      <c r="C204">
        <v>121</v>
      </c>
      <c r="D204">
        <v>2998.58</v>
      </c>
      <c r="E204">
        <v>1</v>
      </c>
      <c r="F204">
        <v>29.9</v>
      </c>
      <c r="G204">
        <v>122</v>
      </c>
      <c r="H204">
        <v>3028.48</v>
      </c>
      <c r="I204">
        <v>381</v>
      </c>
      <c r="J204">
        <v>9023.1499999999978</v>
      </c>
    </row>
    <row r="205" spans="1:10" x14ac:dyDescent="0.25">
      <c r="A205" t="s">
        <v>157</v>
      </c>
      <c r="B205" t="s">
        <v>156</v>
      </c>
      <c r="C205">
        <v>25</v>
      </c>
      <c r="D205">
        <v>412.71999999999991</v>
      </c>
      <c r="E205">
        <v>0</v>
      </c>
      <c r="F205">
        <v>0</v>
      </c>
      <c r="G205">
        <v>25</v>
      </c>
      <c r="H205">
        <v>412.71999999999991</v>
      </c>
      <c r="I205">
        <v>0</v>
      </c>
      <c r="J205">
        <v>0</v>
      </c>
    </row>
    <row r="206" spans="1:10" x14ac:dyDescent="0.25">
      <c r="A206" t="s">
        <v>159</v>
      </c>
      <c r="B206" t="s">
        <v>158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161</v>
      </c>
      <c r="B207" t="s">
        <v>160</v>
      </c>
      <c r="C207">
        <v>208</v>
      </c>
      <c r="D207">
        <v>1352.59</v>
      </c>
      <c r="E207">
        <v>0</v>
      </c>
      <c r="F207">
        <v>0</v>
      </c>
      <c r="G207">
        <v>208</v>
      </c>
      <c r="H207">
        <v>1352.59</v>
      </c>
      <c r="I207">
        <v>488</v>
      </c>
      <c r="J207">
        <v>3434.71</v>
      </c>
    </row>
    <row r="208" spans="1:10" x14ac:dyDescent="0.25">
      <c r="A208" t="s">
        <v>163</v>
      </c>
      <c r="B208" t="s">
        <v>162</v>
      </c>
      <c r="C208">
        <v>254</v>
      </c>
      <c r="D208">
        <v>3406.79</v>
      </c>
      <c r="E208">
        <v>0</v>
      </c>
      <c r="F208">
        <v>0</v>
      </c>
      <c r="G208">
        <v>254</v>
      </c>
      <c r="H208">
        <v>3406.79</v>
      </c>
      <c r="I208">
        <v>3404</v>
      </c>
      <c r="J208">
        <v>43138.01</v>
      </c>
    </row>
    <row r="209" spans="1:10" x14ac:dyDescent="0.25">
      <c r="A209" t="s">
        <v>165</v>
      </c>
      <c r="B209" t="s">
        <v>164</v>
      </c>
      <c r="C209">
        <v>46</v>
      </c>
      <c r="D209">
        <v>1061.79</v>
      </c>
      <c r="E209">
        <v>0</v>
      </c>
      <c r="F209">
        <v>0</v>
      </c>
      <c r="G209">
        <v>46</v>
      </c>
      <c r="H209">
        <v>1061.79</v>
      </c>
      <c r="I209">
        <v>0</v>
      </c>
      <c r="J209">
        <v>0</v>
      </c>
    </row>
    <row r="210" spans="1:10" x14ac:dyDescent="0.25">
      <c r="A210" t="s">
        <v>167</v>
      </c>
      <c r="B210" t="s">
        <v>166</v>
      </c>
      <c r="C210">
        <v>131</v>
      </c>
      <c r="D210">
        <v>679.99</v>
      </c>
      <c r="E210">
        <v>0</v>
      </c>
      <c r="F210">
        <v>0</v>
      </c>
      <c r="G210">
        <v>131</v>
      </c>
      <c r="H210">
        <v>679.99</v>
      </c>
      <c r="I210">
        <v>524</v>
      </c>
      <c r="J210">
        <v>2546.9300000000003</v>
      </c>
    </row>
    <row r="211" spans="1:10" x14ac:dyDescent="0.25">
      <c r="A211" t="s">
        <v>698</v>
      </c>
      <c r="B211" t="s">
        <v>699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151</v>
      </c>
      <c r="J211">
        <v>4711.0099999999993</v>
      </c>
    </row>
    <row r="212" spans="1:10" x14ac:dyDescent="0.25">
      <c r="A212" t="s">
        <v>169</v>
      </c>
      <c r="B212" t="s">
        <v>168</v>
      </c>
      <c r="C212">
        <v>28</v>
      </c>
      <c r="D212">
        <v>194.35000000000002</v>
      </c>
      <c r="E212">
        <v>0</v>
      </c>
      <c r="F212">
        <v>0</v>
      </c>
      <c r="G212">
        <v>28</v>
      </c>
      <c r="H212">
        <v>194.35000000000002</v>
      </c>
      <c r="I212">
        <v>32</v>
      </c>
      <c r="J212">
        <v>308.63</v>
      </c>
    </row>
    <row r="213" spans="1:10" x14ac:dyDescent="0.25">
      <c r="A213" t="s">
        <v>171</v>
      </c>
      <c r="B213" t="s">
        <v>170</v>
      </c>
      <c r="C213">
        <v>440</v>
      </c>
      <c r="D213">
        <v>6875.06</v>
      </c>
      <c r="E213">
        <v>4</v>
      </c>
      <c r="F213">
        <v>91.6</v>
      </c>
      <c r="G213">
        <v>444</v>
      </c>
      <c r="H213">
        <v>6966.66</v>
      </c>
      <c r="I213">
        <v>1436</v>
      </c>
      <c r="J213">
        <v>22243.050000000003</v>
      </c>
    </row>
    <row r="214" spans="1:10" x14ac:dyDescent="0.25">
      <c r="A214" t="s">
        <v>173</v>
      </c>
      <c r="B214" t="s">
        <v>172</v>
      </c>
      <c r="C214">
        <v>44</v>
      </c>
      <c r="D214">
        <v>891.34</v>
      </c>
      <c r="E214">
        <v>0</v>
      </c>
      <c r="F214">
        <v>0</v>
      </c>
      <c r="G214">
        <v>44</v>
      </c>
      <c r="H214">
        <v>891.34</v>
      </c>
      <c r="I214">
        <v>5</v>
      </c>
      <c r="J214">
        <v>96.95</v>
      </c>
    </row>
    <row r="215" spans="1:10" x14ac:dyDescent="0.25">
      <c r="A215" t="s">
        <v>700</v>
      </c>
      <c r="B215" t="s">
        <v>701</v>
      </c>
      <c r="C215">
        <v>-1</v>
      </c>
      <c r="D215">
        <v>-32.700000000000003</v>
      </c>
      <c r="E215">
        <v>0</v>
      </c>
      <c r="F215">
        <v>0</v>
      </c>
      <c r="G215">
        <v>-1</v>
      </c>
      <c r="H215">
        <v>-32.700000000000003</v>
      </c>
      <c r="I215">
        <v>0</v>
      </c>
      <c r="J215">
        <v>0</v>
      </c>
    </row>
    <row r="216" spans="1:10" x14ac:dyDescent="0.25">
      <c r="A216" t="s">
        <v>175</v>
      </c>
      <c r="B216" t="s">
        <v>174</v>
      </c>
      <c r="C216">
        <v>12</v>
      </c>
      <c r="D216">
        <v>285.27999999999997</v>
      </c>
      <c r="E216">
        <v>0</v>
      </c>
      <c r="F216">
        <v>0</v>
      </c>
      <c r="G216">
        <v>12</v>
      </c>
      <c r="H216">
        <v>285.27999999999997</v>
      </c>
      <c r="I216">
        <v>0</v>
      </c>
      <c r="J216">
        <v>0</v>
      </c>
    </row>
    <row r="217" spans="1:10" x14ac:dyDescent="0.25">
      <c r="A217" t="s">
        <v>702</v>
      </c>
      <c r="B217" t="s">
        <v>703</v>
      </c>
      <c r="C217">
        <v>2</v>
      </c>
      <c r="D217">
        <v>61.62</v>
      </c>
      <c r="E217">
        <v>0</v>
      </c>
      <c r="F217">
        <v>0</v>
      </c>
      <c r="G217">
        <v>2</v>
      </c>
      <c r="H217">
        <v>61.62</v>
      </c>
      <c r="I217">
        <v>1</v>
      </c>
      <c r="J217">
        <v>40.85</v>
      </c>
    </row>
    <row r="218" spans="1:10" x14ac:dyDescent="0.25">
      <c r="A218" t="s">
        <v>177</v>
      </c>
      <c r="B218" t="s">
        <v>176</v>
      </c>
      <c r="C218">
        <v>33</v>
      </c>
      <c r="D218">
        <v>1743.8199999999997</v>
      </c>
      <c r="E218">
        <v>0</v>
      </c>
      <c r="F218">
        <v>0</v>
      </c>
      <c r="G218">
        <v>33</v>
      </c>
      <c r="H218">
        <v>1743.8199999999997</v>
      </c>
      <c r="I218">
        <v>1</v>
      </c>
      <c r="J218">
        <v>51.7</v>
      </c>
    </row>
    <row r="219" spans="1:10" x14ac:dyDescent="0.25">
      <c r="A219" t="s">
        <v>179</v>
      </c>
      <c r="B219" t="s">
        <v>178</v>
      </c>
      <c r="C219">
        <v>10</v>
      </c>
      <c r="D219">
        <v>330.9</v>
      </c>
      <c r="E219">
        <v>0</v>
      </c>
      <c r="F219">
        <v>0</v>
      </c>
      <c r="G219">
        <v>10</v>
      </c>
      <c r="H219">
        <v>330.9</v>
      </c>
      <c r="I219">
        <v>1</v>
      </c>
      <c r="J219">
        <v>37.03</v>
      </c>
    </row>
    <row r="220" spans="1:10" x14ac:dyDescent="0.25">
      <c r="A220" t="s">
        <v>777</v>
      </c>
      <c r="B220" t="s">
        <v>778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24.92</v>
      </c>
    </row>
    <row r="221" spans="1:10" x14ac:dyDescent="0.25">
      <c r="A221" t="s">
        <v>181</v>
      </c>
      <c r="B221" t="s">
        <v>180</v>
      </c>
      <c r="C221">
        <v>113</v>
      </c>
      <c r="D221">
        <v>1381.5500000000002</v>
      </c>
      <c r="E221">
        <v>0</v>
      </c>
      <c r="F221">
        <v>0</v>
      </c>
      <c r="G221">
        <v>113</v>
      </c>
      <c r="H221">
        <v>1381.5500000000002</v>
      </c>
      <c r="I221">
        <v>492</v>
      </c>
      <c r="J221">
        <v>5298.5700000000006</v>
      </c>
    </row>
    <row r="222" spans="1:10" x14ac:dyDescent="0.25">
      <c r="A222" t="s">
        <v>183</v>
      </c>
      <c r="B222" t="s">
        <v>182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77</v>
      </c>
      <c r="J222">
        <v>1942.0900000000001</v>
      </c>
    </row>
    <row r="223" spans="1:10" x14ac:dyDescent="0.25">
      <c r="A223" t="s">
        <v>704</v>
      </c>
      <c r="B223" t="s">
        <v>705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37</v>
      </c>
      <c r="J223">
        <v>792.21</v>
      </c>
    </row>
    <row r="224" spans="1:10" x14ac:dyDescent="0.25">
      <c r="A224" t="s">
        <v>706</v>
      </c>
      <c r="B224" t="s">
        <v>707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</v>
      </c>
      <c r="J224">
        <v>28.66</v>
      </c>
    </row>
    <row r="225" spans="1:10" x14ac:dyDescent="0.25">
      <c r="A225" t="s">
        <v>185</v>
      </c>
      <c r="B225" t="s">
        <v>184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2083</v>
      </c>
      <c r="J225">
        <v>25723.119999999999</v>
      </c>
    </row>
    <row r="226" spans="1:10" x14ac:dyDescent="0.25">
      <c r="A226" t="s">
        <v>187</v>
      </c>
      <c r="B226" t="s">
        <v>186</v>
      </c>
      <c r="C226">
        <v>37</v>
      </c>
      <c r="D226">
        <v>1201.6000000000001</v>
      </c>
      <c r="E226">
        <v>0</v>
      </c>
      <c r="F226">
        <v>0</v>
      </c>
      <c r="G226">
        <v>37</v>
      </c>
      <c r="H226">
        <v>1201.6000000000001</v>
      </c>
      <c r="I226">
        <v>42</v>
      </c>
      <c r="J226">
        <v>1382.9099999999999</v>
      </c>
    </row>
    <row r="227" spans="1:10" x14ac:dyDescent="0.25">
      <c r="A227" t="s">
        <v>708</v>
      </c>
      <c r="B227" t="s">
        <v>709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189</v>
      </c>
      <c r="B228" t="s">
        <v>188</v>
      </c>
      <c r="C228">
        <v>79</v>
      </c>
      <c r="D228">
        <v>1068.42</v>
      </c>
      <c r="E228">
        <v>0</v>
      </c>
      <c r="F228">
        <v>0</v>
      </c>
      <c r="G228">
        <v>79</v>
      </c>
      <c r="H228">
        <v>1068.42</v>
      </c>
      <c r="I228">
        <v>281</v>
      </c>
      <c r="J228">
        <v>2733.3999999999996</v>
      </c>
    </row>
    <row r="229" spans="1:10" x14ac:dyDescent="0.25">
      <c r="A229" t="s">
        <v>191</v>
      </c>
      <c r="B229" t="s">
        <v>190</v>
      </c>
      <c r="C229">
        <v>15</v>
      </c>
      <c r="D229">
        <v>332.79000000000008</v>
      </c>
      <c r="E229">
        <v>0</v>
      </c>
      <c r="F229">
        <v>0</v>
      </c>
      <c r="G229">
        <v>15</v>
      </c>
      <c r="H229">
        <v>332.79000000000008</v>
      </c>
      <c r="I229">
        <v>50</v>
      </c>
      <c r="J229">
        <v>749.5</v>
      </c>
    </row>
    <row r="230" spans="1:10" x14ac:dyDescent="0.25">
      <c r="A230" t="s">
        <v>193</v>
      </c>
      <c r="B230" t="s">
        <v>192</v>
      </c>
      <c r="C230">
        <v>10</v>
      </c>
      <c r="D230">
        <v>97.83</v>
      </c>
      <c r="E230">
        <v>0</v>
      </c>
      <c r="F230">
        <v>0</v>
      </c>
      <c r="G230">
        <v>10</v>
      </c>
      <c r="H230">
        <v>97.83</v>
      </c>
      <c r="I230">
        <v>8</v>
      </c>
      <c r="J230">
        <v>86.31</v>
      </c>
    </row>
    <row r="231" spans="1:10" x14ac:dyDescent="0.25">
      <c r="A231" t="s">
        <v>195</v>
      </c>
      <c r="B231" t="s">
        <v>194</v>
      </c>
      <c r="C231">
        <v>38</v>
      </c>
      <c r="D231">
        <v>792.69999999999993</v>
      </c>
      <c r="E231">
        <v>0</v>
      </c>
      <c r="F231">
        <v>0</v>
      </c>
      <c r="G231">
        <v>38</v>
      </c>
      <c r="H231">
        <v>792.69999999999993</v>
      </c>
      <c r="I231">
        <v>21</v>
      </c>
      <c r="J231">
        <v>477.27</v>
      </c>
    </row>
    <row r="232" spans="1:10" x14ac:dyDescent="0.25">
      <c r="A232" t="s">
        <v>197</v>
      </c>
      <c r="B232" t="s">
        <v>196</v>
      </c>
      <c r="C232">
        <v>2</v>
      </c>
      <c r="D232">
        <v>20.309999999999999</v>
      </c>
      <c r="E232">
        <v>0</v>
      </c>
      <c r="F232">
        <v>0</v>
      </c>
      <c r="G232">
        <v>2</v>
      </c>
      <c r="H232">
        <v>20.309999999999999</v>
      </c>
      <c r="I232">
        <v>23</v>
      </c>
      <c r="J232">
        <v>271.03999999999996</v>
      </c>
    </row>
    <row r="233" spans="1:10" x14ac:dyDescent="0.25">
      <c r="A233" t="s">
        <v>199</v>
      </c>
      <c r="B233" t="s">
        <v>198</v>
      </c>
      <c r="C233">
        <v>2</v>
      </c>
      <c r="D233">
        <v>148.86000000000001</v>
      </c>
      <c r="E233">
        <v>0</v>
      </c>
      <c r="F233">
        <v>0</v>
      </c>
      <c r="G233">
        <v>2</v>
      </c>
      <c r="H233">
        <v>148.86000000000001</v>
      </c>
      <c r="I233">
        <v>2</v>
      </c>
      <c r="J233">
        <v>155.96</v>
      </c>
    </row>
    <row r="234" spans="1:10" x14ac:dyDescent="0.25">
      <c r="A234" t="s">
        <v>201</v>
      </c>
      <c r="B234" t="s">
        <v>200</v>
      </c>
      <c r="C234">
        <v>230</v>
      </c>
      <c r="D234">
        <v>6567.33</v>
      </c>
      <c r="E234">
        <v>6</v>
      </c>
      <c r="F234">
        <v>214.39999999999998</v>
      </c>
      <c r="G234">
        <v>236</v>
      </c>
      <c r="H234">
        <v>6781.73</v>
      </c>
      <c r="I234">
        <v>362</v>
      </c>
      <c r="J234">
        <v>10947.130000000001</v>
      </c>
    </row>
    <row r="235" spans="1:10" x14ac:dyDescent="0.25">
      <c r="A235" t="s">
        <v>203</v>
      </c>
      <c r="B235" t="s">
        <v>202</v>
      </c>
      <c r="C235">
        <v>6</v>
      </c>
      <c r="D235">
        <v>164.83999999999997</v>
      </c>
      <c r="E235">
        <v>0</v>
      </c>
      <c r="F235">
        <v>0</v>
      </c>
      <c r="G235">
        <v>6</v>
      </c>
      <c r="H235">
        <v>164.83999999999997</v>
      </c>
      <c r="I235">
        <v>27</v>
      </c>
      <c r="J235">
        <v>781.95</v>
      </c>
    </row>
    <row r="236" spans="1:10" x14ac:dyDescent="0.25">
      <c r="A236" t="s">
        <v>205</v>
      </c>
      <c r="B236" t="s">
        <v>204</v>
      </c>
      <c r="C236">
        <v>41</v>
      </c>
      <c r="D236">
        <v>334.33</v>
      </c>
      <c r="E236">
        <v>0</v>
      </c>
      <c r="F236">
        <v>0</v>
      </c>
      <c r="G236">
        <v>41</v>
      </c>
      <c r="H236">
        <v>334.33</v>
      </c>
      <c r="I236">
        <v>45</v>
      </c>
      <c r="J236">
        <v>606.72</v>
      </c>
    </row>
    <row r="237" spans="1:10" x14ac:dyDescent="0.25">
      <c r="A237" t="s">
        <v>207</v>
      </c>
      <c r="B237" t="s">
        <v>206</v>
      </c>
      <c r="C237">
        <v>249</v>
      </c>
      <c r="D237">
        <v>4287.12</v>
      </c>
      <c r="E237">
        <v>0</v>
      </c>
      <c r="F237">
        <v>0</v>
      </c>
      <c r="G237">
        <v>249</v>
      </c>
      <c r="H237">
        <v>4287.12</v>
      </c>
      <c r="I237">
        <v>552</v>
      </c>
      <c r="J237">
        <v>10324.75</v>
      </c>
    </row>
    <row r="238" spans="1:10" x14ac:dyDescent="0.25">
      <c r="A238" t="s">
        <v>209</v>
      </c>
      <c r="B238" t="s">
        <v>208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-3</v>
      </c>
      <c r="J238">
        <v>-55.37</v>
      </c>
    </row>
    <row r="239" spans="1:10" x14ac:dyDescent="0.25">
      <c r="A239" t="s">
        <v>211</v>
      </c>
      <c r="B239" t="s">
        <v>210</v>
      </c>
      <c r="C239">
        <v>336</v>
      </c>
      <c r="D239">
        <v>5543.09</v>
      </c>
      <c r="E239">
        <v>28</v>
      </c>
      <c r="F239">
        <v>583.24999999999966</v>
      </c>
      <c r="G239">
        <v>364</v>
      </c>
      <c r="H239">
        <v>6126.34</v>
      </c>
      <c r="I239">
        <v>1004</v>
      </c>
      <c r="J239">
        <v>17405.59</v>
      </c>
    </row>
    <row r="240" spans="1:10" x14ac:dyDescent="0.25">
      <c r="A240" t="s">
        <v>213</v>
      </c>
      <c r="B240" t="s">
        <v>212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12</v>
      </c>
      <c r="J240">
        <v>199.66000000000003</v>
      </c>
    </row>
    <row r="241" spans="1:10" x14ac:dyDescent="0.25">
      <c r="A241" t="s">
        <v>215</v>
      </c>
      <c r="B241" t="s">
        <v>214</v>
      </c>
      <c r="C241">
        <v>128</v>
      </c>
      <c r="D241">
        <v>2130.63</v>
      </c>
      <c r="E241">
        <v>0</v>
      </c>
      <c r="F241">
        <v>0</v>
      </c>
      <c r="G241">
        <v>128</v>
      </c>
      <c r="H241">
        <v>2130.63</v>
      </c>
      <c r="I241">
        <v>62</v>
      </c>
      <c r="J241">
        <v>1140.7400000000002</v>
      </c>
    </row>
    <row r="242" spans="1:10" x14ac:dyDescent="0.25">
      <c r="A242" t="s">
        <v>217</v>
      </c>
      <c r="B242" t="s">
        <v>216</v>
      </c>
      <c r="C242">
        <v>710</v>
      </c>
      <c r="D242">
        <v>9911.82</v>
      </c>
      <c r="E242">
        <v>141</v>
      </c>
      <c r="F242">
        <v>3148.6700000000023</v>
      </c>
      <c r="G242">
        <v>851</v>
      </c>
      <c r="H242">
        <v>13060.490000000002</v>
      </c>
      <c r="I242">
        <v>3558</v>
      </c>
      <c r="J242">
        <v>64252.1</v>
      </c>
    </row>
    <row r="243" spans="1:10" x14ac:dyDescent="0.25">
      <c r="A243" t="s">
        <v>219</v>
      </c>
      <c r="B243" t="s">
        <v>218</v>
      </c>
      <c r="C243">
        <v>135</v>
      </c>
      <c r="D243">
        <v>1436.96</v>
      </c>
      <c r="E243">
        <v>0</v>
      </c>
      <c r="F243">
        <v>0</v>
      </c>
      <c r="G243">
        <v>135</v>
      </c>
      <c r="H243">
        <v>1436.96</v>
      </c>
      <c r="I243">
        <v>330</v>
      </c>
      <c r="J243">
        <v>4737.3899999999994</v>
      </c>
    </row>
    <row r="244" spans="1:10" x14ac:dyDescent="0.25">
      <c r="A244" t="s">
        <v>221</v>
      </c>
      <c r="B244" t="s">
        <v>220</v>
      </c>
      <c r="C244">
        <v>9</v>
      </c>
      <c r="D244">
        <v>115.20000000000002</v>
      </c>
      <c r="E244">
        <v>0</v>
      </c>
      <c r="F244">
        <v>0</v>
      </c>
      <c r="G244">
        <v>9</v>
      </c>
      <c r="H244">
        <v>115.20000000000002</v>
      </c>
      <c r="I244">
        <v>70</v>
      </c>
      <c r="J244">
        <v>896.68000000000006</v>
      </c>
    </row>
    <row r="245" spans="1:10" x14ac:dyDescent="0.25">
      <c r="A245" t="s">
        <v>710</v>
      </c>
      <c r="B245" t="s">
        <v>711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50</v>
      </c>
      <c r="J245">
        <v>632.62</v>
      </c>
    </row>
    <row r="246" spans="1:10" x14ac:dyDescent="0.25">
      <c r="A246" t="s">
        <v>712</v>
      </c>
      <c r="B246" t="s">
        <v>713</v>
      </c>
      <c r="C246">
        <v>0</v>
      </c>
      <c r="D246">
        <v>0</v>
      </c>
      <c r="E246">
        <v>191</v>
      </c>
      <c r="F246">
        <v>7725.8999999999851</v>
      </c>
      <c r="G246">
        <v>191</v>
      </c>
      <c r="H246">
        <v>7725.8999999999851</v>
      </c>
      <c r="I246">
        <v>173</v>
      </c>
      <c r="J246">
        <v>5008.51</v>
      </c>
    </row>
    <row r="247" spans="1:10" x14ac:dyDescent="0.25">
      <c r="A247" t="s">
        <v>223</v>
      </c>
      <c r="B247" t="s">
        <v>222</v>
      </c>
      <c r="C247">
        <v>6</v>
      </c>
      <c r="D247">
        <v>66.88</v>
      </c>
      <c r="E247">
        <v>401</v>
      </c>
      <c r="F247">
        <v>6578.7700000000077</v>
      </c>
      <c r="G247">
        <v>407</v>
      </c>
      <c r="H247">
        <v>6645.6500000000069</v>
      </c>
      <c r="I247">
        <v>1825</v>
      </c>
      <c r="J247">
        <v>17285.160000000003</v>
      </c>
    </row>
    <row r="248" spans="1:10" x14ac:dyDescent="0.25">
      <c r="A248" t="s">
        <v>225</v>
      </c>
      <c r="B248" t="s">
        <v>224</v>
      </c>
      <c r="C248">
        <v>517</v>
      </c>
      <c r="D248">
        <v>4472.41</v>
      </c>
      <c r="E248">
        <v>0</v>
      </c>
      <c r="F248">
        <v>0</v>
      </c>
      <c r="G248">
        <v>517</v>
      </c>
      <c r="H248">
        <v>4472.41</v>
      </c>
      <c r="I248">
        <v>2512</v>
      </c>
      <c r="J248">
        <v>19703.879999999997</v>
      </c>
    </row>
    <row r="249" spans="1:10" x14ac:dyDescent="0.25">
      <c r="A249" t="s">
        <v>227</v>
      </c>
      <c r="B249" t="s">
        <v>226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429</v>
      </c>
      <c r="J249">
        <v>3765.7000000000003</v>
      </c>
    </row>
    <row r="250" spans="1:10" x14ac:dyDescent="0.25">
      <c r="A250" t="s">
        <v>229</v>
      </c>
      <c r="B250" t="s">
        <v>228</v>
      </c>
      <c r="C250">
        <v>1</v>
      </c>
      <c r="D250">
        <v>31.37</v>
      </c>
      <c r="E250">
        <v>46</v>
      </c>
      <c r="F250">
        <v>1855.3999999999996</v>
      </c>
      <c r="G250">
        <v>47</v>
      </c>
      <c r="H250">
        <v>1886.7699999999995</v>
      </c>
      <c r="I250">
        <v>179</v>
      </c>
      <c r="J250">
        <v>4873.7</v>
      </c>
    </row>
    <row r="251" spans="1:10" x14ac:dyDescent="0.25">
      <c r="A251" t="s">
        <v>231</v>
      </c>
      <c r="B251" t="s">
        <v>230</v>
      </c>
      <c r="C251">
        <v>32</v>
      </c>
      <c r="D251">
        <v>1369.06</v>
      </c>
      <c r="E251">
        <v>0</v>
      </c>
      <c r="F251">
        <v>0</v>
      </c>
      <c r="G251">
        <v>32</v>
      </c>
      <c r="H251">
        <v>1369.06</v>
      </c>
      <c r="I251">
        <v>559</v>
      </c>
      <c r="J251">
        <v>24846.35</v>
      </c>
    </row>
    <row r="252" spans="1:10" x14ac:dyDescent="0.25">
      <c r="A252" t="s">
        <v>233</v>
      </c>
      <c r="B252" t="s">
        <v>232</v>
      </c>
      <c r="C252">
        <v>145</v>
      </c>
      <c r="D252">
        <v>8610.82</v>
      </c>
      <c r="E252">
        <v>5</v>
      </c>
      <c r="F252">
        <v>349.5</v>
      </c>
      <c r="G252">
        <v>150</v>
      </c>
      <c r="H252">
        <v>8960.32</v>
      </c>
      <c r="I252">
        <v>358</v>
      </c>
      <c r="J252">
        <v>18411.899999999998</v>
      </c>
    </row>
    <row r="253" spans="1:10" x14ac:dyDescent="0.25">
      <c r="A253" t="s">
        <v>235</v>
      </c>
      <c r="B253" t="s">
        <v>234</v>
      </c>
      <c r="C253">
        <v>8</v>
      </c>
      <c r="D253">
        <v>39.64</v>
      </c>
      <c r="E253">
        <v>0</v>
      </c>
      <c r="F253">
        <v>0</v>
      </c>
      <c r="G253">
        <v>8</v>
      </c>
      <c r="H253">
        <v>39.64</v>
      </c>
      <c r="I253">
        <v>32</v>
      </c>
      <c r="J253">
        <v>128.63999999999999</v>
      </c>
    </row>
    <row r="254" spans="1:10" x14ac:dyDescent="0.25">
      <c r="A254" t="s">
        <v>237</v>
      </c>
      <c r="B254" t="s">
        <v>236</v>
      </c>
      <c r="C254">
        <v>23</v>
      </c>
      <c r="D254">
        <v>377.45000000000005</v>
      </c>
      <c r="E254">
        <v>0</v>
      </c>
      <c r="F254">
        <v>0</v>
      </c>
      <c r="G254">
        <v>23</v>
      </c>
      <c r="H254">
        <v>377.45000000000005</v>
      </c>
      <c r="I254">
        <v>11</v>
      </c>
      <c r="J254">
        <v>191.88</v>
      </c>
    </row>
    <row r="255" spans="1:10" x14ac:dyDescent="0.25">
      <c r="A255" t="s">
        <v>239</v>
      </c>
      <c r="B255" t="s">
        <v>238</v>
      </c>
      <c r="C255">
        <v>19</v>
      </c>
      <c r="D255">
        <v>1111.9099999999999</v>
      </c>
      <c r="E255">
        <v>75</v>
      </c>
      <c r="F255">
        <v>5997.0000000000018</v>
      </c>
      <c r="G255">
        <v>94</v>
      </c>
      <c r="H255">
        <v>7108.9100000000017</v>
      </c>
      <c r="I255">
        <v>458</v>
      </c>
      <c r="J255">
        <v>31513.489999999998</v>
      </c>
    </row>
    <row r="256" spans="1:10" x14ac:dyDescent="0.25">
      <c r="A256" t="s">
        <v>241</v>
      </c>
      <c r="B256" t="s">
        <v>240</v>
      </c>
      <c r="C256">
        <v>14</v>
      </c>
      <c r="D256">
        <v>293.22000000000003</v>
      </c>
      <c r="E256">
        <v>0</v>
      </c>
      <c r="F256">
        <v>0</v>
      </c>
      <c r="G256">
        <v>14</v>
      </c>
      <c r="H256">
        <v>293.22000000000003</v>
      </c>
      <c r="I256">
        <v>30</v>
      </c>
      <c r="J256">
        <v>850.9699999999998</v>
      </c>
    </row>
    <row r="257" spans="1:10" x14ac:dyDescent="0.25">
      <c r="A257" t="s">
        <v>243</v>
      </c>
      <c r="B257" t="s">
        <v>242</v>
      </c>
      <c r="C257">
        <v>103</v>
      </c>
      <c r="D257">
        <v>1175.1499999999996</v>
      </c>
      <c r="E257">
        <v>0</v>
      </c>
      <c r="F257">
        <v>0</v>
      </c>
      <c r="G257">
        <v>103</v>
      </c>
      <c r="H257">
        <v>1175.1499999999996</v>
      </c>
      <c r="I257">
        <v>395</v>
      </c>
      <c r="J257">
        <v>4838.2299999999996</v>
      </c>
    </row>
    <row r="258" spans="1:10" x14ac:dyDescent="0.25">
      <c r="A258" t="s">
        <v>245</v>
      </c>
      <c r="B258" t="s">
        <v>244</v>
      </c>
      <c r="C258">
        <v>4</v>
      </c>
      <c r="D258">
        <v>89.52000000000001</v>
      </c>
      <c r="E258">
        <v>0</v>
      </c>
      <c r="F258">
        <v>0</v>
      </c>
      <c r="G258">
        <v>4</v>
      </c>
      <c r="H258">
        <v>89.52000000000001</v>
      </c>
      <c r="I258">
        <v>75</v>
      </c>
      <c r="J258">
        <v>2164.66</v>
      </c>
    </row>
    <row r="259" spans="1:10" x14ac:dyDescent="0.25">
      <c r="A259" t="s">
        <v>247</v>
      </c>
      <c r="B259" t="s">
        <v>246</v>
      </c>
      <c r="C259">
        <v>46</v>
      </c>
      <c r="D259">
        <v>1024.94</v>
      </c>
      <c r="E259">
        <v>0</v>
      </c>
      <c r="F259">
        <v>0</v>
      </c>
      <c r="G259">
        <v>46</v>
      </c>
      <c r="H259">
        <v>1024.94</v>
      </c>
      <c r="I259">
        <v>30</v>
      </c>
      <c r="J259">
        <v>707.72</v>
      </c>
    </row>
    <row r="260" spans="1:10" x14ac:dyDescent="0.25">
      <c r="A260" t="s">
        <v>249</v>
      </c>
      <c r="B260" t="s">
        <v>248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54</v>
      </c>
      <c r="J260">
        <v>471.26</v>
      </c>
    </row>
    <row r="261" spans="1:10" x14ac:dyDescent="0.25">
      <c r="A261" t="s">
        <v>251</v>
      </c>
      <c r="B261" t="s">
        <v>250</v>
      </c>
      <c r="C261">
        <v>23</v>
      </c>
      <c r="D261">
        <v>115.86000000000001</v>
      </c>
      <c r="E261">
        <v>0</v>
      </c>
      <c r="F261">
        <v>0</v>
      </c>
      <c r="G261">
        <v>23</v>
      </c>
      <c r="H261">
        <v>115.86000000000001</v>
      </c>
      <c r="I261">
        <v>63</v>
      </c>
      <c r="J261">
        <v>436.5</v>
      </c>
    </row>
    <row r="262" spans="1:10" x14ac:dyDescent="0.25">
      <c r="A262" t="s">
        <v>253</v>
      </c>
      <c r="B262" t="s">
        <v>252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32</v>
      </c>
      <c r="J262">
        <v>289.83999999999997</v>
      </c>
    </row>
    <row r="263" spans="1:10" x14ac:dyDescent="0.25">
      <c r="A263" t="s">
        <v>255</v>
      </c>
      <c r="B263" t="s">
        <v>254</v>
      </c>
      <c r="C263">
        <v>7</v>
      </c>
      <c r="D263">
        <v>332.12</v>
      </c>
      <c r="E263">
        <v>0</v>
      </c>
      <c r="F263">
        <v>0</v>
      </c>
      <c r="G263">
        <v>7</v>
      </c>
      <c r="H263">
        <v>332.12</v>
      </c>
      <c r="I263">
        <v>8</v>
      </c>
      <c r="J263">
        <v>321.81</v>
      </c>
    </row>
    <row r="264" spans="1:10" x14ac:dyDescent="0.25">
      <c r="A264" t="s">
        <v>257</v>
      </c>
      <c r="B264" t="s">
        <v>256</v>
      </c>
      <c r="C264">
        <v>9</v>
      </c>
      <c r="D264">
        <v>136.22999999999999</v>
      </c>
      <c r="E264">
        <v>0</v>
      </c>
      <c r="F264">
        <v>0</v>
      </c>
      <c r="G264">
        <v>9</v>
      </c>
      <c r="H264">
        <v>136.22999999999999</v>
      </c>
      <c r="I264">
        <v>17</v>
      </c>
      <c r="J264">
        <v>192.38</v>
      </c>
    </row>
    <row r="265" spans="1:10" x14ac:dyDescent="0.25">
      <c r="A265" t="s">
        <v>259</v>
      </c>
      <c r="B265" t="s">
        <v>258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261</v>
      </c>
      <c r="B266" t="s">
        <v>260</v>
      </c>
      <c r="C266">
        <v>23</v>
      </c>
      <c r="D266">
        <v>1322.9299999999998</v>
      </c>
      <c r="E266">
        <v>0</v>
      </c>
      <c r="F266">
        <v>0</v>
      </c>
      <c r="G266">
        <v>23</v>
      </c>
      <c r="H266">
        <v>1322.9299999999998</v>
      </c>
      <c r="I266">
        <v>0</v>
      </c>
      <c r="J266">
        <v>0</v>
      </c>
    </row>
    <row r="267" spans="1:10" x14ac:dyDescent="0.25">
      <c r="A267" t="s">
        <v>263</v>
      </c>
      <c r="B267" t="s">
        <v>262</v>
      </c>
      <c r="C267">
        <v>4</v>
      </c>
      <c r="D267">
        <v>70.400000000000006</v>
      </c>
      <c r="E267">
        <v>0</v>
      </c>
      <c r="F267">
        <v>0</v>
      </c>
      <c r="G267">
        <v>4</v>
      </c>
      <c r="H267">
        <v>70.400000000000006</v>
      </c>
      <c r="I267">
        <v>4</v>
      </c>
      <c r="J267">
        <v>45.769999999999996</v>
      </c>
    </row>
    <row r="268" spans="1:10" x14ac:dyDescent="0.25">
      <c r="A268" t="s">
        <v>265</v>
      </c>
      <c r="B268" t="s">
        <v>264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267</v>
      </c>
      <c r="B269" t="s">
        <v>266</v>
      </c>
      <c r="C269">
        <v>1851</v>
      </c>
      <c r="D269">
        <v>19513.560000000001</v>
      </c>
      <c r="E269">
        <v>0</v>
      </c>
      <c r="F269">
        <v>0</v>
      </c>
      <c r="G269">
        <v>1851</v>
      </c>
      <c r="H269">
        <v>19513.560000000001</v>
      </c>
      <c r="I269">
        <v>9180</v>
      </c>
      <c r="J269">
        <v>75651.599999999991</v>
      </c>
    </row>
    <row r="270" spans="1:10" x14ac:dyDescent="0.25">
      <c r="A270" t="s">
        <v>269</v>
      </c>
      <c r="B270" t="s">
        <v>268</v>
      </c>
      <c r="C270">
        <v>6</v>
      </c>
      <c r="D270">
        <v>223.68</v>
      </c>
      <c r="E270">
        <v>0</v>
      </c>
      <c r="F270">
        <v>0</v>
      </c>
      <c r="G270">
        <v>6</v>
      </c>
      <c r="H270">
        <v>223.68</v>
      </c>
      <c r="I270">
        <v>18</v>
      </c>
      <c r="J270">
        <v>712.45</v>
      </c>
    </row>
    <row r="271" spans="1:10" x14ac:dyDescent="0.25">
      <c r="A271" t="s">
        <v>271</v>
      </c>
      <c r="B271" t="s">
        <v>270</v>
      </c>
      <c r="C271">
        <v>25</v>
      </c>
      <c r="D271">
        <v>1487.25</v>
      </c>
      <c r="E271">
        <v>0</v>
      </c>
      <c r="F271">
        <v>0</v>
      </c>
      <c r="G271">
        <v>25</v>
      </c>
      <c r="H271">
        <v>1487.25</v>
      </c>
      <c r="I271">
        <v>235</v>
      </c>
      <c r="J271">
        <v>15313.699999999999</v>
      </c>
    </row>
    <row r="272" spans="1:10" x14ac:dyDescent="0.25">
      <c r="A272" t="s">
        <v>273</v>
      </c>
      <c r="B272" t="s">
        <v>272</v>
      </c>
      <c r="C272">
        <v>9</v>
      </c>
      <c r="D272">
        <v>105.85</v>
      </c>
      <c r="E272">
        <v>0</v>
      </c>
      <c r="F272">
        <v>0</v>
      </c>
      <c r="G272">
        <v>9</v>
      </c>
      <c r="H272">
        <v>105.85</v>
      </c>
      <c r="I272">
        <v>6</v>
      </c>
      <c r="J272">
        <v>102.24</v>
      </c>
    </row>
    <row r="273" spans="1:10" x14ac:dyDescent="0.25">
      <c r="A273" t="s">
        <v>275</v>
      </c>
      <c r="B273" t="s">
        <v>274</v>
      </c>
      <c r="C273">
        <v>12</v>
      </c>
      <c r="D273">
        <v>193.77999999999997</v>
      </c>
      <c r="E273">
        <v>0</v>
      </c>
      <c r="F273">
        <v>0</v>
      </c>
      <c r="G273">
        <v>12</v>
      </c>
      <c r="H273">
        <v>193.77999999999997</v>
      </c>
      <c r="I273">
        <v>24</v>
      </c>
      <c r="J273">
        <v>393.52000000000004</v>
      </c>
    </row>
    <row r="274" spans="1:10" x14ac:dyDescent="0.25">
      <c r="A274" t="s">
        <v>277</v>
      </c>
      <c r="B274" t="s">
        <v>276</v>
      </c>
      <c r="C274">
        <v>38</v>
      </c>
      <c r="D274">
        <v>409.3</v>
      </c>
      <c r="E274">
        <v>0</v>
      </c>
      <c r="F274">
        <v>0</v>
      </c>
      <c r="G274">
        <v>38</v>
      </c>
      <c r="H274">
        <v>409.3</v>
      </c>
      <c r="I274">
        <v>0</v>
      </c>
      <c r="J274">
        <v>0</v>
      </c>
    </row>
    <row r="275" spans="1:10" x14ac:dyDescent="0.25">
      <c r="A275" t="s">
        <v>279</v>
      </c>
      <c r="B275" t="s">
        <v>278</v>
      </c>
      <c r="C275">
        <v>32</v>
      </c>
      <c r="D275">
        <v>347.05</v>
      </c>
      <c r="E275">
        <v>0</v>
      </c>
      <c r="F275">
        <v>0</v>
      </c>
      <c r="G275">
        <v>32</v>
      </c>
      <c r="H275">
        <v>347.05</v>
      </c>
      <c r="I275">
        <v>5</v>
      </c>
      <c r="J275">
        <v>61.260000000000005</v>
      </c>
    </row>
    <row r="276" spans="1:10" x14ac:dyDescent="0.25">
      <c r="A276" t="s">
        <v>281</v>
      </c>
      <c r="B276" t="s">
        <v>280</v>
      </c>
      <c r="C276">
        <v>8</v>
      </c>
      <c r="D276">
        <v>47.9</v>
      </c>
      <c r="E276">
        <v>0</v>
      </c>
      <c r="F276">
        <v>0</v>
      </c>
      <c r="G276">
        <v>8</v>
      </c>
      <c r="H276">
        <v>47.9</v>
      </c>
      <c r="I276">
        <v>9</v>
      </c>
      <c r="J276">
        <v>74.25</v>
      </c>
    </row>
    <row r="277" spans="1:10" x14ac:dyDescent="0.25">
      <c r="A277" t="s">
        <v>283</v>
      </c>
      <c r="B277" t="s">
        <v>282</v>
      </c>
      <c r="C277">
        <v>2</v>
      </c>
      <c r="D277">
        <v>16.38</v>
      </c>
      <c r="E277">
        <v>0</v>
      </c>
      <c r="F277">
        <v>0</v>
      </c>
      <c r="G277">
        <v>2</v>
      </c>
      <c r="H277">
        <v>16.38</v>
      </c>
      <c r="I277">
        <v>98</v>
      </c>
      <c r="J277">
        <v>758.81999999999994</v>
      </c>
    </row>
    <row r="278" spans="1:10" x14ac:dyDescent="0.25">
      <c r="A278" t="s">
        <v>714</v>
      </c>
      <c r="B278" t="s">
        <v>715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8.11</v>
      </c>
    </row>
    <row r="279" spans="1:10" x14ac:dyDescent="0.25">
      <c r="A279" t="s">
        <v>285</v>
      </c>
      <c r="B279" t="s">
        <v>284</v>
      </c>
      <c r="C279">
        <v>113</v>
      </c>
      <c r="D279">
        <v>1652.2199999999998</v>
      </c>
      <c r="E279">
        <v>0</v>
      </c>
      <c r="F279">
        <v>0</v>
      </c>
      <c r="G279">
        <v>113</v>
      </c>
      <c r="H279">
        <v>1652.2199999999998</v>
      </c>
      <c r="I279">
        <v>223</v>
      </c>
      <c r="J279">
        <v>3396.24</v>
      </c>
    </row>
    <row r="280" spans="1:10" x14ac:dyDescent="0.25">
      <c r="A280" t="s">
        <v>716</v>
      </c>
      <c r="B280" t="s">
        <v>717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287</v>
      </c>
      <c r="B281" t="s">
        <v>286</v>
      </c>
      <c r="C281">
        <v>64</v>
      </c>
      <c r="D281">
        <v>1048.1699999999998</v>
      </c>
      <c r="E281">
        <v>0</v>
      </c>
      <c r="F281">
        <v>0</v>
      </c>
      <c r="G281">
        <v>64</v>
      </c>
      <c r="H281">
        <v>1048.1699999999998</v>
      </c>
      <c r="I281">
        <v>1081</v>
      </c>
      <c r="J281">
        <v>17197.47</v>
      </c>
    </row>
    <row r="282" spans="1:10" x14ac:dyDescent="0.25">
      <c r="A282" t="s">
        <v>289</v>
      </c>
      <c r="B282" t="s">
        <v>288</v>
      </c>
      <c r="C282">
        <v>102</v>
      </c>
      <c r="D282">
        <v>1419.95</v>
      </c>
      <c r="E282">
        <v>0</v>
      </c>
      <c r="F282">
        <v>0</v>
      </c>
      <c r="G282">
        <v>102</v>
      </c>
      <c r="H282">
        <v>1419.95</v>
      </c>
      <c r="I282">
        <v>410</v>
      </c>
      <c r="J282">
        <v>4971.7299999999996</v>
      </c>
    </row>
    <row r="283" spans="1:10" x14ac:dyDescent="0.25">
      <c r="A283" t="s">
        <v>291</v>
      </c>
      <c r="B283" t="s">
        <v>290</v>
      </c>
      <c r="C283">
        <v>11</v>
      </c>
      <c r="D283">
        <v>249.45000000000002</v>
      </c>
      <c r="E283">
        <v>0</v>
      </c>
      <c r="F283">
        <v>0</v>
      </c>
      <c r="G283">
        <v>11</v>
      </c>
      <c r="H283">
        <v>249.45000000000002</v>
      </c>
      <c r="I283">
        <v>18</v>
      </c>
      <c r="J283">
        <v>442.16</v>
      </c>
    </row>
    <row r="284" spans="1:10" x14ac:dyDescent="0.25">
      <c r="A284" t="s">
        <v>293</v>
      </c>
      <c r="B284" t="s">
        <v>292</v>
      </c>
      <c r="C284">
        <v>883</v>
      </c>
      <c r="D284">
        <v>9271.3900000000012</v>
      </c>
      <c r="E284">
        <v>0</v>
      </c>
      <c r="F284">
        <v>0</v>
      </c>
      <c r="G284">
        <v>883</v>
      </c>
      <c r="H284">
        <v>9271.3900000000012</v>
      </c>
      <c r="I284">
        <v>9708</v>
      </c>
      <c r="J284">
        <v>79572.34</v>
      </c>
    </row>
    <row r="285" spans="1:10" x14ac:dyDescent="0.25">
      <c r="A285" t="s">
        <v>779</v>
      </c>
      <c r="B285" t="s">
        <v>780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 t="s">
        <v>295</v>
      </c>
      <c r="B286" t="s">
        <v>294</v>
      </c>
      <c r="C286">
        <v>93</v>
      </c>
      <c r="D286">
        <v>768.85000000000014</v>
      </c>
      <c r="E286">
        <v>0</v>
      </c>
      <c r="F286">
        <v>0</v>
      </c>
      <c r="G286">
        <v>93</v>
      </c>
      <c r="H286">
        <v>768.85000000000014</v>
      </c>
      <c r="I286">
        <v>519</v>
      </c>
      <c r="J286">
        <v>3896.72</v>
      </c>
    </row>
    <row r="287" spans="1:10" x14ac:dyDescent="0.25">
      <c r="A287" t="s">
        <v>297</v>
      </c>
      <c r="B287" t="s">
        <v>296</v>
      </c>
      <c r="C287">
        <v>3</v>
      </c>
      <c r="D287">
        <v>35.47</v>
      </c>
      <c r="E287">
        <v>0</v>
      </c>
      <c r="F287">
        <v>0</v>
      </c>
      <c r="G287">
        <v>3</v>
      </c>
      <c r="H287">
        <v>35.47</v>
      </c>
      <c r="I287">
        <v>2578</v>
      </c>
      <c r="J287">
        <v>34563.21</v>
      </c>
    </row>
    <row r="288" spans="1:10" x14ac:dyDescent="0.25">
      <c r="A288" t="s">
        <v>299</v>
      </c>
      <c r="B288" t="s">
        <v>298</v>
      </c>
      <c r="C288">
        <v>7</v>
      </c>
      <c r="D288">
        <v>101.55000000000001</v>
      </c>
      <c r="E288">
        <v>0</v>
      </c>
      <c r="F288">
        <v>0</v>
      </c>
      <c r="G288">
        <v>7</v>
      </c>
      <c r="H288">
        <v>101.55000000000001</v>
      </c>
      <c r="I288">
        <v>124</v>
      </c>
      <c r="J288">
        <v>1241.83</v>
      </c>
    </row>
    <row r="289" spans="1:10" x14ac:dyDescent="0.25">
      <c r="A289" t="s">
        <v>301</v>
      </c>
      <c r="B289" t="s">
        <v>300</v>
      </c>
      <c r="C289">
        <v>1606</v>
      </c>
      <c r="D289">
        <v>20345.02</v>
      </c>
      <c r="E289">
        <v>219</v>
      </c>
      <c r="F289">
        <v>3261.1000000000045</v>
      </c>
      <c r="G289">
        <v>1825</v>
      </c>
      <c r="H289">
        <v>23606.120000000003</v>
      </c>
      <c r="I289">
        <v>10541</v>
      </c>
      <c r="J289">
        <v>126524.63999999998</v>
      </c>
    </row>
    <row r="290" spans="1:10" x14ac:dyDescent="0.25">
      <c r="A290" t="s">
        <v>303</v>
      </c>
      <c r="B290" t="s">
        <v>302</v>
      </c>
      <c r="C290">
        <v>50</v>
      </c>
      <c r="D290">
        <v>582.20000000000005</v>
      </c>
      <c r="E290">
        <v>0</v>
      </c>
      <c r="F290">
        <v>0</v>
      </c>
      <c r="G290">
        <v>50</v>
      </c>
      <c r="H290">
        <v>582.20000000000005</v>
      </c>
      <c r="I290">
        <v>40</v>
      </c>
      <c r="J290">
        <v>415.21999999999997</v>
      </c>
    </row>
    <row r="291" spans="1:10" x14ac:dyDescent="0.25">
      <c r="A291" t="s">
        <v>305</v>
      </c>
      <c r="B291" t="s">
        <v>304</v>
      </c>
      <c r="C291">
        <v>16</v>
      </c>
      <c r="D291">
        <v>68.13</v>
      </c>
      <c r="E291">
        <v>0</v>
      </c>
      <c r="F291">
        <v>0</v>
      </c>
      <c r="G291">
        <v>16</v>
      </c>
      <c r="H291">
        <v>68.13</v>
      </c>
      <c r="I291">
        <v>2</v>
      </c>
      <c r="J291">
        <v>22.380000000000003</v>
      </c>
    </row>
    <row r="292" spans="1:10" x14ac:dyDescent="0.25">
      <c r="A292" t="s">
        <v>307</v>
      </c>
      <c r="B292" t="s">
        <v>306</v>
      </c>
      <c r="C292">
        <v>124</v>
      </c>
      <c r="D292">
        <v>1520.38</v>
      </c>
      <c r="E292">
        <v>0</v>
      </c>
      <c r="F292">
        <v>0</v>
      </c>
      <c r="G292">
        <v>124</v>
      </c>
      <c r="H292">
        <v>1520.38</v>
      </c>
      <c r="I292">
        <v>170</v>
      </c>
      <c r="J292">
        <v>1954.2899999999997</v>
      </c>
    </row>
    <row r="293" spans="1:10" x14ac:dyDescent="0.25">
      <c r="A293" t="s">
        <v>309</v>
      </c>
      <c r="B293" t="s">
        <v>308</v>
      </c>
      <c r="C293">
        <v>7</v>
      </c>
      <c r="D293">
        <v>219.50000000000003</v>
      </c>
      <c r="E293">
        <v>0</v>
      </c>
      <c r="F293">
        <v>0</v>
      </c>
      <c r="G293">
        <v>7</v>
      </c>
      <c r="H293">
        <v>219.50000000000003</v>
      </c>
      <c r="I293">
        <v>9</v>
      </c>
      <c r="J293">
        <v>195.04</v>
      </c>
    </row>
    <row r="294" spans="1:10" x14ac:dyDescent="0.25">
      <c r="A294" t="s">
        <v>311</v>
      </c>
      <c r="B294" t="s">
        <v>310</v>
      </c>
      <c r="C294">
        <v>88</v>
      </c>
      <c r="D294">
        <v>2632.7599999999998</v>
      </c>
      <c r="E294">
        <v>15</v>
      </c>
      <c r="F294">
        <v>556.5</v>
      </c>
      <c r="G294">
        <v>103</v>
      </c>
      <c r="H294">
        <v>3189.26</v>
      </c>
      <c r="I294">
        <v>648</v>
      </c>
      <c r="J294">
        <v>20257.650000000001</v>
      </c>
    </row>
    <row r="295" spans="1:10" x14ac:dyDescent="0.25">
      <c r="A295" t="s">
        <v>313</v>
      </c>
      <c r="B295" t="s">
        <v>312</v>
      </c>
      <c r="C295">
        <v>54</v>
      </c>
      <c r="D295">
        <v>2848.87</v>
      </c>
      <c r="E295">
        <v>0</v>
      </c>
      <c r="F295">
        <v>0</v>
      </c>
      <c r="G295">
        <v>54</v>
      </c>
      <c r="H295">
        <v>2848.87</v>
      </c>
      <c r="I295">
        <v>6</v>
      </c>
      <c r="J295">
        <v>369.15999999999997</v>
      </c>
    </row>
    <row r="296" spans="1:10" x14ac:dyDescent="0.25">
      <c r="A296" t="s">
        <v>315</v>
      </c>
      <c r="B296" t="s">
        <v>314</v>
      </c>
      <c r="C296">
        <v>42</v>
      </c>
      <c r="D296">
        <v>5.86</v>
      </c>
      <c r="E296">
        <v>0</v>
      </c>
      <c r="F296">
        <v>0</v>
      </c>
      <c r="G296">
        <v>42</v>
      </c>
      <c r="H296">
        <v>5.86</v>
      </c>
      <c r="I296">
        <v>2</v>
      </c>
      <c r="J296">
        <v>8.0399999999999991</v>
      </c>
    </row>
    <row r="297" spans="1:10" x14ac:dyDescent="0.25">
      <c r="A297" t="s">
        <v>317</v>
      </c>
      <c r="B297" t="s">
        <v>316</v>
      </c>
      <c r="C297">
        <v>12</v>
      </c>
      <c r="D297">
        <v>501.78</v>
      </c>
      <c r="E297">
        <v>0</v>
      </c>
      <c r="F297">
        <v>0</v>
      </c>
      <c r="G297">
        <v>12</v>
      </c>
      <c r="H297">
        <v>501.78</v>
      </c>
      <c r="I297">
        <v>108</v>
      </c>
      <c r="J297">
        <v>3045.68</v>
      </c>
    </row>
    <row r="298" spans="1:10" x14ac:dyDescent="0.25">
      <c r="A298" t="s">
        <v>718</v>
      </c>
      <c r="B298" t="s">
        <v>719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7.86</v>
      </c>
    </row>
    <row r="299" spans="1:10" x14ac:dyDescent="0.25">
      <c r="A299" t="s">
        <v>319</v>
      </c>
      <c r="B299" t="s">
        <v>318</v>
      </c>
      <c r="C299">
        <v>778</v>
      </c>
      <c r="D299">
        <v>10986.42</v>
      </c>
      <c r="E299">
        <v>0</v>
      </c>
      <c r="F299">
        <v>0</v>
      </c>
      <c r="G299">
        <v>778</v>
      </c>
      <c r="H299">
        <v>10986.42</v>
      </c>
      <c r="I299">
        <v>40</v>
      </c>
      <c r="J299">
        <v>597.93999999999994</v>
      </c>
    </row>
    <row r="300" spans="1:10" x14ac:dyDescent="0.25">
      <c r="A300" t="s">
        <v>321</v>
      </c>
      <c r="B300" t="s">
        <v>320</v>
      </c>
      <c r="C300">
        <v>19</v>
      </c>
      <c r="D300">
        <v>314.53000000000003</v>
      </c>
      <c r="E300">
        <v>0</v>
      </c>
      <c r="F300">
        <v>0</v>
      </c>
      <c r="G300">
        <v>19</v>
      </c>
      <c r="H300">
        <v>314.53000000000003</v>
      </c>
      <c r="I300">
        <v>9</v>
      </c>
      <c r="J300">
        <v>212.49</v>
      </c>
    </row>
    <row r="301" spans="1:10" x14ac:dyDescent="0.25">
      <c r="A301" t="s">
        <v>323</v>
      </c>
      <c r="B301" t="s">
        <v>322</v>
      </c>
      <c r="C301">
        <v>22</v>
      </c>
      <c r="D301">
        <v>500.84000000000003</v>
      </c>
      <c r="E301">
        <v>0</v>
      </c>
      <c r="F301">
        <v>0</v>
      </c>
      <c r="G301">
        <v>22</v>
      </c>
      <c r="H301">
        <v>500.84000000000003</v>
      </c>
      <c r="I301">
        <v>61</v>
      </c>
      <c r="J301">
        <v>1994.52</v>
      </c>
    </row>
    <row r="302" spans="1:10" x14ac:dyDescent="0.25">
      <c r="A302" t="s">
        <v>325</v>
      </c>
      <c r="B302" t="s">
        <v>324</v>
      </c>
      <c r="C302">
        <v>264</v>
      </c>
      <c r="D302">
        <v>7715.02</v>
      </c>
      <c r="E302">
        <v>0</v>
      </c>
      <c r="F302">
        <v>0</v>
      </c>
      <c r="G302">
        <v>264</v>
      </c>
      <c r="H302">
        <v>7715.02</v>
      </c>
      <c r="I302">
        <v>484</v>
      </c>
      <c r="J302">
        <v>14042.189999999999</v>
      </c>
    </row>
    <row r="303" spans="1:10" x14ac:dyDescent="0.25">
      <c r="A303" t="s">
        <v>327</v>
      </c>
      <c r="B303" t="s">
        <v>326</v>
      </c>
      <c r="C303">
        <v>5</v>
      </c>
      <c r="D303">
        <v>295.04000000000002</v>
      </c>
      <c r="E303">
        <v>0</v>
      </c>
      <c r="F303">
        <v>0</v>
      </c>
      <c r="G303">
        <v>5</v>
      </c>
      <c r="H303">
        <v>295.04000000000002</v>
      </c>
      <c r="I303">
        <v>2</v>
      </c>
      <c r="J303">
        <v>116.27</v>
      </c>
    </row>
    <row r="304" spans="1:10" x14ac:dyDescent="0.25">
      <c r="A304" t="s">
        <v>329</v>
      </c>
      <c r="B304" t="s">
        <v>328</v>
      </c>
      <c r="C304">
        <v>488</v>
      </c>
      <c r="D304">
        <v>6122.8599999999988</v>
      </c>
      <c r="E304">
        <v>0</v>
      </c>
      <c r="F304">
        <v>0</v>
      </c>
      <c r="G304">
        <v>488</v>
      </c>
      <c r="H304">
        <v>6122.8599999999988</v>
      </c>
      <c r="I304">
        <v>598</v>
      </c>
      <c r="J304">
        <v>6965.6999999999989</v>
      </c>
    </row>
    <row r="305" spans="1:10" x14ac:dyDescent="0.25">
      <c r="A305" t="s">
        <v>331</v>
      </c>
      <c r="B305" t="s">
        <v>330</v>
      </c>
      <c r="C305">
        <v>6</v>
      </c>
      <c r="D305">
        <v>132.08000000000001</v>
      </c>
      <c r="E305">
        <v>0</v>
      </c>
      <c r="F305">
        <v>0</v>
      </c>
      <c r="G305">
        <v>6</v>
      </c>
      <c r="H305">
        <v>132.08000000000001</v>
      </c>
      <c r="I305">
        <v>16</v>
      </c>
      <c r="J305">
        <v>407.65999999999997</v>
      </c>
    </row>
    <row r="306" spans="1:10" x14ac:dyDescent="0.25">
      <c r="A306" t="s">
        <v>720</v>
      </c>
      <c r="B306" t="s">
        <v>721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12</v>
      </c>
      <c r="J306">
        <v>1296.6099999999999</v>
      </c>
    </row>
    <row r="307" spans="1:10" x14ac:dyDescent="0.25">
      <c r="A307" t="s">
        <v>333</v>
      </c>
      <c r="B307" t="s">
        <v>332</v>
      </c>
      <c r="C307">
        <v>49</v>
      </c>
      <c r="D307">
        <v>5232.0599999999995</v>
      </c>
      <c r="E307">
        <v>1</v>
      </c>
      <c r="F307">
        <v>129</v>
      </c>
      <c r="G307">
        <v>50</v>
      </c>
      <c r="H307">
        <v>5361.0599999999995</v>
      </c>
      <c r="I307">
        <v>75</v>
      </c>
      <c r="J307">
        <v>7030.94</v>
      </c>
    </row>
    <row r="308" spans="1:10" x14ac:dyDescent="0.25">
      <c r="A308" t="s">
        <v>335</v>
      </c>
      <c r="B308" t="s">
        <v>334</v>
      </c>
      <c r="C308">
        <v>29</v>
      </c>
      <c r="D308">
        <v>2445.71</v>
      </c>
      <c r="E308">
        <v>0</v>
      </c>
      <c r="F308">
        <v>0</v>
      </c>
      <c r="G308">
        <v>29</v>
      </c>
      <c r="H308">
        <v>2445.71</v>
      </c>
      <c r="I308">
        <v>32</v>
      </c>
      <c r="J308">
        <v>2370.48</v>
      </c>
    </row>
    <row r="309" spans="1:10" x14ac:dyDescent="0.25">
      <c r="A309" t="s">
        <v>337</v>
      </c>
      <c r="B309" t="s">
        <v>336</v>
      </c>
      <c r="C309">
        <v>3</v>
      </c>
      <c r="D309">
        <v>171.26</v>
      </c>
      <c r="E309">
        <v>0</v>
      </c>
      <c r="F309">
        <v>0</v>
      </c>
      <c r="G309">
        <v>3</v>
      </c>
      <c r="H309">
        <v>171.26</v>
      </c>
      <c r="I309">
        <v>9</v>
      </c>
      <c r="J309">
        <v>515.70000000000005</v>
      </c>
    </row>
    <row r="310" spans="1:10" x14ac:dyDescent="0.25">
      <c r="A310" t="s">
        <v>722</v>
      </c>
      <c r="B310" t="s">
        <v>723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-2</v>
      </c>
      <c r="J310">
        <v>-33.44</v>
      </c>
    </row>
    <row r="311" spans="1:10" x14ac:dyDescent="0.25">
      <c r="A311" t="s">
        <v>339</v>
      </c>
      <c r="B311" t="s">
        <v>338</v>
      </c>
      <c r="C311">
        <v>101</v>
      </c>
      <c r="D311">
        <v>2494.5600000000004</v>
      </c>
      <c r="E311">
        <v>0</v>
      </c>
      <c r="F311">
        <v>0</v>
      </c>
      <c r="G311">
        <v>101</v>
      </c>
      <c r="H311">
        <v>2494.5600000000004</v>
      </c>
      <c r="I311">
        <v>764</v>
      </c>
      <c r="J311">
        <v>15501.259999999998</v>
      </c>
    </row>
    <row r="312" spans="1:10" x14ac:dyDescent="0.25">
      <c r="A312" t="s">
        <v>341</v>
      </c>
      <c r="B312" t="s">
        <v>340</v>
      </c>
      <c r="C312">
        <v>58</v>
      </c>
      <c r="D312">
        <v>1420.96</v>
      </c>
      <c r="E312">
        <v>0</v>
      </c>
      <c r="F312">
        <v>0</v>
      </c>
      <c r="G312">
        <v>58</v>
      </c>
      <c r="H312">
        <v>1420.96</v>
      </c>
      <c r="I312">
        <v>118</v>
      </c>
      <c r="J312">
        <v>2888.9199999999996</v>
      </c>
    </row>
    <row r="313" spans="1:10" x14ac:dyDescent="0.25">
      <c r="A313" t="s">
        <v>724</v>
      </c>
      <c r="B313" t="s">
        <v>725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40.94</v>
      </c>
    </row>
    <row r="314" spans="1:10" x14ac:dyDescent="0.25">
      <c r="A314" t="s">
        <v>343</v>
      </c>
      <c r="B314" t="s">
        <v>342</v>
      </c>
      <c r="C314">
        <v>287</v>
      </c>
      <c r="D314">
        <v>5575.2999999999993</v>
      </c>
      <c r="E314">
        <v>2</v>
      </c>
      <c r="F314">
        <v>70.210000000000008</v>
      </c>
      <c r="G314">
        <v>289</v>
      </c>
      <c r="H314">
        <v>5645.5099999999993</v>
      </c>
      <c r="I314">
        <v>597</v>
      </c>
      <c r="J314">
        <v>10000.220000000001</v>
      </c>
    </row>
    <row r="315" spans="1:10" x14ac:dyDescent="0.25">
      <c r="A315" t="s">
        <v>726</v>
      </c>
      <c r="B315" t="s">
        <v>727</v>
      </c>
      <c r="C315">
        <v>1</v>
      </c>
      <c r="D315">
        <v>138.52000000000001</v>
      </c>
      <c r="E315">
        <v>0</v>
      </c>
      <c r="F315">
        <v>0</v>
      </c>
      <c r="G315">
        <v>1</v>
      </c>
      <c r="H315">
        <v>138.52000000000001</v>
      </c>
      <c r="I315">
        <v>16</v>
      </c>
      <c r="J315">
        <v>1922.03</v>
      </c>
    </row>
    <row r="316" spans="1:10" x14ac:dyDescent="0.25">
      <c r="A316" t="s">
        <v>728</v>
      </c>
      <c r="B316" t="s">
        <v>729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-1</v>
      </c>
      <c r="J316">
        <v>-4.0199999999999996</v>
      </c>
    </row>
    <row r="317" spans="1:10" x14ac:dyDescent="0.25">
      <c r="A317" t="s">
        <v>345</v>
      </c>
      <c r="B317" t="s">
        <v>344</v>
      </c>
      <c r="C317">
        <v>5</v>
      </c>
      <c r="D317">
        <v>246.74</v>
      </c>
      <c r="E317">
        <v>0</v>
      </c>
      <c r="F317">
        <v>0</v>
      </c>
      <c r="G317">
        <v>5</v>
      </c>
      <c r="H317">
        <v>246.74</v>
      </c>
      <c r="I317">
        <v>7</v>
      </c>
      <c r="J317">
        <v>362.59000000000003</v>
      </c>
    </row>
    <row r="318" spans="1:10" x14ac:dyDescent="0.25">
      <c r="A318" t="s">
        <v>347</v>
      </c>
      <c r="B318" t="s">
        <v>346</v>
      </c>
      <c r="C318">
        <v>52</v>
      </c>
      <c r="D318">
        <v>1165.0900000000001</v>
      </c>
      <c r="E318">
        <v>0</v>
      </c>
      <c r="F318">
        <v>0</v>
      </c>
      <c r="G318">
        <v>52</v>
      </c>
      <c r="H318">
        <v>1165.0900000000001</v>
      </c>
      <c r="I318">
        <v>152</v>
      </c>
      <c r="J318">
        <v>3020.8</v>
      </c>
    </row>
    <row r="319" spans="1:10" x14ac:dyDescent="0.25">
      <c r="A319" t="s">
        <v>349</v>
      </c>
      <c r="B319" t="s">
        <v>348</v>
      </c>
      <c r="C319">
        <v>5</v>
      </c>
      <c r="D319">
        <v>42.49</v>
      </c>
      <c r="E319">
        <v>0</v>
      </c>
      <c r="F319">
        <v>0</v>
      </c>
      <c r="G319">
        <v>5</v>
      </c>
      <c r="H319">
        <v>42.49</v>
      </c>
      <c r="I319">
        <v>1</v>
      </c>
      <c r="J319">
        <v>11.83</v>
      </c>
    </row>
    <row r="320" spans="1:10" x14ac:dyDescent="0.25">
      <c r="A320" t="s">
        <v>351</v>
      </c>
      <c r="B320" t="s">
        <v>350</v>
      </c>
      <c r="C320">
        <v>21</v>
      </c>
      <c r="D320">
        <v>307.53999999999996</v>
      </c>
      <c r="E320">
        <v>0</v>
      </c>
      <c r="F320">
        <v>0</v>
      </c>
      <c r="G320">
        <v>21</v>
      </c>
      <c r="H320">
        <v>307.53999999999996</v>
      </c>
      <c r="I320">
        <v>19</v>
      </c>
      <c r="J320">
        <v>300.14999999999998</v>
      </c>
    </row>
    <row r="321" spans="1:10" x14ac:dyDescent="0.25">
      <c r="A321" t="s">
        <v>353</v>
      </c>
      <c r="B321" t="s">
        <v>352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</v>
      </c>
      <c r="J321">
        <v>131.85</v>
      </c>
    </row>
    <row r="322" spans="1:10" x14ac:dyDescent="0.25">
      <c r="A322" t="s">
        <v>355</v>
      </c>
      <c r="B322" t="s">
        <v>354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92.82</v>
      </c>
    </row>
    <row r="323" spans="1:10" x14ac:dyDescent="0.25">
      <c r="A323" t="s">
        <v>357</v>
      </c>
      <c r="B323" t="s">
        <v>356</v>
      </c>
      <c r="C323">
        <v>17</v>
      </c>
      <c r="D323">
        <v>1481.2600000000002</v>
      </c>
      <c r="E323">
        <v>0</v>
      </c>
      <c r="F323">
        <v>0</v>
      </c>
      <c r="G323">
        <v>17</v>
      </c>
      <c r="H323">
        <v>1481.2600000000002</v>
      </c>
      <c r="I323">
        <v>48</v>
      </c>
      <c r="J323">
        <v>3703.5</v>
      </c>
    </row>
    <row r="324" spans="1:10" x14ac:dyDescent="0.25">
      <c r="A324" t="s">
        <v>359</v>
      </c>
      <c r="B324" t="s">
        <v>358</v>
      </c>
      <c r="C324">
        <v>7</v>
      </c>
      <c r="D324">
        <v>247.94</v>
      </c>
      <c r="E324">
        <v>0</v>
      </c>
      <c r="F324">
        <v>0</v>
      </c>
      <c r="G324">
        <v>7</v>
      </c>
      <c r="H324">
        <v>247.94</v>
      </c>
      <c r="I324">
        <v>2</v>
      </c>
      <c r="J324">
        <v>38.61</v>
      </c>
    </row>
    <row r="325" spans="1:10" x14ac:dyDescent="0.25">
      <c r="A325" t="s">
        <v>361</v>
      </c>
      <c r="B325" t="s">
        <v>360</v>
      </c>
      <c r="C325">
        <v>280</v>
      </c>
      <c r="D325">
        <v>3888.5100000000007</v>
      </c>
      <c r="E325">
        <v>10</v>
      </c>
      <c r="F325">
        <v>249</v>
      </c>
      <c r="G325">
        <v>290</v>
      </c>
      <c r="H325">
        <v>4137.51</v>
      </c>
      <c r="I325">
        <v>1222</v>
      </c>
      <c r="J325">
        <v>17134.02</v>
      </c>
    </row>
    <row r="326" spans="1:10" x14ac:dyDescent="0.25">
      <c r="A326" t="s">
        <v>363</v>
      </c>
      <c r="B326" t="s">
        <v>362</v>
      </c>
      <c r="C326">
        <v>8</v>
      </c>
      <c r="D326">
        <v>86.89</v>
      </c>
      <c r="E326">
        <v>0</v>
      </c>
      <c r="F326">
        <v>0</v>
      </c>
      <c r="G326">
        <v>8</v>
      </c>
      <c r="H326">
        <v>86.89</v>
      </c>
      <c r="I326">
        <v>8</v>
      </c>
      <c r="J326">
        <v>100.77000000000001</v>
      </c>
    </row>
    <row r="327" spans="1:10" x14ac:dyDescent="0.25">
      <c r="A327" t="s">
        <v>365</v>
      </c>
      <c r="B327" t="s">
        <v>364</v>
      </c>
      <c r="C327">
        <v>136</v>
      </c>
      <c r="D327">
        <v>5050.18</v>
      </c>
      <c r="E327">
        <v>0</v>
      </c>
      <c r="F327">
        <v>0</v>
      </c>
      <c r="G327">
        <v>136</v>
      </c>
      <c r="H327">
        <v>5050.18</v>
      </c>
      <c r="I327">
        <v>204</v>
      </c>
      <c r="J327">
        <v>7901.08</v>
      </c>
    </row>
    <row r="328" spans="1:10" x14ac:dyDescent="0.25">
      <c r="A328" t="s">
        <v>367</v>
      </c>
      <c r="B328" t="s">
        <v>366</v>
      </c>
      <c r="C328">
        <v>58</v>
      </c>
      <c r="D328">
        <v>1490.34</v>
      </c>
      <c r="E328">
        <v>0</v>
      </c>
      <c r="F328">
        <v>0</v>
      </c>
      <c r="G328">
        <v>58</v>
      </c>
      <c r="H328">
        <v>1490.34</v>
      </c>
      <c r="I328">
        <v>51</v>
      </c>
      <c r="J328">
        <v>1230.95</v>
      </c>
    </row>
    <row r="329" spans="1:10" x14ac:dyDescent="0.25">
      <c r="A329" t="s">
        <v>369</v>
      </c>
      <c r="B329" t="s">
        <v>368</v>
      </c>
      <c r="C329">
        <v>1246</v>
      </c>
      <c r="D329">
        <v>13451.380000000001</v>
      </c>
      <c r="E329">
        <v>7</v>
      </c>
      <c r="F329">
        <v>76.300000000000011</v>
      </c>
      <c r="G329">
        <v>1253</v>
      </c>
      <c r="H329">
        <v>13527.68</v>
      </c>
      <c r="I329">
        <v>4836</v>
      </c>
      <c r="J329">
        <v>39357.899999999994</v>
      </c>
    </row>
    <row r="330" spans="1:10" x14ac:dyDescent="0.25">
      <c r="A330" t="s">
        <v>371</v>
      </c>
      <c r="B330" t="s">
        <v>370</v>
      </c>
      <c r="C330">
        <v>55</v>
      </c>
      <c r="D330">
        <v>1790.04</v>
      </c>
      <c r="E330">
        <v>0</v>
      </c>
      <c r="F330">
        <v>0</v>
      </c>
      <c r="G330">
        <v>55</v>
      </c>
      <c r="H330">
        <v>1790.04</v>
      </c>
      <c r="I330">
        <v>153</v>
      </c>
      <c r="J330">
        <v>5017.4400000000005</v>
      </c>
    </row>
    <row r="331" spans="1:10" x14ac:dyDescent="0.25">
      <c r="A331" t="s">
        <v>373</v>
      </c>
      <c r="B331" t="s">
        <v>372</v>
      </c>
      <c r="C331">
        <v>11</v>
      </c>
      <c r="D331">
        <v>526.74</v>
      </c>
      <c r="E331">
        <v>0</v>
      </c>
      <c r="F331">
        <v>0</v>
      </c>
      <c r="G331">
        <v>11</v>
      </c>
      <c r="H331">
        <v>526.74</v>
      </c>
      <c r="I331">
        <v>7</v>
      </c>
      <c r="J331">
        <v>342.03999999999996</v>
      </c>
    </row>
    <row r="332" spans="1:10" x14ac:dyDescent="0.25">
      <c r="A332" t="s">
        <v>730</v>
      </c>
      <c r="B332" t="s">
        <v>731</v>
      </c>
      <c r="C332">
        <v>1</v>
      </c>
      <c r="D332">
        <v>24.71</v>
      </c>
      <c r="E332">
        <v>0</v>
      </c>
      <c r="F332">
        <v>0</v>
      </c>
      <c r="G332">
        <v>1</v>
      </c>
      <c r="H332">
        <v>24.71</v>
      </c>
      <c r="I332">
        <v>2</v>
      </c>
      <c r="J332">
        <v>49.63</v>
      </c>
    </row>
    <row r="333" spans="1:10" x14ac:dyDescent="0.25">
      <c r="A333" t="s">
        <v>375</v>
      </c>
      <c r="B333" t="s">
        <v>374</v>
      </c>
      <c r="C333">
        <v>35</v>
      </c>
      <c r="D333">
        <v>681.51</v>
      </c>
      <c r="E333">
        <v>0</v>
      </c>
      <c r="F333">
        <v>0</v>
      </c>
      <c r="G333">
        <v>35</v>
      </c>
      <c r="H333">
        <v>681.51</v>
      </c>
      <c r="I333">
        <v>194</v>
      </c>
      <c r="J333">
        <v>3218.87</v>
      </c>
    </row>
    <row r="334" spans="1:10" x14ac:dyDescent="0.25">
      <c r="A334" t="s">
        <v>377</v>
      </c>
      <c r="B334" t="s">
        <v>376</v>
      </c>
      <c r="C334">
        <v>82</v>
      </c>
      <c r="D334">
        <v>1523.6699999999996</v>
      </c>
      <c r="E334">
        <v>0</v>
      </c>
      <c r="F334">
        <v>0</v>
      </c>
      <c r="G334">
        <v>82</v>
      </c>
      <c r="H334">
        <v>1523.6699999999996</v>
      </c>
      <c r="I334">
        <v>168</v>
      </c>
      <c r="J334">
        <v>2787.7200000000003</v>
      </c>
    </row>
    <row r="335" spans="1:10" x14ac:dyDescent="0.25">
      <c r="A335" t="s">
        <v>379</v>
      </c>
      <c r="B335" t="s">
        <v>378</v>
      </c>
      <c r="C335">
        <v>96</v>
      </c>
      <c r="D335">
        <v>1828.94</v>
      </c>
      <c r="E335">
        <v>45</v>
      </c>
      <c r="F335">
        <v>970.49999999999966</v>
      </c>
      <c r="G335">
        <v>141</v>
      </c>
      <c r="H335">
        <v>2799.4399999999996</v>
      </c>
      <c r="I335">
        <v>413</v>
      </c>
      <c r="J335">
        <v>6819.4600000000009</v>
      </c>
    </row>
    <row r="336" spans="1:10" x14ac:dyDescent="0.25">
      <c r="A336" t="s">
        <v>381</v>
      </c>
      <c r="B336" t="s">
        <v>380</v>
      </c>
      <c r="C336">
        <v>14</v>
      </c>
      <c r="D336">
        <v>553.42000000000007</v>
      </c>
      <c r="E336">
        <v>0</v>
      </c>
      <c r="F336">
        <v>0</v>
      </c>
      <c r="G336">
        <v>14</v>
      </c>
      <c r="H336">
        <v>553.42000000000007</v>
      </c>
      <c r="I336">
        <v>40</v>
      </c>
      <c r="J336">
        <v>1639.97</v>
      </c>
    </row>
    <row r="337" spans="1:10" x14ac:dyDescent="0.25">
      <c r="A337" t="s">
        <v>383</v>
      </c>
      <c r="B337" t="s">
        <v>382</v>
      </c>
      <c r="C337">
        <v>24</v>
      </c>
      <c r="D337">
        <v>324.88</v>
      </c>
      <c r="E337">
        <v>0</v>
      </c>
      <c r="F337">
        <v>0</v>
      </c>
      <c r="G337">
        <v>24</v>
      </c>
      <c r="H337">
        <v>324.88</v>
      </c>
      <c r="I337">
        <v>16</v>
      </c>
      <c r="J337">
        <v>270.68</v>
      </c>
    </row>
    <row r="338" spans="1:10" x14ac:dyDescent="0.25">
      <c r="A338" t="s">
        <v>385</v>
      </c>
      <c r="B338" t="s">
        <v>384</v>
      </c>
      <c r="C338">
        <v>333</v>
      </c>
      <c r="D338">
        <v>5400.5</v>
      </c>
      <c r="E338">
        <v>34</v>
      </c>
      <c r="F338">
        <v>819.1099999999999</v>
      </c>
      <c r="G338">
        <v>367</v>
      </c>
      <c r="H338">
        <v>6219.61</v>
      </c>
      <c r="I338">
        <v>2227</v>
      </c>
      <c r="J338">
        <v>36815.570000000007</v>
      </c>
    </row>
    <row r="339" spans="1:10" x14ac:dyDescent="0.25">
      <c r="A339" t="s">
        <v>387</v>
      </c>
      <c r="B339" t="s">
        <v>386</v>
      </c>
      <c r="C339">
        <v>266</v>
      </c>
      <c r="D339">
        <v>11938.17</v>
      </c>
      <c r="E339">
        <v>0</v>
      </c>
      <c r="F339">
        <v>0</v>
      </c>
      <c r="G339">
        <v>266</v>
      </c>
      <c r="H339">
        <v>11938.17</v>
      </c>
      <c r="I339">
        <v>7</v>
      </c>
      <c r="J339">
        <v>282.31</v>
      </c>
    </row>
    <row r="340" spans="1:10" x14ac:dyDescent="0.25">
      <c r="A340" t="s">
        <v>389</v>
      </c>
      <c r="B340" t="s">
        <v>388</v>
      </c>
      <c r="C340">
        <v>31</v>
      </c>
      <c r="D340">
        <v>251.39</v>
      </c>
      <c r="E340">
        <v>0</v>
      </c>
      <c r="F340">
        <v>0</v>
      </c>
      <c r="G340">
        <v>31</v>
      </c>
      <c r="H340">
        <v>251.39</v>
      </c>
      <c r="I340">
        <v>97</v>
      </c>
      <c r="J340">
        <v>788.58999999999992</v>
      </c>
    </row>
    <row r="341" spans="1:10" x14ac:dyDescent="0.25">
      <c r="A341" t="s">
        <v>391</v>
      </c>
      <c r="B341" t="s">
        <v>390</v>
      </c>
      <c r="C341">
        <v>250</v>
      </c>
      <c r="D341">
        <v>22069.530000000002</v>
      </c>
      <c r="E341">
        <v>0</v>
      </c>
      <c r="F341">
        <v>0</v>
      </c>
      <c r="G341">
        <v>250</v>
      </c>
      <c r="H341">
        <v>22069.530000000002</v>
      </c>
      <c r="I341">
        <v>62</v>
      </c>
      <c r="J341">
        <v>5415.82</v>
      </c>
    </row>
    <row r="342" spans="1:10" x14ac:dyDescent="0.25">
      <c r="A342" t="s">
        <v>393</v>
      </c>
      <c r="B342" t="s">
        <v>392</v>
      </c>
      <c r="C342">
        <v>17</v>
      </c>
      <c r="D342">
        <v>1651.17</v>
      </c>
      <c r="E342">
        <v>0</v>
      </c>
      <c r="F342">
        <v>0</v>
      </c>
      <c r="G342">
        <v>17</v>
      </c>
      <c r="H342">
        <v>1651.17</v>
      </c>
      <c r="I342">
        <v>94</v>
      </c>
      <c r="J342">
        <v>7734.92</v>
      </c>
    </row>
    <row r="343" spans="1:10" x14ac:dyDescent="0.25">
      <c r="A343" t="s">
        <v>395</v>
      </c>
      <c r="B343" t="s">
        <v>394</v>
      </c>
      <c r="C343">
        <v>567</v>
      </c>
      <c r="D343">
        <v>6441.43</v>
      </c>
      <c r="E343">
        <v>0</v>
      </c>
      <c r="F343">
        <v>0</v>
      </c>
      <c r="G343">
        <v>567</v>
      </c>
      <c r="H343">
        <v>6441.43</v>
      </c>
      <c r="I343">
        <v>1767</v>
      </c>
      <c r="J343">
        <v>18901.990000000002</v>
      </c>
    </row>
    <row r="344" spans="1:10" x14ac:dyDescent="0.25">
      <c r="A344" t="s">
        <v>397</v>
      </c>
      <c r="B344" t="s">
        <v>396</v>
      </c>
      <c r="C344">
        <v>2</v>
      </c>
      <c r="D344">
        <v>117.48</v>
      </c>
      <c r="E344">
        <v>0</v>
      </c>
      <c r="F344">
        <v>0</v>
      </c>
      <c r="G344">
        <v>2</v>
      </c>
      <c r="H344">
        <v>117.48</v>
      </c>
      <c r="I344">
        <v>2</v>
      </c>
      <c r="J344">
        <v>114.6</v>
      </c>
    </row>
    <row r="345" spans="1:10" x14ac:dyDescent="0.25">
      <c r="A345" t="s">
        <v>399</v>
      </c>
      <c r="B345" t="s">
        <v>398</v>
      </c>
      <c r="C345">
        <v>9</v>
      </c>
      <c r="D345">
        <v>382.21000000000004</v>
      </c>
      <c r="E345">
        <v>0</v>
      </c>
      <c r="F345">
        <v>0</v>
      </c>
      <c r="G345">
        <v>9</v>
      </c>
      <c r="H345">
        <v>382.21000000000004</v>
      </c>
      <c r="I345">
        <v>28</v>
      </c>
      <c r="J345">
        <v>1065.25</v>
      </c>
    </row>
    <row r="346" spans="1:10" x14ac:dyDescent="0.25">
      <c r="A346" t="s">
        <v>732</v>
      </c>
      <c r="B346" t="s">
        <v>733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 t="s">
        <v>401</v>
      </c>
      <c r="B347" t="s">
        <v>400</v>
      </c>
      <c r="C347">
        <v>1479</v>
      </c>
      <c r="D347">
        <v>25090.480000000003</v>
      </c>
      <c r="E347">
        <v>0</v>
      </c>
      <c r="F347">
        <v>0</v>
      </c>
      <c r="G347">
        <v>1479</v>
      </c>
      <c r="H347">
        <v>25090.480000000003</v>
      </c>
      <c r="I347">
        <v>1726</v>
      </c>
      <c r="J347">
        <v>28375.360000000001</v>
      </c>
    </row>
    <row r="348" spans="1:10" x14ac:dyDescent="0.25">
      <c r="A348" t="s">
        <v>403</v>
      </c>
      <c r="B348" t="s">
        <v>402</v>
      </c>
      <c r="C348">
        <v>12</v>
      </c>
      <c r="D348">
        <v>544.53</v>
      </c>
      <c r="E348">
        <v>0</v>
      </c>
      <c r="F348">
        <v>0</v>
      </c>
      <c r="G348">
        <v>12</v>
      </c>
      <c r="H348">
        <v>544.53</v>
      </c>
      <c r="I348">
        <v>14</v>
      </c>
      <c r="J348">
        <v>424.42999999999995</v>
      </c>
    </row>
    <row r="349" spans="1:10" x14ac:dyDescent="0.25">
      <c r="A349" t="s">
        <v>405</v>
      </c>
      <c r="B349" t="s">
        <v>404</v>
      </c>
      <c r="C349">
        <v>5</v>
      </c>
      <c r="D349">
        <v>760.35</v>
      </c>
      <c r="E349">
        <v>0</v>
      </c>
      <c r="F349">
        <v>0</v>
      </c>
      <c r="G349">
        <v>5</v>
      </c>
      <c r="H349">
        <v>760.35</v>
      </c>
      <c r="I349">
        <v>3</v>
      </c>
      <c r="J349">
        <v>367.40999999999997</v>
      </c>
    </row>
    <row r="350" spans="1:10" x14ac:dyDescent="0.25">
      <c r="A350" t="s">
        <v>407</v>
      </c>
      <c r="B350" t="s">
        <v>406</v>
      </c>
      <c r="C350">
        <v>1589</v>
      </c>
      <c r="D350">
        <v>7864.57</v>
      </c>
      <c r="E350">
        <v>0</v>
      </c>
      <c r="F350">
        <v>0</v>
      </c>
      <c r="G350">
        <v>1589</v>
      </c>
      <c r="H350">
        <v>7864.57</v>
      </c>
      <c r="I350">
        <v>2354</v>
      </c>
      <c r="J350">
        <v>9939.36</v>
      </c>
    </row>
    <row r="351" spans="1:10" x14ac:dyDescent="0.25">
      <c r="A351" t="s">
        <v>409</v>
      </c>
      <c r="B351" t="s">
        <v>408</v>
      </c>
      <c r="C351">
        <v>443</v>
      </c>
      <c r="D351">
        <v>2855.73</v>
      </c>
      <c r="E351">
        <v>0</v>
      </c>
      <c r="F351">
        <v>0</v>
      </c>
      <c r="G351">
        <v>443</v>
      </c>
      <c r="H351">
        <v>2855.73</v>
      </c>
      <c r="I351">
        <v>2474</v>
      </c>
      <c r="J351">
        <v>9986.4299999999985</v>
      </c>
    </row>
    <row r="352" spans="1:10" x14ac:dyDescent="0.25">
      <c r="A352" t="s">
        <v>411</v>
      </c>
      <c r="B352" t="s">
        <v>410</v>
      </c>
      <c r="C352">
        <v>28</v>
      </c>
      <c r="D352">
        <v>115.10999999999999</v>
      </c>
      <c r="E352">
        <v>0</v>
      </c>
      <c r="F352">
        <v>0</v>
      </c>
      <c r="G352">
        <v>28</v>
      </c>
      <c r="H352">
        <v>115.10999999999999</v>
      </c>
      <c r="I352">
        <v>23</v>
      </c>
      <c r="J352">
        <v>157.31</v>
      </c>
    </row>
    <row r="353" spans="1:10" x14ac:dyDescent="0.25">
      <c r="A353" t="s">
        <v>413</v>
      </c>
      <c r="B353" t="s">
        <v>412</v>
      </c>
      <c r="C353">
        <v>5</v>
      </c>
      <c r="D353">
        <v>321.74</v>
      </c>
      <c r="E353">
        <v>0</v>
      </c>
      <c r="F353">
        <v>0</v>
      </c>
      <c r="G353">
        <v>5</v>
      </c>
      <c r="H353">
        <v>321.74</v>
      </c>
      <c r="I353">
        <v>1</v>
      </c>
      <c r="J353">
        <v>83.19</v>
      </c>
    </row>
    <row r="354" spans="1:10" x14ac:dyDescent="0.25">
      <c r="A354" t="s">
        <v>415</v>
      </c>
      <c r="B354" t="s">
        <v>414</v>
      </c>
      <c r="C354">
        <v>1130</v>
      </c>
      <c r="D354">
        <v>13633.440000000002</v>
      </c>
      <c r="E354">
        <v>0</v>
      </c>
      <c r="F354">
        <v>0</v>
      </c>
      <c r="G354">
        <v>1130</v>
      </c>
      <c r="H354">
        <v>13633.440000000002</v>
      </c>
      <c r="I354">
        <v>59</v>
      </c>
      <c r="J354">
        <v>635.99</v>
      </c>
    </row>
    <row r="355" spans="1:10" x14ac:dyDescent="0.25">
      <c r="A355" t="s">
        <v>417</v>
      </c>
      <c r="B355" t="s">
        <v>416</v>
      </c>
      <c r="C355">
        <v>41</v>
      </c>
      <c r="D355">
        <v>1700.16</v>
      </c>
      <c r="E355">
        <v>0</v>
      </c>
      <c r="F355">
        <v>0</v>
      </c>
      <c r="G355">
        <v>41</v>
      </c>
      <c r="H355">
        <v>1700.16</v>
      </c>
      <c r="I355">
        <v>10</v>
      </c>
      <c r="J355">
        <v>491.03999999999996</v>
      </c>
    </row>
    <row r="356" spans="1:10" x14ac:dyDescent="0.25">
      <c r="A356" t="s">
        <v>734</v>
      </c>
      <c r="B356" t="s">
        <v>735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56</v>
      </c>
      <c r="J356">
        <v>225.26999999999998</v>
      </c>
    </row>
    <row r="357" spans="1:10" x14ac:dyDescent="0.25">
      <c r="A357" t="s">
        <v>419</v>
      </c>
      <c r="B357" t="s">
        <v>418</v>
      </c>
      <c r="C357">
        <v>852</v>
      </c>
      <c r="D357">
        <v>7431.43</v>
      </c>
      <c r="E357">
        <v>0</v>
      </c>
      <c r="F357">
        <v>0</v>
      </c>
      <c r="G357">
        <v>852</v>
      </c>
      <c r="H357">
        <v>7431.43</v>
      </c>
      <c r="I357">
        <v>38</v>
      </c>
      <c r="J357">
        <v>323.26</v>
      </c>
    </row>
    <row r="358" spans="1:10" x14ac:dyDescent="0.25">
      <c r="A358" t="s">
        <v>421</v>
      </c>
      <c r="B358" t="s">
        <v>420</v>
      </c>
      <c r="C358">
        <v>73</v>
      </c>
      <c r="D358">
        <v>3002.4100000000003</v>
      </c>
      <c r="E358">
        <v>0</v>
      </c>
      <c r="F358">
        <v>0</v>
      </c>
      <c r="G358">
        <v>73</v>
      </c>
      <c r="H358">
        <v>3002.4100000000003</v>
      </c>
      <c r="I358">
        <v>0</v>
      </c>
      <c r="J358">
        <v>0</v>
      </c>
    </row>
    <row r="359" spans="1:10" x14ac:dyDescent="0.25">
      <c r="A359" t="s">
        <v>736</v>
      </c>
      <c r="B359" t="s">
        <v>737</v>
      </c>
      <c r="C359">
        <v>1</v>
      </c>
      <c r="D359">
        <v>32.9</v>
      </c>
      <c r="E359">
        <v>0</v>
      </c>
      <c r="F359">
        <v>0</v>
      </c>
      <c r="G359">
        <v>1</v>
      </c>
      <c r="H359">
        <v>32.9</v>
      </c>
      <c r="I359">
        <v>0</v>
      </c>
      <c r="J359">
        <v>0</v>
      </c>
    </row>
    <row r="360" spans="1:10" x14ac:dyDescent="0.25">
      <c r="A360" t="s">
        <v>423</v>
      </c>
      <c r="B360" t="s">
        <v>422</v>
      </c>
      <c r="C360">
        <v>126</v>
      </c>
      <c r="D360">
        <v>4786.9799999999996</v>
      </c>
      <c r="E360">
        <v>0</v>
      </c>
      <c r="F360">
        <v>0</v>
      </c>
      <c r="G360">
        <v>126</v>
      </c>
      <c r="H360">
        <v>4786.9799999999996</v>
      </c>
      <c r="I360">
        <v>0</v>
      </c>
      <c r="J360">
        <v>0</v>
      </c>
    </row>
    <row r="361" spans="1:10" x14ac:dyDescent="0.25">
      <c r="A361" t="s">
        <v>738</v>
      </c>
      <c r="B361" t="s">
        <v>739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t="s">
        <v>425</v>
      </c>
      <c r="B362" t="s">
        <v>424</v>
      </c>
      <c r="C362">
        <v>8</v>
      </c>
      <c r="D362">
        <v>156.62</v>
      </c>
      <c r="E362">
        <v>0</v>
      </c>
      <c r="F362">
        <v>0</v>
      </c>
      <c r="G362">
        <v>8</v>
      </c>
      <c r="H362">
        <v>156.62</v>
      </c>
      <c r="I362">
        <v>0</v>
      </c>
      <c r="J362">
        <v>0</v>
      </c>
    </row>
    <row r="363" spans="1:10" x14ac:dyDescent="0.25">
      <c r="A363" t="s">
        <v>427</v>
      </c>
      <c r="B363" t="s">
        <v>426</v>
      </c>
      <c r="C363">
        <v>23</v>
      </c>
      <c r="D363">
        <v>735.12</v>
      </c>
      <c r="E363">
        <v>0</v>
      </c>
      <c r="F363">
        <v>0</v>
      </c>
      <c r="G363">
        <v>23</v>
      </c>
      <c r="H363">
        <v>735.12</v>
      </c>
      <c r="I363">
        <v>0</v>
      </c>
      <c r="J363">
        <v>0</v>
      </c>
    </row>
    <row r="364" spans="1:10" x14ac:dyDescent="0.25">
      <c r="A364" t="s">
        <v>429</v>
      </c>
      <c r="B364" t="s">
        <v>428</v>
      </c>
      <c r="C364">
        <v>2</v>
      </c>
      <c r="D364">
        <v>64.739999999999995</v>
      </c>
      <c r="E364">
        <v>0</v>
      </c>
      <c r="F364">
        <v>0</v>
      </c>
      <c r="G364">
        <v>2</v>
      </c>
      <c r="H364">
        <v>64.739999999999995</v>
      </c>
      <c r="I364">
        <v>0</v>
      </c>
      <c r="J364">
        <v>0</v>
      </c>
    </row>
    <row r="365" spans="1:10" x14ac:dyDescent="0.25">
      <c r="A365" t="s">
        <v>431</v>
      </c>
      <c r="B365" t="s">
        <v>430</v>
      </c>
      <c r="C365">
        <v>16</v>
      </c>
      <c r="D365">
        <v>467.62</v>
      </c>
      <c r="E365">
        <v>0</v>
      </c>
      <c r="F365">
        <v>0</v>
      </c>
      <c r="G365">
        <v>16</v>
      </c>
      <c r="H365">
        <v>467.62</v>
      </c>
      <c r="I365">
        <v>0</v>
      </c>
      <c r="J365">
        <v>0</v>
      </c>
    </row>
    <row r="366" spans="1:10" x14ac:dyDescent="0.25">
      <c r="A366" t="s">
        <v>433</v>
      </c>
      <c r="B366" t="s">
        <v>432</v>
      </c>
      <c r="C366">
        <v>6</v>
      </c>
      <c r="D366">
        <v>183.79</v>
      </c>
      <c r="E366">
        <v>0</v>
      </c>
      <c r="F366">
        <v>0</v>
      </c>
      <c r="G366">
        <v>6</v>
      </c>
      <c r="H366">
        <v>183.79</v>
      </c>
      <c r="I366">
        <v>0</v>
      </c>
      <c r="J366">
        <v>0</v>
      </c>
    </row>
    <row r="367" spans="1:10" x14ac:dyDescent="0.25">
      <c r="A367" t="s">
        <v>435</v>
      </c>
      <c r="B367" t="s">
        <v>434</v>
      </c>
      <c r="C367">
        <v>4</v>
      </c>
      <c r="D367">
        <v>134.18</v>
      </c>
      <c r="E367">
        <v>0</v>
      </c>
      <c r="F367">
        <v>0</v>
      </c>
      <c r="G367">
        <v>4</v>
      </c>
      <c r="H367">
        <v>134.18</v>
      </c>
      <c r="I367">
        <v>0</v>
      </c>
      <c r="J367">
        <v>0</v>
      </c>
    </row>
    <row r="368" spans="1:10" x14ac:dyDescent="0.25">
      <c r="A368" t="s">
        <v>437</v>
      </c>
      <c r="B368" t="s">
        <v>436</v>
      </c>
      <c r="C368">
        <v>40</v>
      </c>
      <c r="D368">
        <v>744.15000000000009</v>
      </c>
      <c r="E368">
        <v>0</v>
      </c>
      <c r="F368">
        <v>0</v>
      </c>
      <c r="G368">
        <v>40</v>
      </c>
      <c r="H368">
        <v>744.15000000000009</v>
      </c>
      <c r="I368">
        <v>0</v>
      </c>
      <c r="J368">
        <v>0</v>
      </c>
    </row>
    <row r="369" spans="1:10" x14ac:dyDescent="0.25">
      <c r="A369" t="s">
        <v>740</v>
      </c>
      <c r="B369" t="s">
        <v>741</v>
      </c>
      <c r="C369">
        <v>2</v>
      </c>
      <c r="D369">
        <v>248.52</v>
      </c>
      <c r="E369">
        <v>0</v>
      </c>
      <c r="F369">
        <v>0</v>
      </c>
      <c r="G369">
        <v>2</v>
      </c>
      <c r="H369">
        <v>248.52</v>
      </c>
      <c r="I369">
        <v>0</v>
      </c>
      <c r="J369">
        <v>0</v>
      </c>
    </row>
    <row r="370" spans="1:10" x14ac:dyDescent="0.25">
      <c r="A370" t="s">
        <v>439</v>
      </c>
      <c r="B370" t="s">
        <v>438</v>
      </c>
      <c r="C370">
        <v>631</v>
      </c>
      <c r="D370">
        <v>71.399999999999991</v>
      </c>
      <c r="E370">
        <v>0</v>
      </c>
      <c r="F370">
        <v>0</v>
      </c>
      <c r="G370">
        <v>631</v>
      </c>
      <c r="H370">
        <v>71.399999999999991</v>
      </c>
      <c r="I370">
        <v>0</v>
      </c>
      <c r="J370">
        <v>0</v>
      </c>
    </row>
    <row r="371" spans="1:10" x14ac:dyDescent="0.25">
      <c r="A371" t="s">
        <v>742</v>
      </c>
      <c r="B371" t="s">
        <v>743</v>
      </c>
      <c r="C371">
        <v>4</v>
      </c>
      <c r="D371">
        <v>394.93</v>
      </c>
      <c r="E371">
        <v>0</v>
      </c>
      <c r="F371">
        <v>0</v>
      </c>
      <c r="G371">
        <v>4</v>
      </c>
      <c r="H371">
        <v>394.93</v>
      </c>
      <c r="I371">
        <v>0</v>
      </c>
      <c r="J371">
        <v>0</v>
      </c>
    </row>
    <row r="372" spans="1:10" x14ac:dyDescent="0.25">
      <c r="A372" t="s">
        <v>441</v>
      </c>
      <c r="B372" t="s">
        <v>440</v>
      </c>
      <c r="C372">
        <v>19</v>
      </c>
      <c r="D372">
        <v>74.599999999999994</v>
      </c>
      <c r="E372">
        <v>0</v>
      </c>
      <c r="F372">
        <v>0</v>
      </c>
      <c r="G372">
        <v>19</v>
      </c>
      <c r="H372">
        <v>74.599999999999994</v>
      </c>
      <c r="I372">
        <v>0</v>
      </c>
      <c r="J372">
        <v>0</v>
      </c>
    </row>
    <row r="373" spans="1:10" x14ac:dyDescent="0.25">
      <c r="A373" t="s">
        <v>443</v>
      </c>
      <c r="B373" t="s">
        <v>442</v>
      </c>
      <c r="C373">
        <v>9</v>
      </c>
      <c r="D373">
        <v>1128.1600000000001</v>
      </c>
      <c r="E373">
        <v>0</v>
      </c>
      <c r="F373">
        <v>0</v>
      </c>
      <c r="G373">
        <v>9</v>
      </c>
      <c r="H373">
        <v>1128.1600000000001</v>
      </c>
      <c r="I373">
        <v>0</v>
      </c>
      <c r="J373">
        <v>0</v>
      </c>
    </row>
    <row r="374" spans="1:10" x14ac:dyDescent="0.25">
      <c r="A374" t="s">
        <v>445</v>
      </c>
      <c r="B374" t="s">
        <v>444</v>
      </c>
      <c r="C374">
        <v>301</v>
      </c>
      <c r="D374">
        <v>6184.8499999999995</v>
      </c>
      <c r="E374">
        <v>0</v>
      </c>
      <c r="F374">
        <v>0</v>
      </c>
      <c r="G374">
        <v>301</v>
      </c>
      <c r="H374">
        <v>6184.8499999999995</v>
      </c>
      <c r="I374">
        <v>0</v>
      </c>
      <c r="J374">
        <v>0</v>
      </c>
    </row>
    <row r="375" spans="1:10" x14ac:dyDescent="0.25">
      <c r="A375" t="s">
        <v>447</v>
      </c>
      <c r="B375" t="s">
        <v>446</v>
      </c>
      <c r="C375">
        <v>75</v>
      </c>
      <c r="D375">
        <v>387.39000000000004</v>
      </c>
      <c r="E375">
        <v>0</v>
      </c>
      <c r="F375">
        <v>0</v>
      </c>
      <c r="G375">
        <v>75</v>
      </c>
      <c r="H375">
        <v>387.39000000000004</v>
      </c>
      <c r="I375">
        <v>0</v>
      </c>
      <c r="J375">
        <v>0</v>
      </c>
    </row>
    <row r="376" spans="1:10" x14ac:dyDescent="0.25">
      <c r="A376" t="s">
        <v>449</v>
      </c>
      <c r="B376" t="s">
        <v>448</v>
      </c>
      <c r="C376">
        <v>1390</v>
      </c>
      <c r="D376">
        <v>9255.0300000000025</v>
      </c>
      <c r="E376">
        <v>0</v>
      </c>
      <c r="F376">
        <v>0</v>
      </c>
      <c r="G376">
        <v>1390</v>
      </c>
      <c r="H376">
        <v>9255.0300000000025</v>
      </c>
      <c r="I376">
        <v>0</v>
      </c>
      <c r="J376">
        <v>0</v>
      </c>
    </row>
    <row r="377" spans="1:10" x14ac:dyDescent="0.25">
      <c r="A377" t="s">
        <v>451</v>
      </c>
      <c r="B377" t="s">
        <v>450</v>
      </c>
      <c r="C377">
        <v>1266</v>
      </c>
      <c r="D377">
        <v>7762.12</v>
      </c>
      <c r="E377">
        <v>0</v>
      </c>
      <c r="F377">
        <v>0</v>
      </c>
      <c r="G377">
        <v>1266</v>
      </c>
      <c r="H377">
        <v>7762.12</v>
      </c>
      <c r="I377">
        <v>0</v>
      </c>
      <c r="J377">
        <v>0</v>
      </c>
    </row>
    <row r="378" spans="1:10" x14ac:dyDescent="0.25">
      <c r="A378" t="s">
        <v>453</v>
      </c>
      <c r="B378" t="s">
        <v>452</v>
      </c>
      <c r="C378">
        <v>513</v>
      </c>
      <c r="D378">
        <v>14031.1</v>
      </c>
      <c r="E378">
        <v>0</v>
      </c>
      <c r="F378">
        <v>0</v>
      </c>
      <c r="G378">
        <v>513</v>
      </c>
      <c r="H378">
        <v>14031.1</v>
      </c>
      <c r="I378">
        <v>0</v>
      </c>
      <c r="J378">
        <v>0</v>
      </c>
    </row>
    <row r="379" spans="1:10" x14ac:dyDescent="0.25">
      <c r="A379" t="s">
        <v>455</v>
      </c>
      <c r="B379" t="s">
        <v>454</v>
      </c>
      <c r="C379">
        <v>964</v>
      </c>
      <c r="D379">
        <v>14264.06</v>
      </c>
      <c r="E379">
        <v>0</v>
      </c>
      <c r="F379">
        <v>0</v>
      </c>
      <c r="G379">
        <v>964</v>
      </c>
      <c r="H379">
        <v>14264.06</v>
      </c>
      <c r="I379">
        <v>0</v>
      </c>
      <c r="J379">
        <v>0</v>
      </c>
    </row>
    <row r="380" spans="1:10" x14ac:dyDescent="0.25">
      <c r="A380" t="s">
        <v>457</v>
      </c>
      <c r="B380" t="s">
        <v>456</v>
      </c>
      <c r="C380">
        <v>9</v>
      </c>
      <c r="D380">
        <v>522.4</v>
      </c>
      <c r="E380">
        <v>0</v>
      </c>
      <c r="F380">
        <v>0</v>
      </c>
      <c r="G380">
        <v>9</v>
      </c>
      <c r="H380">
        <v>522.4</v>
      </c>
      <c r="I380">
        <v>0</v>
      </c>
      <c r="J380">
        <v>0</v>
      </c>
    </row>
    <row r="381" spans="1:10" x14ac:dyDescent="0.25">
      <c r="A381" t="s">
        <v>459</v>
      </c>
      <c r="B381" t="s">
        <v>458</v>
      </c>
      <c r="C381">
        <v>74</v>
      </c>
      <c r="D381">
        <v>3062.9399999999996</v>
      </c>
      <c r="E381">
        <v>0</v>
      </c>
      <c r="F381">
        <v>0</v>
      </c>
      <c r="G381">
        <v>74</v>
      </c>
      <c r="H381">
        <v>3062.9399999999996</v>
      </c>
      <c r="I381">
        <v>0</v>
      </c>
      <c r="J381">
        <v>0</v>
      </c>
    </row>
    <row r="382" spans="1:10" x14ac:dyDescent="0.25">
      <c r="A382" t="s">
        <v>744</v>
      </c>
      <c r="B382" t="s">
        <v>745</v>
      </c>
      <c r="C382">
        <v>4</v>
      </c>
      <c r="D382">
        <v>228.9</v>
      </c>
      <c r="E382">
        <v>0</v>
      </c>
      <c r="F382">
        <v>0</v>
      </c>
      <c r="G382">
        <v>4</v>
      </c>
      <c r="H382">
        <v>228.9</v>
      </c>
      <c r="I382">
        <v>0</v>
      </c>
      <c r="J382">
        <v>0</v>
      </c>
    </row>
    <row r="383" spans="1:10" x14ac:dyDescent="0.25">
      <c r="A383" t="s">
        <v>461</v>
      </c>
      <c r="B383" t="s">
        <v>460</v>
      </c>
      <c r="C383">
        <v>202</v>
      </c>
      <c r="D383">
        <v>3327.28</v>
      </c>
      <c r="E383">
        <v>30</v>
      </c>
      <c r="F383">
        <v>662</v>
      </c>
      <c r="G383">
        <v>232</v>
      </c>
      <c r="H383">
        <v>3989.2800000000007</v>
      </c>
      <c r="I383">
        <v>0</v>
      </c>
      <c r="J383">
        <v>0</v>
      </c>
    </row>
    <row r="384" spans="1:10" x14ac:dyDescent="0.25">
      <c r="A384" t="s">
        <v>463</v>
      </c>
      <c r="B384" t="s">
        <v>462</v>
      </c>
      <c r="C384">
        <v>837</v>
      </c>
      <c r="D384">
        <v>14028.11</v>
      </c>
      <c r="E384">
        <v>85</v>
      </c>
      <c r="F384">
        <v>1745.6799999999992</v>
      </c>
      <c r="G384">
        <v>922</v>
      </c>
      <c r="H384">
        <v>15773.789999999999</v>
      </c>
      <c r="I384">
        <v>0</v>
      </c>
      <c r="J384">
        <v>0</v>
      </c>
    </row>
    <row r="385" spans="1:10" x14ac:dyDescent="0.25">
      <c r="A385" t="s">
        <v>465</v>
      </c>
      <c r="B385" t="s">
        <v>464</v>
      </c>
      <c r="C385">
        <v>271</v>
      </c>
      <c r="D385">
        <v>4420.01</v>
      </c>
      <c r="E385">
        <v>163</v>
      </c>
      <c r="F385">
        <v>3963.7000000000025</v>
      </c>
      <c r="G385">
        <v>434</v>
      </c>
      <c r="H385">
        <v>8383.7100000000028</v>
      </c>
      <c r="I385">
        <v>0</v>
      </c>
      <c r="J385">
        <v>0</v>
      </c>
    </row>
    <row r="386" spans="1:10" x14ac:dyDescent="0.25">
      <c r="A386" t="s">
        <v>467</v>
      </c>
      <c r="B386" t="s">
        <v>466</v>
      </c>
      <c r="C386">
        <v>158</v>
      </c>
      <c r="D386">
        <v>6591.8</v>
      </c>
      <c r="E386">
        <v>0</v>
      </c>
      <c r="F386">
        <v>0</v>
      </c>
      <c r="G386">
        <v>158</v>
      </c>
      <c r="H386">
        <v>6591.8</v>
      </c>
      <c r="I386">
        <v>0</v>
      </c>
      <c r="J386">
        <v>0</v>
      </c>
    </row>
    <row r="387" spans="1:10" x14ac:dyDescent="0.25">
      <c r="A387" t="s">
        <v>469</v>
      </c>
      <c r="B387" t="s">
        <v>468</v>
      </c>
      <c r="C387">
        <v>573</v>
      </c>
      <c r="D387">
        <v>14714.27</v>
      </c>
      <c r="E387">
        <v>0</v>
      </c>
      <c r="F387">
        <v>0</v>
      </c>
      <c r="G387">
        <v>573</v>
      </c>
      <c r="H387">
        <v>14714.27</v>
      </c>
      <c r="I387">
        <v>0</v>
      </c>
      <c r="J387">
        <v>0</v>
      </c>
    </row>
    <row r="388" spans="1:10" x14ac:dyDescent="0.25">
      <c r="A388" t="s">
        <v>471</v>
      </c>
      <c r="B388" t="s">
        <v>470</v>
      </c>
      <c r="C388">
        <v>26</v>
      </c>
      <c r="D388">
        <v>382.97999999999996</v>
      </c>
      <c r="E388">
        <v>0</v>
      </c>
      <c r="F388">
        <v>0</v>
      </c>
      <c r="G388">
        <v>26</v>
      </c>
      <c r="H388">
        <v>382.97999999999996</v>
      </c>
      <c r="I388">
        <v>0</v>
      </c>
      <c r="J388">
        <v>0</v>
      </c>
    </row>
    <row r="389" spans="1:10" x14ac:dyDescent="0.25">
      <c r="A389" t="s">
        <v>746</v>
      </c>
      <c r="B389" t="s">
        <v>746</v>
      </c>
    </row>
    <row r="390" spans="1:10" x14ac:dyDescent="0.25">
      <c r="A390" t="s">
        <v>571</v>
      </c>
      <c r="C390">
        <v>43016</v>
      </c>
      <c r="D390">
        <v>696455.17000000039</v>
      </c>
      <c r="E390">
        <v>10511</v>
      </c>
      <c r="F390">
        <v>307972.67999999988</v>
      </c>
      <c r="G390">
        <v>53527</v>
      </c>
      <c r="H390">
        <v>1004427.8500000007</v>
      </c>
      <c r="I390">
        <v>132134</v>
      </c>
      <c r="J390">
        <v>2052605.2199999986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9777-AC84-485B-AB97-BBBF6A0E2D92}">
  <dimension ref="A3:N394"/>
  <sheetViews>
    <sheetView workbookViewId="0">
      <selection sqref="A1:XFD1048576"/>
    </sheetView>
  </sheetViews>
  <sheetFormatPr defaultRowHeight="15" x14ac:dyDescent="0.25"/>
  <cols>
    <col min="1" max="1" width="19.7109375" bestFit="1" customWidth="1"/>
    <col min="2" max="2" width="15.85546875" bestFit="1" customWidth="1"/>
    <col min="3" max="3" width="25.7109375" bestFit="1" customWidth="1"/>
    <col min="4" max="4" width="31.28515625" bestFit="1" customWidth="1"/>
    <col min="5" max="5" width="24.140625" bestFit="1" customWidth="1"/>
    <col min="6" max="6" width="29.85546875" bestFit="1" customWidth="1"/>
    <col min="7" max="7" width="24.5703125" bestFit="1" customWidth="1"/>
    <col min="8" max="8" width="30" bestFit="1" customWidth="1"/>
    <col min="9" max="9" width="35.5703125" bestFit="1" customWidth="1"/>
    <col min="10" max="10" width="25.7109375" bestFit="1" customWidth="1"/>
    <col min="11" max="11" width="31.28515625" bestFit="1" customWidth="1"/>
    <col min="12" max="12" width="28.42578125" bestFit="1" customWidth="1"/>
    <col min="13" max="13" width="26.28515625" bestFit="1" customWidth="1"/>
    <col min="14" max="14" width="28.28515625" bestFit="1" customWidth="1"/>
  </cols>
  <sheetData>
    <row r="3" spans="1:14" x14ac:dyDescent="0.25">
      <c r="A3" s="1" t="s">
        <v>1</v>
      </c>
      <c r="B3" s="1" t="s">
        <v>0</v>
      </c>
      <c r="C3" t="s">
        <v>2</v>
      </c>
      <c r="D3" t="s">
        <v>3</v>
      </c>
      <c r="E3" t="s">
        <v>818</v>
      </c>
      <c r="F3" t="s">
        <v>819</v>
      </c>
      <c r="G3" t="s">
        <v>820</v>
      </c>
      <c r="H3" t="s">
        <v>821</v>
      </c>
      <c r="I3" t="s">
        <v>822</v>
      </c>
      <c r="J3" t="s">
        <v>8</v>
      </c>
      <c r="K3" t="s">
        <v>9</v>
      </c>
      <c r="L3" t="s">
        <v>825</v>
      </c>
      <c r="M3" t="s">
        <v>823</v>
      </c>
      <c r="N3" t="s">
        <v>824</v>
      </c>
    </row>
    <row r="4" spans="1:14" x14ac:dyDescent="0.25">
      <c r="A4" t="s">
        <v>11</v>
      </c>
      <c r="B4" t="s">
        <v>10</v>
      </c>
      <c r="C4">
        <v>1283</v>
      </c>
      <c r="D4">
        <v>18842.32</v>
      </c>
      <c r="E4">
        <v>4</v>
      </c>
      <c r="F4">
        <v>80.599999999999994</v>
      </c>
      <c r="G4">
        <v>1.2682002895217304E-2</v>
      </c>
      <c r="H4">
        <v>1287</v>
      </c>
      <c r="I4">
        <v>18922.919999999998</v>
      </c>
      <c r="J4">
        <v>332</v>
      </c>
      <c r="K4">
        <v>4319.3599999999997</v>
      </c>
      <c r="L4">
        <v>3</v>
      </c>
      <c r="M4">
        <v>14603.56</v>
      </c>
      <c r="N4">
        <v>53.095397749668891</v>
      </c>
    </row>
    <row r="5" spans="1:14" x14ac:dyDescent="0.25">
      <c r="A5" t="s">
        <v>13</v>
      </c>
      <c r="B5" t="s">
        <v>12</v>
      </c>
      <c r="C5">
        <v>0</v>
      </c>
      <c r="D5">
        <v>0</v>
      </c>
      <c r="E5">
        <v>0</v>
      </c>
      <c r="F5">
        <v>0</v>
      </c>
      <c r="H5">
        <v>0</v>
      </c>
      <c r="I5">
        <v>0</v>
      </c>
      <c r="J5">
        <v>0</v>
      </c>
      <c r="K5">
        <v>0</v>
      </c>
      <c r="L5">
        <v>2</v>
      </c>
      <c r="M5">
        <v>0</v>
      </c>
    </row>
    <row r="6" spans="1:14" x14ac:dyDescent="0.25">
      <c r="A6" t="s">
        <v>15</v>
      </c>
      <c r="B6" t="s">
        <v>14</v>
      </c>
      <c r="C6">
        <v>13</v>
      </c>
      <c r="D6">
        <v>180.04999999999998</v>
      </c>
      <c r="E6">
        <v>0</v>
      </c>
      <c r="F6">
        <v>0</v>
      </c>
      <c r="G6">
        <v>0</v>
      </c>
      <c r="H6">
        <v>13</v>
      </c>
      <c r="I6">
        <v>180.04999999999998</v>
      </c>
      <c r="J6">
        <v>3</v>
      </c>
      <c r="K6">
        <v>56.319999999999993</v>
      </c>
      <c r="L6">
        <v>3</v>
      </c>
      <c r="M6">
        <v>123.72999999999999</v>
      </c>
      <c r="N6">
        <v>2.4235692196356378</v>
      </c>
    </row>
    <row r="7" spans="1:14" x14ac:dyDescent="0.25">
      <c r="A7" t="s">
        <v>473</v>
      </c>
      <c r="B7" t="s">
        <v>472</v>
      </c>
      <c r="C7">
        <v>0</v>
      </c>
      <c r="D7">
        <v>0</v>
      </c>
      <c r="E7">
        <v>0</v>
      </c>
      <c r="F7">
        <v>0</v>
      </c>
      <c r="H7">
        <v>0</v>
      </c>
      <c r="I7">
        <v>0</v>
      </c>
      <c r="J7">
        <v>0</v>
      </c>
      <c r="K7">
        <v>0</v>
      </c>
      <c r="L7">
        <v>3</v>
      </c>
      <c r="M7">
        <v>0</v>
      </c>
    </row>
    <row r="8" spans="1:14" x14ac:dyDescent="0.25">
      <c r="A8" t="s">
        <v>17</v>
      </c>
      <c r="B8" t="s">
        <v>16</v>
      </c>
      <c r="C8">
        <v>0</v>
      </c>
      <c r="D8">
        <v>0</v>
      </c>
      <c r="E8">
        <v>0</v>
      </c>
      <c r="F8">
        <v>0</v>
      </c>
      <c r="H8">
        <v>0</v>
      </c>
      <c r="I8">
        <v>0</v>
      </c>
      <c r="J8">
        <v>3</v>
      </c>
      <c r="K8">
        <v>59.97</v>
      </c>
      <c r="L8">
        <v>3</v>
      </c>
      <c r="M8">
        <v>-59.97</v>
      </c>
      <c r="N8">
        <v>-3</v>
      </c>
    </row>
    <row r="9" spans="1:14" x14ac:dyDescent="0.25">
      <c r="A9" t="s">
        <v>532</v>
      </c>
      <c r="B9" t="s">
        <v>531</v>
      </c>
      <c r="C9">
        <v>89</v>
      </c>
      <c r="D9">
        <v>525.67000000000007</v>
      </c>
      <c r="E9">
        <v>0</v>
      </c>
      <c r="F9">
        <v>0</v>
      </c>
      <c r="G9">
        <v>0</v>
      </c>
      <c r="H9">
        <v>89</v>
      </c>
      <c r="I9">
        <v>525.67000000000007</v>
      </c>
      <c r="J9">
        <v>316</v>
      </c>
      <c r="K9">
        <v>1953.7800000000002</v>
      </c>
      <c r="L9">
        <v>3</v>
      </c>
      <c r="M9">
        <v>-1428.1099999999997</v>
      </c>
      <c r="N9">
        <v>-1.9411006233644419</v>
      </c>
    </row>
    <row r="10" spans="1:14" x14ac:dyDescent="0.25">
      <c r="A10" t="s">
        <v>747</v>
      </c>
      <c r="B10" t="s">
        <v>748</v>
      </c>
      <c r="C10">
        <v>0</v>
      </c>
      <c r="D10">
        <v>0</v>
      </c>
      <c r="E10">
        <v>0</v>
      </c>
      <c r="F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</row>
    <row r="11" spans="1:14" x14ac:dyDescent="0.25">
      <c r="A11" t="s">
        <v>572</v>
      </c>
      <c r="B11" t="s">
        <v>573</v>
      </c>
      <c r="C11">
        <v>0</v>
      </c>
      <c r="D11">
        <v>0</v>
      </c>
      <c r="E11">
        <v>0</v>
      </c>
      <c r="F11">
        <v>0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</row>
    <row r="12" spans="1:14" x14ac:dyDescent="0.25">
      <c r="A12" t="s">
        <v>574</v>
      </c>
      <c r="B12" t="s">
        <v>575</v>
      </c>
      <c r="C12">
        <v>0</v>
      </c>
      <c r="D12">
        <v>0</v>
      </c>
      <c r="E12">
        <v>135</v>
      </c>
      <c r="F12">
        <v>4127.010000000002</v>
      </c>
      <c r="G12">
        <v>3</v>
      </c>
      <c r="H12">
        <v>135</v>
      </c>
      <c r="I12">
        <v>4127.010000000002</v>
      </c>
      <c r="J12">
        <v>331</v>
      </c>
      <c r="K12">
        <v>6819.44</v>
      </c>
      <c r="L12">
        <v>3</v>
      </c>
      <c r="M12">
        <v>-2692.4299999999976</v>
      </c>
      <c r="N12">
        <v>-0.77469700670937147</v>
      </c>
    </row>
    <row r="13" spans="1:14" x14ac:dyDescent="0.25">
      <c r="A13" t="s">
        <v>576</v>
      </c>
      <c r="B13" t="s">
        <v>577</v>
      </c>
      <c r="C13">
        <v>0</v>
      </c>
      <c r="D13">
        <v>0</v>
      </c>
      <c r="E13">
        <v>0</v>
      </c>
      <c r="F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0</v>
      </c>
    </row>
    <row r="14" spans="1:14" x14ac:dyDescent="0.25">
      <c r="A14" t="s">
        <v>19</v>
      </c>
      <c r="B14" t="s">
        <v>18</v>
      </c>
      <c r="C14">
        <v>0</v>
      </c>
      <c r="D14">
        <v>0</v>
      </c>
      <c r="E14">
        <v>0</v>
      </c>
      <c r="F14">
        <v>0</v>
      </c>
      <c r="H14">
        <v>0</v>
      </c>
      <c r="I14">
        <v>0</v>
      </c>
      <c r="J14">
        <v>17</v>
      </c>
      <c r="K14">
        <v>132.87</v>
      </c>
      <c r="L14">
        <v>3</v>
      </c>
      <c r="M14">
        <v>-132.87</v>
      </c>
      <c r="N14">
        <v>-3</v>
      </c>
    </row>
    <row r="15" spans="1:14" x14ac:dyDescent="0.25">
      <c r="A15" t="s">
        <v>554</v>
      </c>
      <c r="B15" t="s">
        <v>553</v>
      </c>
      <c r="C15">
        <v>0</v>
      </c>
      <c r="D15">
        <v>0</v>
      </c>
      <c r="E15">
        <v>0</v>
      </c>
      <c r="F15">
        <v>0</v>
      </c>
      <c r="H15">
        <v>0</v>
      </c>
      <c r="I15">
        <v>0</v>
      </c>
      <c r="J15">
        <v>0</v>
      </c>
      <c r="K15">
        <v>0</v>
      </c>
      <c r="L15">
        <v>3</v>
      </c>
      <c r="M15">
        <v>0</v>
      </c>
    </row>
    <row r="16" spans="1:14" x14ac:dyDescent="0.25">
      <c r="A16" t="s">
        <v>578</v>
      </c>
      <c r="B16" t="s">
        <v>579</v>
      </c>
      <c r="C16">
        <v>3</v>
      </c>
      <c r="D16">
        <v>61.3</v>
      </c>
      <c r="E16">
        <v>0</v>
      </c>
      <c r="F16">
        <v>0</v>
      </c>
      <c r="G16">
        <v>0</v>
      </c>
      <c r="H16">
        <v>3</v>
      </c>
      <c r="I16">
        <v>61.3</v>
      </c>
      <c r="J16">
        <v>9</v>
      </c>
      <c r="K16">
        <v>162.29</v>
      </c>
      <c r="L16">
        <v>3</v>
      </c>
      <c r="M16">
        <v>-100.99</v>
      </c>
      <c r="N16">
        <v>-0.76981737908890224</v>
      </c>
    </row>
    <row r="17" spans="1:14" x14ac:dyDescent="0.25">
      <c r="A17" t="s">
        <v>21</v>
      </c>
      <c r="B17" t="s">
        <v>20</v>
      </c>
      <c r="C17">
        <v>15</v>
      </c>
      <c r="D17">
        <v>369.33000000000004</v>
      </c>
      <c r="E17">
        <v>0</v>
      </c>
      <c r="F17">
        <v>0</v>
      </c>
      <c r="G17">
        <v>0</v>
      </c>
      <c r="H17">
        <v>15</v>
      </c>
      <c r="I17">
        <v>369.33000000000004</v>
      </c>
      <c r="J17">
        <v>26</v>
      </c>
      <c r="K17">
        <v>470.43999999999994</v>
      </c>
      <c r="L17">
        <v>3</v>
      </c>
      <c r="M17">
        <v>-101.10999999999997</v>
      </c>
      <c r="N17">
        <v>0.50129860892447931</v>
      </c>
    </row>
    <row r="18" spans="1:14" x14ac:dyDescent="0.25">
      <c r="A18" t="s">
        <v>23</v>
      </c>
      <c r="B18" t="s">
        <v>22</v>
      </c>
      <c r="C18">
        <v>974</v>
      </c>
      <c r="D18">
        <v>17624.53</v>
      </c>
      <c r="E18">
        <v>0</v>
      </c>
      <c r="F18">
        <v>0</v>
      </c>
      <c r="G18">
        <v>0</v>
      </c>
      <c r="H18">
        <v>974</v>
      </c>
      <c r="I18">
        <v>17624.53</v>
      </c>
      <c r="J18">
        <v>457</v>
      </c>
      <c r="K18">
        <v>7625.1299999999992</v>
      </c>
      <c r="L18">
        <v>3</v>
      </c>
      <c r="M18">
        <v>9999.4000000000015</v>
      </c>
      <c r="N18">
        <v>-102.21566871269044</v>
      </c>
    </row>
    <row r="19" spans="1:14" x14ac:dyDescent="0.25">
      <c r="A19" t="s">
        <v>25</v>
      </c>
      <c r="B19" t="s">
        <v>24</v>
      </c>
      <c r="C19">
        <v>2</v>
      </c>
      <c r="D19">
        <v>40.82</v>
      </c>
      <c r="E19">
        <v>193</v>
      </c>
      <c r="F19">
        <v>5934.7000000000071</v>
      </c>
      <c r="G19">
        <v>2.9735241657288158</v>
      </c>
      <c r="H19">
        <v>195</v>
      </c>
      <c r="I19">
        <v>5975.5200000000068</v>
      </c>
      <c r="J19">
        <v>1397</v>
      </c>
      <c r="K19">
        <v>28512.77</v>
      </c>
      <c r="L19">
        <v>3</v>
      </c>
      <c r="M19">
        <v>-22537.249999999993</v>
      </c>
      <c r="N19">
        <v>-2.3794204762307478</v>
      </c>
    </row>
    <row r="20" spans="1:14" x14ac:dyDescent="0.25">
      <c r="A20" t="s">
        <v>534</v>
      </c>
      <c r="B20" t="s">
        <v>533</v>
      </c>
      <c r="C20">
        <v>7</v>
      </c>
      <c r="D20">
        <v>343.51</v>
      </c>
      <c r="E20">
        <v>0</v>
      </c>
      <c r="F20">
        <v>0</v>
      </c>
      <c r="G20">
        <v>0</v>
      </c>
      <c r="H20">
        <v>7</v>
      </c>
      <c r="I20">
        <v>343.51</v>
      </c>
      <c r="J20">
        <v>14</v>
      </c>
      <c r="K20">
        <v>712.15</v>
      </c>
      <c r="L20">
        <v>3</v>
      </c>
      <c r="M20">
        <v>-368.64000000000004</v>
      </c>
      <c r="N20">
        <v>0.37082846893600474</v>
      </c>
    </row>
    <row r="21" spans="1:14" x14ac:dyDescent="0.25">
      <c r="A21" t="s">
        <v>580</v>
      </c>
      <c r="B21" t="s">
        <v>581</v>
      </c>
      <c r="C21">
        <v>1</v>
      </c>
      <c r="D21">
        <v>10.57</v>
      </c>
      <c r="E21">
        <v>0</v>
      </c>
      <c r="F21">
        <v>0</v>
      </c>
      <c r="G21">
        <v>0</v>
      </c>
      <c r="H21">
        <v>1</v>
      </c>
      <c r="I21">
        <v>10.57</v>
      </c>
      <c r="J21">
        <v>11</v>
      </c>
      <c r="K21">
        <v>113.41</v>
      </c>
      <c r="L21">
        <v>3</v>
      </c>
      <c r="M21">
        <v>-102.84</v>
      </c>
      <c r="N21">
        <v>-2.6666666666666665</v>
      </c>
    </row>
    <row r="22" spans="1:14" x14ac:dyDescent="0.25">
      <c r="A22" t="s">
        <v>582</v>
      </c>
      <c r="B22" t="s">
        <v>583</v>
      </c>
      <c r="C22">
        <v>0</v>
      </c>
      <c r="D22">
        <v>0</v>
      </c>
      <c r="E22">
        <v>0</v>
      </c>
      <c r="F22">
        <v>0</v>
      </c>
      <c r="H22">
        <v>0</v>
      </c>
      <c r="I22">
        <v>0</v>
      </c>
      <c r="J22">
        <v>0</v>
      </c>
      <c r="K22">
        <v>0</v>
      </c>
      <c r="L22">
        <v>2</v>
      </c>
      <c r="M22">
        <v>0</v>
      </c>
    </row>
    <row r="23" spans="1:14" x14ac:dyDescent="0.25">
      <c r="A23" t="s">
        <v>584</v>
      </c>
      <c r="B23" t="s">
        <v>585</v>
      </c>
      <c r="C23">
        <v>0</v>
      </c>
      <c r="D23">
        <v>0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0</v>
      </c>
    </row>
    <row r="24" spans="1:14" x14ac:dyDescent="0.25">
      <c r="A24" t="s">
        <v>586</v>
      </c>
      <c r="B24" t="s">
        <v>587</v>
      </c>
      <c r="C24">
        <v>0</v>
      </c>
      <c r="D24">
        <v>0</v>
      </c>
      <c r="E24">
        <v>0</v>
      </c>
      <c r="F24">
        <v>0</v>
      </c>
      <c r="H24">
        <v>0</v>
      </c>
      <c r="I24">
        <v>0</v>
      </c>
      <c r="J24">
        <v>1</v>
      </c>
      <c r="K24">
        <v>20.41</v>
      </c>
      <c r="L24">
        <v>2</v>
      </c>
      <c r="M24">
        <v>-20.41</v>
      </c>
      <c r="N24">
        <v>-1</v>
      </c>
    </row>
    <row r="25" spans="1:14" x14ac:dyDescent="0.25">
      <c r="A25" t="s">
        <v>588</v>
      </c>
      <c r="B25" t="s">
        <v>589</v>
      </c>
      <c r="C25">
        <v>0</v>
      </c>
      <c r="D25">
        <v>0</v>
      </c>
      <c r="E25">
        <v>0</v>
      </c>
      <c r="F25">
        <v>0</v>
      </c>
      <c r="H25">
        <v>0</v>
      </c>
      <c r="I25">
        <v>0</v>
      </c>
      <c r="J25">
        <v>72</v>
      </c>
      <c r="K25">
        <v>412.43</v>
      </c>
      <c r="L25">
        <v>3</v>
      </c>
      <c r="M25">
        <v>-412.43</v>
      </c>
      <c r="N25">
        <v>-3</v>
      </c>
    </row>
    <row r="26" spans="1:14" x14ac:dyDescent="0.25">
      <c r="A26" t="s">
        <v>810</v>
      </c>
      <c r="B26" t="s">
        <v>811</v>
      </c>
      <c r="C26">
        <v>0</v>
      </c>
      <c r="D26">
        <v>0</v>
      </c>
      <c r="E26">
        <v>0</v>
      </c>
      <c r="F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</row>
    <row r="27" spans="1:14" x14ac:dyDescent="0.25">
      <c r="A27" t="s">
        <v>27</v>
      </c>
      <c r="B27" t="s">
        <v>26</v>
      </c>
      <c r="C27">
        <v>2</v>
      </c>
      <c r="D27">
        <v>14.86</v>
      </c>
      <c r="E27">
        <v>0</v>
      </c>
      <c r="F27">
        <v>0</v>
      </c>
      <c r="G27">
        <v>0</v>
      </c>
      <c r="H27">
        <v>2</v>
      </c>
      <c r="I27">
        <v>14.86</v>
      </c>
      <c r="J27">
        <v>0</v>
      </c>
      <c r="K27">
        <v>0</v>
      </c>
      <c r="L27">
        <v>2</v>
      </c>
      <c r="M27">
        <v>14.86</v>
      </c>
    </row>
    <row r="28" spans="1:14" x14ac:dyDescent="0.25">
      <c r="A28" t="s">
        <v>749</v>
      </c>
      <c r="B28" t="s">
        <v>750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1</v>
      </c>
      <c r="K28">
        <v>14.2</v>
      </c>
      <c r="L28">
        <v>2</v>
      </c>
      <c r="M28">
        <v>-14.2</v>
      </c>
      <c r="N28">
        <v>-1</v>
      </c>
    </row>
    <row r="29" spans="1:14" x14ac:dyDescent="0.25">
      <c r="A29" t="s">
        <v>812</v>
      </c>
      <c r="B29" t="s">
        <v>813</v>
      </c>
      <c r="C29">
        <v>0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4" x14ac:dyDescent="0.25">
      <c r="A30" t="s">
        <v>29</v>
      </c>
      <c r="B30" t="s">
        <v>28</v>
      </c>
      <c r="C30">
        <v>4</v>
      </c>
      <c r="D30">
        <v>25.92</v>
      </c>
      <c r="E30">
        <v>0</v>
      </c>
      <c r="F30">
        <v>0</v>
      </c>
      <c r="G30">
        <v>0</v>
      </c>
      <c r="H30">
        <v>4</v>
      </c>
      <c r="I30">
        <v>25.92</v>
      </c>
      <c r="J30">
        <v>1</v>
      </c>
      <c r="K30">
        <v>3.9</v>
      </c>
      <c r="L30">
        <v>3</v>
      </c>
      <c r="M30">
        <v>22.020000000000003</v>
      </c>
      <c r="N30">
        <v>2.3230769230769233</v>
      </c>
    </row>
    <row r="31" spans="1:14" x14ac:dyDescent="0.25">
      <c r="A31" t="s">
        <v>31</v>
      </c>
      <c r="B31" t="s">
        <v>30</v>
      </c>
      <c r="C31">
        <v>62</v>
      </c>
      <c r="D31">
        <v>2157.1800000000003</v>
      </c>
      <c r="E31">
        <v>0</v>
      </c>
      <c r="F31">
        <v>0</v>
      </c>
      <c r="G31">
        <v>0</v>
      </c>
      <c r="H31">
        <v>62</v>
      </c>
      <c r="I31">
        <v>2157.1800000000003</v>
      </c>
      <c r="J31">
        <v>218</v>
      </c>
      <c r="K31">
        <v>6369.61</v>
      </c>
      <c r="L31">
        <v>3</v>
      </c>
      <c r="M31">
        <v>-4212.4299999999994</v>
      </c>
      <c r="N31">
        <v>-1.3291489334284048</v>
      </c>
    </row>
    <row r="32" spans="1:14" x14ac:dyDescent="0.25">
      <c r="A32" t="s">
        <v>590</v>
      </c>
      <c r="B32" t="s">
        <v>591</v>
      </c>
      <c r="C32">
        <v>1</v>
      </c>
      <c r="D32">
        <v>6.73</v>
      </c>
      <c r="E32">
        <v>0</v>
      </c>
      <c r="F32">
        <v>0</v>
      </c>
      <c r="G32">
        <v>0</v>
      </c>
      <c r="H32">
        <v>1</v>
      </c>
      <c r="I32">
        <v>6.73</v>
      </c>
      <c r="J32">
        <v>0</v>
      </c>
      <c r="K32">
        <v>0</v>
      </c>
      <c r="L32">
        <v>1</v>
      </c>
      <c r="M32">
        <v>6.73</v>
      </c>
    </row>
    <row r="33" spans="1:14" x14ac:dyDescent="0.25">
      <c r="A33" t="s">
        <v>751</v>
      </c>
      <c r="B33" t="s">
        <v>752</v>
      </c>
      <c r="C33">
        <v>0</v>
      </c>
      <c r="D33">
        <v>0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0</v>
      </c>
    </row>
    <row r="34" spans="1:14" x14ac:dyDescent="0.25">
      <c r="A34" t="s">
        <v>592</v>
      </c>
      <c r="B34" t="s">
        <v>593</v>
      </c>
      <c r="C34">
        <v>0</v>
      </c>
      <c r="D34">
        <v>0</v>
      </c>
      <c r="E34">
        <v>0</v>
      </c>
      <c r="F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</row>
    <row r="35" spans="1:14" x14ac:dyDescent="0.25">
      <c r="A35" t="s">
        <v>594</v>
      </c>
      <c r="B35" t="s">
        <v>595</v>
      </c>
      <c r="C35">
        <v>0</v>
      </c>
      <c r="D35">
        <v>0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</row>
    <row r="36" spans="1:14" x14ac:dyDescent="0.25">
      <c r="A36" t="s">
        <v>596</v>
      </c>
      <c r="B36" t="s">
        <v>597</v>
      </c>
      <c r="C36">
        <v>1</v>
      </c>
      <c r="D36">
        <v>16.309999999999999</v>
      </c>
      <c r="E36">
        <v>0</v>
      </c>
      <c r="F36">
        <v>0</v>
      </c>
      <c r="G36">
        <v>0</v>
      </c>
      <c r="H36">
        <v>1</v>
      </c>
      <c r="I36">
        <v>16.309999999999999</v>
      </c>
      <c r="J36">
        <v>2</v>
      </c>
      <c r="K36">
        <v>23.47</v>
      </c>
      <c r="L36">
        <v>3</v>
      </c>
      <c r="M36">
        <v>-7.1600000000000019</v>
      </c>
      <c r="N36">
        <v>-2</v>
      </c>
    </row>
    <row r="37" spans="1:14" x14ac:dyDescent="0.25">
      <c r="A37" t="s">
        <v>33</v>
      </c>
      <c r="B37" t="s">
        <v>32</v>
      </c>
      <c r="C37">
        <v>304</v>
      </c>
      <c r="D37">
        <v>4883.5099999999993</v>
      </c>
      <c r="E37">
        <v>144</v>
      </c>
      <c r="F37">
        <v>2878.3200000000065</v>
      </c>
      <c r="G37">
        <v>0.96224823247842439</v>
      </c>
      <c r="H37">
        <v>448</v>
      </c>
      <c r="I37">
        <v>7761.8300000000054</v>
      </c>
      <c r="J37">
        <v>2139</v>
      </c>
      <c r="K37">
        <v>29876.76</v>
      </c>
      <c r="L37">
        <v>3</v>
      </c>
      <c r="M37">
        <v>-22114.929999999993</v>
      </c>
      <c r="N37">
        <v>-1.5507170828114816</v>
      </c>
    </row>
    <row r="38" spans="1:14" x14ac:dyDescent="0.25">
      <c r="A38" t="s">
        <v>598</v>
      </c>
      <c r="B38" t="s">
        <v>599</v>
      </c>
      <c r="C38">
        <v>0</v>
      </c>
      <c r="D38">
        <v>0</v>
      </c>
      <c r="E38">
        <v>0</v>
      </c>
      <c r="F38">
        <v>0</v>
      </c>
      <c r="H38">
        <v>0</v>
      </c>
      <c r="I38">
        <v>0</v>
      </c>
      <c r="J38">
        <v>1</v>
      </c>
      <c r="K38">
        <v>27.93</v>
      </c>
      <c r="L38">
        <v>3</v>
      </c>
      <c r="M38">
        <v>-27.93</v>
      </c>
      <c r="N38">
        <v>-1</v>
      </c>
    </row>
    <row r="39" spans="1:14" x14ac:dyDescent="0.25">
      <c r="A39" t="s">
        <v>35</v>
      </c>
      <c r="B39" t="s">
        <v>34</v>
      </c>
      <c r="C39">
        <v>3</v>
      </c>
      <c r="D39">
        <v>39.64</v>
      </c>
      <c r="E39">
        <v>0</v>
      </c>
      <c r="F39">
        <v>0</v>
      </c>
      <c r="G39">
        <v>0</v>
      </c>
      <c r="H39">
        <v>3</v>
      </c>
      <c r="I39">
        <v>39.64</v>
      </c>
      <c r="J39">
        <v>0</v>
      </c>
      <c r="K39">
        <v>0</v>
      </c>
      <c r="L39">
        <v>3</v>
      </c>
      <c r="M39">
        <v>39.64</v>
      </c>
    </row>
    <row r="40" spans="1:14" x14ac:dyDescent="0.25">
      <c r="A40" t="s">
        <v>600</v>
      </c>
      <c r="B40" t="s">
        <v>601</v>
      </c>
      <c r="C40">
        <v>0</v>
      </c>
      <c r="D40">
        <v>0</v>
      </c>
      <c r="E40">
        <v>0</v>
      </c>
      <c r="F40">
        <v>0</v>
      </c>
      <c r="H40">
        <v>0</v>
      </c>
      <c r="I40">
        <v>0</v>
      </c>
      <c r="J40">
        <v>0</v>
      </c>
      <c r="K40">
        <v>0</v>
      </c>
      <c r="L40">
        <v>2</v>
      </c>
      <c r="M40">
        <v>0</v>
      </c>
    </row>
    <row r="41" spans="1:14" x14ac:dyDescent="0.25">
      <c r="A41" t="s">
        <v>602</v>
      </c>
      <c r="B41" t="s">
        <v>603</v>
      </c>
      <c r="C41">
        <v>0</v>
      </c>
      <c r="D41">
        <v>0</v>
      </c>
      <c r="E41">
        <v>0</v>
      </c>
      <c r="F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</row>
    <row r="42" spans="1:14" x14ac:dyDescent="0.25">
      <c r="A42" t="s">
        <v>604</v>
      </c>
      <c r="B42" t="s">
        <v>605</v>
      </c>
      <c r="C42">
        <v>0</v>
      </c>
      <c r="D42">
        <v>0</v>
      </c>
      <c r="E42">
        <v>0</v>
      </c>
      <c r="F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</row>
    <row r="43" spans="1:14" x14ac:dyDescent="0.25">
      <c r="A43" t="s">
        <v>536</v>
      </c>
      <c r="B43" t="s">
        <v>535</v>
      </c>
      <c r="C43">
        <v>0</v>
      </c>
      <c r="D43">
        <v>0</v>
      </c>
      <c r="E43">
        <v>0</v>
      </c>
      <c r="F43">
        <v>0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</row>
    <row r="44" spans="1:14" x14ac:dyDescent="0.25">
      <c r="A44" t="s">
        <v>37</v>
      </c>
      <c r="B44" t="s">
        <v>36</v>
      </c>
      <c r="C44">
        <v>0</v>
      </c>
      <c r="D44">
        <v>0</v>
      </c>
      <c r="E44">
        <v>0</v>
      </c>
      <c r="F44">
        <v>0</v>
      </c>
      <c r="H44">
        <v>0</v>
      </c>
      <c r="I44">
        <v>0</v>
      </c>
      <c r="J44">
        <v>0</v>
      </c>
      <c r="K44">
        <v>0</v>
      </c>
      <c r="L44">
        <v>3</v>
      </c>
      <c r="M44">
        <v>0</v>
      </c>
    </row>
    <row r="45" spans="1:14" x14ac:dyDescent="0.25">
      <c r="A45" t="s">
        <v>526</v>
      </c>
      <c r="B45" t="s">
        <v>525</v>
      </c>
      <c r="C45">
        <v>0</v>
      </c>
      <c r="D45">
        <v>0</v>
      </c>
      <c r="E45">
        <v>3</v>
      </c>
      <c r="F45">
        <v>104.69999999999999</v>
      </c>
      <c r="G45">
        <v>1</v>
      </c>
      <c r="H45">
        <v>3</v>
      </c>
      <c r="I45">
        <v>104.69999999999999</v>
      </c>
      <c r="J45">
        <v>0</v>
      </c>
      <c r="K45">
        <v>0</v>
      </c>
      <c r="L45">
        <v>3</v>
      </c>
      <c r="M45">
        <v>104.69999999999999</v>
      </c>
    </row>
    <row r="46" spans="1:14" x14ac:dyDescent="0.25">
      <c r="A46" t="s">
        <v>39</v>
      </c>
      <c r="B46" t="s">
        <v>38</v>
      </c>
      <c r="C46">
        <v>0</v>
      </c>
      <c r="D46">
        <v>0</v>
      </c>
      <c r="E46">
        <v>12</v>
      </c>
      <c r="F46">
        <v>562.79999999999995</v>
      </c>
      <c r="G46">
        <v>3</v>
      </c>
      <c r="H46">
        <v>12</v>
      </c>
      <c r="I46">
        <v>562.79999999999995</v>
      </c>
      <c r="J46">
        <v>0</v>
      </c>
      <c r="K46">
        <v>0</v>
      </c>
      <c r="L46">
        <v>3</v>
      </c>
      <c r="M46">
        <v>562.79999999999995</v>
      </c>
    </row>
    <row r="47" spans="1:14" x14ac:dyDescent="0.25">
      <c r="A47" t="s">
        <v>41</v>
      </c>
      <c r="B47" t="s">
        <v>40</v>
      </c>
      <c r="C47">
        <v>7</v>
      </c>
      <c r="D47">
        <v>745.94</v>
      </c>
      <c r="E47">
        <v>0</v>
      </c>
      <c r="F47">
        <v>0</v>
      </c>
      <c r="G47">
        <v>0</v>
      </c>
      <c r="H47">
        <v>7</v>
      </c>
      <c r="I47">
        <v>745.94</v>
      </c>
      <c r="J47">
        <v>18</v>
      </c>
      <c r="K47">
        <v>1462.87</v>
      </c>
      <c r="L47">
        <v>3</v>
      </c>
      <c r="M47">
        <v>-716.92999999999984</v>
      </c>
      <c r="N47">
        <v>-0.75501698551886198</v>
      </c>
    </row>
    <row r="48" spans="1:14" x14ac:dyDescent="0.25">
      <c r="A48" t="s">
        <v>606</v>
      </c>
      <c r="B48" t="s">
        <v>607</v>
      </c>
      <c r="C48">
        <v>0</v>
      </c>
      <c r="D48">
        <v>0</v>
      </c>
      <c r="E48">
        <v>0</v>
      </c>
      <c r="F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</row>
    <row r="49" spans="1:14" x14ac:dyDescent="0.25">
      <c r="A49" t="s">
        <v>608</v>
      </c>
      <c r="B49" t="s">
        <v>609</v>
      </c>
      <c r="C49">
        <v>0</v>
      </c>
      <c r="D49">
        <v>0</v>
      </c>
      <c r="E49">
        <v>0</v>
      </c>
      <c r="F49">
        <v>0</v>
      </c>
      <c r="H49">
        <v>0</v>
      </c>
      <c r="I49">
        <v>0</v>
      </c>
      <c r="J49">
        <v>-1</v>
      </c>
      <c r="K49">
        <v>-17.09</v>
      </c>
      <c r="L49">
        <v>2</v>
      </c>
      <c r="M49">
        <v>17.09</v>
      </c>
      <c r="N49">
        <v>-1</v>
      </c>
    </row>
    <row r="50" spans="1:14" x14ac:dyDescent="0.25">
      <c r="A50" t="s">
        <v>508</v>
      </c>
      <c r="B50" t="s">
        <v>507</v>
      </c>
      <c r="C50">
        <v>6</v>
      </c>
      <c r="D50">
        <v>21.48</v>
      </c>
      <c r="E50">
        <v>0</v>
      </c>
      <c r="F50">
        <v>0</v>
      </c>
      <c r="G50">
        <v>0</v>
      </c>
      <c r="H50">
        <v>6</v>
      </c>
      <c r="I50">
        <v>21.48</v>
      </c>
      <c r="J50">
        <v>32</v>
      </c>
      <c r="K50">
        <v>109.16999999999999</v>
      </c>
      <c r="L50">
        <v>3</v>
      </c>
      <c r="M50">
        <v>-87.69</v>
      </c>
      <c r="N50">
        <v>-2.3976652721092671</v>
      </c>
    </row>
    <row r="51" spans="1:14" x14ac:dyDescent="0.25">
      <c r="A51" t="s">
        <v>753</v>
      </c>
      <c r="B51" t="s">
        <v>754</v>
      </c>
      <c r="C51">
        <v>0</v>
      </c>
      <c r="D51">
        <v>0</v>
      </c>
      <c r="E51">
        <v>0</v>
      </c>
      <c r="F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</row>
    <row r="52" spans="1:14" x14ac:dyDescent="0.25">
      <c r="A52" t="s">
        <v>43</v>
      </c>
      <c r="B52" t="s">
        <v>42</v>
      </c>
      <c r="C52">
        <v>30</v>
      </c>
      <c r="D52">
        <v>553.02</v>
      </c>
      <c r="E52">
        <v>2149</v>
      </c>
      <c r="F52">
        <v>42819.779999999955</v>
      </c>
      <c r="G52">
        <v>2.9506419802183315</v>
      </c>
      <c r="H52">
        <v>2179</v>
      </c>
      <c r="I52">
        <v>43372.799999999952</v>
      </c>
      <c r="J52">
        <v>6440</v>
      </c>
      <c r="K52">
        <v>82666.850000000006</v>
      </c>
      <c r="L52">
        <v>3</v>
      </c>
      <c r="M52">
        <v>-39294.050000000047</v>
      </c>
      <c r="N52">
        <v>-1.370549163754013</v>
      </c>
    </row>
    <row r="53" spans="1:14" x14ac:dyDescent="0.25">
      <c r="A53" t="s">
        <v>504</v>
      </c>
      <c r="B53" t="s">
        <v>503</v>
      </c>
      <c r="C53">
        <v>41</v>
      </c>
      <c r="D53">
        <v>167.45</v>
      </c>
      <c r="E53">
        <v>0</v>
      </c>
      <c r="F53">
        <v>0</v>
      </c>
      <c r="G53">
        <v>0</v>
      </c>
      <c r="H53">
        <v>41</v>
      </c>
      <c r="I53">
        <v>167.45</v>
      </c>
      <c r="J53">
        <v>17</v>
      </c>
      <c r="K53">
        <v>81.430000000000007</v>
      </c>
      <c r="L53">
        <v>3</v>
      </c>
      <c r="M53">
        <v>86.02</v>
      </c>
      <c r="N53">
        <v>4.7543397696854361</v>
      </c>
    </row>
    <row r="54" spans="1:14" x14ac:dyDescent="0.25">
      <c r="A54" t="s">
        <v>610</v>
      </c>
      <c r="B54" t="s">
        <v>611</v>
      </c>
      <c r="C54">
        <v>0</v>
      </c>
      <c r="D54">
        <v>0</v>
      </c>
      <c r="E54">
        <v>0</v>
      </c>
      <c r="F54">
        <v>0</v>
      </c>
      <c r="H54">
        <v>0</v>
      </c>
      <c r="I54">
        <v>0</v>
      </c>
      <c r="J54">
        <v>30</v>
      </c>
      <c r="K54">
        <v>252.32</v>
      </c>
      <c r="L54">
        <v>3</v>
      </c>
      <c r="M54">
        <v>-252.32</v>
      </c>
      <c r="N54">
        <v>-3</v>
      </c>
    </row>
    <row r="55" spans="1:14" x14ac:dyDescent="0.25">
      <c r="A55" t="s">
        <v>45</v>
      </c>
      <c r="B55" t="s">
        <v>44</v>
      </c>
      <c r="C55">
        <v>3</v>
      </c>
      <c r="D55">
        <v>18.149999999999999</v>
      </c>
      <c r="E55">
        <v>0</v>
      </c>
      <c r="F55">
        <v>0</v>
      </c>
      <c r="G55">
        <v>0</v>
      </c>
      <c r="H55">
        <v>3</v>
      </c>
      <c r="I55">
        <v>18.149999999999999</v>
      </c>
      <c r="J55">
        <v>7</v>
      </c>
      <c r="K55">
        <v>42.76</v>
      </c>
      <c r="L55">
        <v>3</v>
      </c>
      <c r="M55">
        <v>-24.61</v>
      </c>
      <c r="N55">
        <v>-1</v>
      </c>
    </row>
    <row r="56" spans="1:14" x14ac:dyDescent="0.25">
      <c r="A56" t="s">
        <v>612</v>
      </c>
      <c r="B56" t="s">
        <v>613</v>
      </c>
      <c r="C56">
        <v>0</v>
      </c>
      <c r="D56">
        <v>0</v>
      </c>
      <c r="E56">
        <v>0</v>
      </c>
      <c r="F56">
        <v>0</v>
      </c>
      <c r="H56">
        <v>0</v>
      </c>
      <c r="I56">
        <v>0</v>
      </c>
      <c r="J56">
        <v>3</v>
      </c>
      <c r="K56">
        <v>69.069999999999993</v>
      </c>
      <c r="L56">
        <v>3</v>
      </c>
      <c r="M56">
        <v>-69.069999999999993</v>
      </c>
      <c r="N56">
        <v>-2</v>
      </c>
    </row>
    <row r="57" spans="1:14" x14ac:dyDescent="0.25">
      <c r="A57" t="s">
        <v>614</v>
      </c>
      <c r="B57" t="s">
        <v>615</v>
      </c>
      <c r="C57">
        <v>0</v>
      </c>
      <c r="D57">
        <v>0</v>
      </c>
      <c r="E57">
        <v>0</v>
      </c>
      <c r="F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</row>
    <row r="58" spans="1:14" x14ac:dyDescent="0.25">
      <c r="A58" t="s">
        <v>47</v>
      </c>
      <c r="B58" t="s">
        <v>46</v>
      </c>
      <c r="C58">
        <v>2</v>
      </c>
      <c r="D58">
        <v>70.64</v>
      </c>
      <c r="E58">
        <v>741</v>
      </c>
      <c r="F58">
        <v>25842.979999999887</v>
      </c>
      <c r="G58">
        <v>2.989579445495592</v>
      </c>
      <c r="H58">
        <v>743</v>
      </c>
      <c r="I58">
        <v>25913.619999999886</v>
      </c>
      <c r="J58">
        <v>1168</v>
      </c>
      <c r="K58">
        <v>34229.24</v>
      </c>
      <c r="L58">
        <v>3</v>
      </c>
      <c r="M58">
        <v>-8315.6200000001154</v>
      </c>
      <c r="N58">
        <v>-0.66129630394830008</v>
      </c>
    </row>
    <row r="59" spans="1:14" x14ac:dyDescent="0.25">
      <c r="A59" t="s">
        <v>512</v>
      </c>
      <c r="B59" t="s">
        <v>511</v>
      </c>
      <c r="C59">
        <v>117</v>
      </c>
      <c r="D59">
        <v>2387.9699999999998</v>
      </c>
      <c r="E59">
        <v>0</v>
      </c>
      <c r="F59">
        <v>0</v>
      </c>
      <c r="G59">
        <v>0</v>
      </c>
      <c r="H59">
        <v>117</v>
      </c>
      <c r="I59">
        <v>2387.9699999999998</v>
      </c>
      <c r="J59">
        <v>178</v>
      </c>
      <c r="K59">
        <v>3767.2200000000003</v>
      </c>
      <c r="L59">
        <v>3</v>
      </c>
      <c r="M59">
        <v>-1379.25</v>
      </c>
      <c r="N59">
        <v>-1.0892051321565024</v>
      </c>
    </row>
    <row r="60" spans="1:14" x14ac:dyDescent="0.25">
      <c r="A60" t="s">
        <v>616</v>
      </c>
      <c r="B60" t="s">
        <v>617</v>
      </c>
      <c r="C60">
        <v>0</v>
      </c>
      <c r="D60">
        <v>0</v>
      </c>
      <c r="E60">
        <v>0</v>
      </c>
      <c r="F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</row>
    <row r="61" spans="1:14" x14ac:dyDescent="0.25">
      <c r="A61" t="s">
        <v>618</v>
      </c>
      <c r="B61" t="s">
        <v>619</v>
      </c>
      <c r="C61">
        <v>0</v>
      </c>
      <c r="D61">
        <v>0</v>
      </c>
      <c r="E61">
        <v>0</v>
      </c>
      <c r="F61">
        <v>0</v>
      </c>
      <c r="H61">
        <v>0</v>
      </c>
      <c r="I61">
        <v>0</v>
      </c>
      <c r="J61">
        <v>0</v>
      </c>
      <c r="K61">
        <v>0</v>
      </c>
      <c r="L61">
        <v>3</v>
      </c>
      <c r="M61">
        <v>0</v>
      </c>
    </row>
    <row r="62" spans="1:14" x14ac:dyDescent="0.25">
      <c r="A62" t="s">
        <v>755</v>
      </c>
      <c r="B62" t="s">
        <v>756</v>
      </c>
      <c r="C62">
        <v>0</v>
      </c>
      <c r="D62">
        <v>0</v>
      </c>
      <c r="E62">
        <v>0</v>
      </c>
      <c r="F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</row>
    <row r="63" spans="1:14" x14ac:dyDescent="0.25">
      <c r="A63" t="s">
        <v>492</v>
      </c>
      <c r="B63" t="s">
        <v>491</v>
      </c>
      <c r="C63">
        <v>0</v>
      </c>
      <c r="D63">
        <v>0</v>
      </c>
      <c r="E63">
        <v>47</v>
      </c>
      <c r="F63">
        <v>2183.8999999999996</v>
      </c>
      <c r="G63">
        <v>3</v>
      </c>
      <c r="H63">
        <v>47</v>
      </c>
      <c r="I63">
        <v>2183.8999999999996</v>
      </c>
      <c r="J63">
        <v>652</v>
      </c>
      <c r="K63">
        <v>18655.54</v>
      </c>
      <c r="L63">
        <v>3</v>
      </c>
      <c r="M63">
        <v>-16471.64</v>
      </c>
      <c r="N63">
        <v>-2.6173605273335285</v>
      </c>
    </row>
    <row r="64" spans="1:14" x14ac:dyDescent="0.25">
      <c r="A64" t="s">
        <v>620</v>
      </c>
      <c r="B64" t="s">
        <v>621</v>
      </c>
      <c r="C64">
        <v>0</v>
      </c>
      <c r="D64">
        <v>0</v>
      </c>
      <c r="E64">
        <v>0</v>
      </c>
      <c r="F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</row>
    <row r="65" spans="1:14" x14ac:dyDescent="0.25">
      <c r="A65" t="s">
        <v>556</v>
      </c>
      <c r="B65" t="s">
        <v>555</v>
      </c>
      <c r="C65">
        <v>0</v>
      </c>
      <c r="D65">
        <v>0</v>
      </c>
      <c r="E65">
        <v>0</v>
      </c>
      <c r="F65">
        <v>0</v>
      </c>
      <c r="H65">
        <v>0</v>
      </c>
      <c r="I65">
        <v>0</v>
      </c>
      <c r="J65">
        <v>0</v>
      </c>
      <c r="K65">
        <v>0</v>
      </c>
      <c r="L65">
        <v>3</v>
      </c>
      <c r="M65">
        <v>0</v>
      </c>
    </row>
    <row r="66" spans="1:14" x14ac:dyDescent="0.25">
      <c r="A66" t="s">
        <v>622</v>
      </c>
      <c r="B66" t="s">
        <v>623</v>
      </c>
      <c r="C66">
        <v>0</v>
      </c>
      <c r="D66">
        <v>0</v>
      </c>
      <c r="E66">
        <v>0</v>
      </c>
      <c r="F66">
        <v>0</v>
      </c>
      <c r="H66">
        <v>0</v>
      </c>
      <c r="I66">
        <v>0</v>
      </c>
      <c r="J66">
        <v>0</v>
      </c>
      <c r="K66">
        <v>0</v>
      </c>
      <c r="L66">
        <v>3</v>
      </c>
      <c r="M66">
        <v>0</v>
      </c>
    </row>
    <row r="67" spans="1:14" x14ac:dyDescent="0.25">
      <c r="A67" t="s">
        <v>624</v>
      </c>
      <c r="B67" t="s">
        <v>625</v>
      </c>
      <c r="C67">
        <v>0</v>
      </c>
      <c r="D67">
        <v>0</v>
      </c>
      <c r="E67">
        <v>0</v>
      </c>
      <c r="F67">
        <v>0</v>
      </c>
      <c r="H67">
        <v>0</v>
      </c>
      <c r="I67">
        <v>0</v>
      </c>
      <c r="J67">
        <v>48</v>
      </c>
      <c r="K67">
        <v>452.1</v>
      </c>
      <c r="L67">
        <v>3</v>
      </c>
      <c r="M67">
        <v>-452.1</v>
      </c>
      <c r="N67">
        <v>-3</v>
      </c>
    </row>
    <row r="68" spans="1:14" x14ac:dyDescent="0.25">
      <c r="A68" t="s">
        <v>626</v>
      </c>
      <c r="B68" t="s">
        <v>627</v>
      </c>
      <c r="C68">
        <v>0</v>
      </c>
      <c r="D68">
        <v>0</v>
      </c>
      <c r="E68">
        <v>0</v>
      </c>
      <c r="F68">
        <v>0</v>
      </c>
      <c r="H68">
        <v>0</v>
      </c>
      <c r="I68">
        <v>0</v>
      </c>
      <c r="J68">
        <v>29</v>
      </c>
      <c r="K68">
        <v>272.96999999999997</v>
      </c>
      <c r="L68">
        <v>3</v>
      </c>
      <c r="M68">
        <v>-272.96999999999997</v>
      </c>
      <c r="N68">
        <v>-3</v>
      </c>
    </row>
    <row r="69" spans="1:14" x14ac:dyDescent="0.25">
      <c r="A69" t="s">
        <v>628</v>
      </c>
      <c r="B69" t="s">
        <v>629</v>
      </c>
      <c r="C69">
        <v>0</v>
      </c>
      <c r="D69">
        <v>0</v>
      </c>
      <c r="E69">
        <v>0</v>
      </c>
      <c r="F69">
        <v>0</v>
      </c>
      <c r="H69">
        <v>0</v>
      </c>
      <c r="I69">
        <v>0</v>
      </c>
      <c r="J69">
        <v>0</v>
      </c>
      <c r="K69">
        <v>0</v>
      </c>
      <c r="L69">
        <v>3</v>
      </c>
      <c r="M69">
        <v>0</v>
      </c>
    </row>
    <row r="70" spans="1:14" x14ac:dyDescent="0.25">
      <c r="A70" t="s">
        <v>757</v>
      </c>
      <c r="B70" t="s">
        <v>758</v>
      </c>
      <c r="C70">
        <v>0</v>
      </c>
      <c r="D70">
        <v>0</v>
      </c>
      <c r="E70">
        <v>0</v>
      </c>
      <c r="F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</row>
    <row r="71" spans="1:14" x14ac:dyDescent="0.25">
      <c r="A71" t="s">
        <v>630</v>
      </c>
      <c r="B71" t="s">
        <v>631</v>
      </c>
      <c r="C71">
        <v>0</v>
      </c>
      <c r="D71">
        <v>0</v>
      </c>
      <c r="E71">
        <v>0</v>
      </c>
      <c r="F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</row>
    <row r="72" spans="1:14" x14ac:dyDescent="0.25">
      <c r="A72" t="s">
        <v>49</v>
      </c>
      <c r="B72" t="s">
        <v>48</v>
      </c>
      <c r="C72">
        <v>4</v>
      </c>
      <c r="D72">
        <v>54.56</v>
      </c>
      <c r="E72">
        <v>0</v>
      </c>
      <c r="F72">
        <v>0</v>
      </c>
      <c r="G72">
        <v>0</v>
      </c>
      <c r="H72">
        <v>4</v>
      </c>
      <c r="I72">
        <v>54.56</v>
      </c>
      <c r="J72">
        <v>21</v>
      </c>
      <c r="K72">
        <v>249.1</v>
      </c>
      <c r="L72">
        <v>3</v>
      </c>
      <c r="M72">
        <v>-194.54</v>
      </c>
      <c r="N72">
        <v>-2.4692779837136043</v>
      </c>
    </row>
    <row r="73" spans="1:14" x14ac:dyDescent="0.25">
      <c r="A73" t="s">
        <v>51</v>
      </c>
      <c r="B73" t="s">
        <v>50</v>
      </c>
      <c r="C73">
        <v>6</v>
      </c>
      <c r="D73">
        <v>92.34</v>
      </c>
      <c r="E73">
        <v>0</v>
      </c>
      <c r="F73">
        <v>0</v>
      </c>
      <c r="G73">
        <v>0</v>
      </c>
      <c r="H73">
        <v>6</v>
      </c>
      <c r="I73">
        <v>92.34</v>
      </c>
      <c r="J73">
        <v>17</v>
      </c>
      <c r="K73">
        <v>261.73</v>
      </c>
      <c r="L73">
        <v>3</v>
      </c>
      <c r="M73">
        <v>-169.39</v>
      </c>
      <c r="N73">
        <v>-1.7656757664137182</v>
      </c>
    </row>
    <row r="74" spans="1:14" x14ac:dyDescent="0.25">
      <c r="A74" t="s">
        <v>524</v>
      </c>
      <c r="B74" t="s">
        <v>523</v>
      </c>
      <c r="C74">
        <v>3</v>
      </c>
      <c r="D74">
        <v>11.67</v>
      </c>
      <c r="E74">
        <v>0</v>
      </c>
      <c r="F74">
        <v>0</v>
      </c>
      <c r="G74">
        <v>0</v>
      </c>
      <c r="H74">
        <v>3</v>
      </c>
      <c r="I74">
        <v>11.67</v>
      </c>
      <c r="J74">
        <v>4</v>
      </c>
      <c r="K74">
        <v>27.94</v>
      </c>
      <c r="L74">
        <v>3</v>
      </c>
      <c r="M74">
        <v>-16.27</v>
      </c>
      <c r="N74">
        <v>-1.2711111111111111</v>
      </c>
    </row>
    <row r="75" spans="1:14" x14ac:dyDescent="0.25">
      <c r="A75" t="s">
        <v>498</v>
      </c>
      <c r="B75" t="s">
        <v>497</v>
      </c>
      <c r="C75">
        <v>0</v>
      </c>
      <c r="D75">
        <v>0</v>
      </c>
      <c r="E75">
        <v>0</v>
      </c>
      <c r="F75">
        <v>0</v>
      </c>
      <c r="H75">
        <v>0</v>
      </c>
      <c r="I75">
        <v>0</v>
      </c>
      <c r="J75">
        <v>0</v>
      </c>
      <c r="K75">
        <v>0</v>
      </c>
      <c r="L75">
        <v>3</v>
      </c>
      <c r="M75">
        <v>0</v>
      </c>
    </row>
    <row r="76" spans="1:14" x14ac:dyDescent="0.25">
      <c r="A76" t="s">
        <v>558</v>
      </c>
      <c r="B76" t="s">
        <v>557</v>
      </c>
      <c r="C76">
        <v>0</v>
      </c>
      <c r="D76">
        <v>0</v>
      </c>
      <c r="E76">
        <v>0</v>
      </c>
      <c r="F76">
        <v>0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</row>
    <row r="77" spans="1:14" x14ac:dyDescent="0.25">
      <c r="A77" t="s">
        <v>759</v>
      </c>
      <c r="B77" t="s">
        <v>760</v>
      </c>
      <c r="C77">
        <v>0</v>
      </c>
      <c r="D77">
        <v>0</v>
      </c>
      <c r="E77">
        <v>0</v>
      </c>
      <c r="F77">
        <v>0</v>
      </c>
      <c r="H77">
        <v>0</v>
      </c>
      <c r="I77">
        <v>0</v>
      </c>
      <c r="J77">
        <v>-1</v>
      </c>
      <c r="K77">
        <v>-11.39</v>
      </c>
      <c r="L77">
        <v>1</v>
      </c>
      <c r="M77">
        <v>11.39</v>
      </c>
      <c r="N77">
        <v>-1</v>
      </c>
    </row>
    <row r="78" spans="1:14" x14ac:dyDescent="0.25">
      <c r="A78" t="s">
        <v>53</v>
      </c>
      <c r="B78" t="s">
        <v>52</v>
      </c>
      <c r="C78">
        <v>0</v>
      </c>
      <c r="D78">
        <v>0</v>
      </c>
      <c r="E78">
        <v>0</v>
      </c>
      <c r="F78">
        <v>0</v>
      </c>
      <c r="H78">
        <v>0</v>
      </c>
      <c r="I78">
        <v>0</v>
      </c>
      <c r="J78">
        <v>0</v>
      </c>
      <c r="K78">
        <v>0</v>
      </c>
      <c r="L78">
        <v>2</v>
      </c>
      <c r="M78">
        <v>0</v>
      </c>
    </row>
    <row r="79" spans="1:14" x14ac:dyDescent="0.25">
      <c r="A79" t="s">
        <v>55</v>
      </c>
      <c r="B79" t="s">
        <v>54</v>
      </c>
      <c r="C79">
        <v>295</v>
      </c>
      <c r="D79">
        <v>8267.65</v>
      </c>
      <c r="E79">
        <v>1</v>
      </c>
      <c r="F79">
        <v>39.9</v>
      </c>
      <c r="G79">
        <v>2.7788418010237834E-2</v>
      </c>
      <c r="H79">
        <v>296</v>
      </c>
      <c r="I79">
        <v>8307.5499999999993</v>
      </c>
      <c r="J79">
        <v>780</v>
      </c>
      <c r="K79">
        <v>19319.830000000002</v>
      </c>
      <c r="L79">
        <v>3</v>
      </c>
      <c r="M79">
        <v>-11012.28</v>
      </c>
      <c r="N79">
        <v>0.4068387601970016</v>
      </c>
    </row>
    <row r="80" spans="1:14" x14ac:dyDescent="0.25">
      <c r="A80" t="s">
        <v>57</v>
      </c>
      <c r="B80" t="s">
        <v>56</v>
      </c>
      <c r="C80">
        <v>0</v>
      </c>
      <c r="D80">
        <v>0</v>
      </c>
      <c r="E80">
        <v>65</v>
      </c>
      <c r="F80">
        <v>3243.5</v>
      </c>
      <c r="G80">
        <v>3</v>
      </c>
      <c r="H80">
        <v>65</v>
      </c>
      <c r="I80">
        <v>3243.5</v>
      </c>
      <c r="J80">
        <v>0</v>
      </c>
      <c r="K80">
        <v>0</v>
      </c>
      <c r="L80">
        <v>3</v>
      </c>
      <c r="M80">
        <v>3243.5</v>
      </c>
    </row>
    <row r="81" spans="1:14" x14ac:dyDescent="0.25">
      <c r="A81" t="s">
        <v>538</v>
      </c>
      <c r="B81" t="s">
        <v>537</v>
      </c>
      <c r="C81">
        <v>52</v>
      </c>
      <c r="D81">
        <v>3113.92</v>
      </c>
      <c r="E81">
        <v>2</v>
      </c>
      <c r="F81">
        <v>159.80000000000001</v>
      </c>
      <c r="G81">
        <v>0.1891348088531187</v>
      </c>
      <c r="H81">
        <v>54</v>
      </c>
      <c r="I81">
        <v>3273.7200000000003</v>
      </c>
      <c r="J81">
        <v>179</v>
      </c>
      <c r="K81">
        <v>10092.790000000001</v>
      </c>
      <c r="L81">
        <v>3</v>
      </c>
      <c r="M81">
        <v>-6819.0700000000006</v>
      </c>
      <c r="N81">
        <v>-2.0305011013506653</v>
      </c>
    </row>
    <row r="82" spans="1:14" x14ac:dyDescent="0.25">
      <c r="A82" t="s">
        <v>506</v>
      </c>
      <c r="B82" t="s">
        <v>505</v>
      </c>
      <c r="C82">
        <v>0</v>
      </c>
      <c r="D82">
        <v>0</v>
      </c>
      <c r="E82">
        <v>0</v>
      </c>
      <c r="F82">
        <v>0</v>
      </c>
      <c r="H82">
        <v>0</v>
      </c>
      <c r="I82">
        <v>0</v>
      </c>
      <c r="J82">
        <v>1</v>
      </c>
      <c r="K82">
        <v>61.31</v>
      </c>
      <c r="L82">
        <v>3</v>
      </c>
      <c r="M82">
        <v>-61.31</v>
      </c>
      <c r="N82">
        <v>-1</v>
      </c>
    </row>
    <row r="83" spans="1:14" x14ac:dyDescent="0.25">
      <c r="A83" t="s">
        <v>632</v>
      </c>
      <c r="B83" t="s">
        <v>633</v>
      </c>
      <c r="C83">
        <v>0</v>
      </c>
      <c r="D83">
        <v>0</v>
      </c>
      <c r="E83">
        <v>0</v>
      </c>
      <c r="F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</row>
    <row r="84" spans="1:14" x14ac:dyDescent="0.25">
      <c r="A84" t="s">
        <v>634</v>
      </c>
      <c r="B84" t="s">
        <v>635</v>
      </c>
      <c r="C84">
        <v>0</v>
      </c>
      <c r="D84">
        <v>0</v>
      </c>
      <c r="E84">
        <v>0</v>
      </c>
      <c r="F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</row>
    <row r="85" spans="1:14" x14ac:dyDescent="0.25">
      <c r="A85" t="s">
        <v>761</v>
      </c>
      <c r="B85" t="s">
        <v>762</v>
      </c>
      <c r="C85">
        <v>0</v>
      </c>
      <c r="D85">
        <v>0</v>
      </c>
      <c r="E85">
        <v>0</v>
      </c>
      <c r="F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</row>
    <row r="86" spans="1:14" x14ac:dyDescent="0.25">
      <c r="A86" t="s">
        <v>763</v>
      </c>
      <c r="B86" t="s">
        <v>764</v>
      </c>
      <c r="C86">
        <v>0</v>
      </c>
      <c r="D86">
        <v>0</v>
      </c>
      <c r="E86">
        <v>0</v>
      </c>
      <c r="F86">
        <v>0</v>
      </c>
      <c r="H86">
        <v>0</v>
      </c>
      <c r="I86">
        <v>0</v>
      </c>
      <c r="J86">
        <v>2</v>
      </c>
      <c r="K86">
        <v>23.6</v>
      </c>
      <c r="L86">
        <v>1</v>
      </c>
      <c r="M86">
        <v>-23.6</v>
      </c>
      <c r="N86">
        <v>-1</v>
      </c>
    </row>
    <row r="87" spans="1:14" x14ac:dyDescent="0.25">
      <c r="A87" t="s">
        <v>636</v>
      </c>
      <c r="B87" t="s">
        <v>637</v>
      </c>
      <c r="C87">
        <v>0</v>
      </c>
      <c r="D87">
        <v>0</v>
      </c>
      <c r="E87">
        <v>0</v>
      </c>
      <c r="F87">
        <v>0</v>
      </c>
      <c r="H87">
        <v>0</v>
      </c>
      <c r="I87">
        <v>0</v>
      </c>
      <c r="J87">
        <v>22</v>
      </c>
      <c r="K87">
        <v>2203.34</v>
      </c>
      <c r="L87">
        <v>3</v>
      </c>
      <c r="M87">
        <v>-2203.34</v>
      </c>
      <c r="N87">
        <v>-3</v>
      </c>
    </row>
    <row r="88" spans="1:14" x14ac:dyDescent="0.25">
      <c r="A88" t="s">
        <v>59</v>
      </c>
      <c r="B88" t="s">
        <v>58</v>
      </c>
      <c r="C88">
        <v>49</v>
      </c>
      <c r="D88">
        <v>3987.91</v>
      </c>
      <c r="E88">
        <v>0</v>
      </c>
      <c r="F88">
        <v>0</v>
      </c>
      <c r="G88">
        <v>0</v>
      </c>
      <c r="H88">
        <v>49</v>
      </c>
      <c r="I88">
        <v>3987.91</v>
      </c>
      <c r="J88">
        <v>149</v>
      </c>
      <c r="K88">
        <v>10979.81</v>
      </c>
      <c r="L88">
        <v>3</v>
      </c>
      <c r="M88">
        <v>-6991.9</v>
      </c>
      <c r="N88">
        <v>-1.8261090971931744</v>
      </c>
    </row>
    <row r="89" spans="1:14" x14ac:dyDescent="0.25">
      <c r="A89" t="s">
        <v>500</v>
      </c>
      <c r="B89" t="s">
        <v>499</v>
      </c>
      <c r="C89">
        <v>2</v>
      </c>
      <c r="D89">
        <v>53.94</v>
      </c>
      <c r="E89">
        <v>1484</v>
      </c>
      <c r="F89">
        <v>48811.039999999812</v>
      </c>
      <c r="G89">
        <v>2.996228719629173</v>
      </c>
      <c r="H89">
        <v>1486</v>
      </c>
      <c r="I89">
        <v>48864.979999999814</v>
      </c>
      <c r="J89">
        <v>1231</v>
      </c>
      <c r="K89">
        <v>33851.97</v>
      </c>
      <c r="L89">
        <v>3</v>
      </c>
      <c r="M89">
        <v>15013.009999999811</v>
      </c>
      <c r="N89">
        <v>1.5112750709454696</v>
      </c>
    </row>
    <row r="90" spans="1:14" x14ac:dyDescent="0.25">
      <c r="A90" t="s">
        <v>540</v>
      </c>
      <c r="B90" t="s">
        <v>539</v>
      </c>
      <c r="C90">
        <v>0</v>
      </c>
      <c r="D90">
        <v>0</v>
      </c>
      <c r="E90">
        <v>25</v>
      </c>
      <c r="F90">
        <v>950.49999999999966</v>
      </c>
      <c r="G90">
        <v>1</v>
      </c>
      <c r="H90">
        <v>25</v>
      </c>
      <c r="I90">
        <v>950.49999999999966</v>
      </c>
      <c r="J90">
        <v>0</v>
      </c>
      <c r="K90">
        <v>0</v>
      </c>
      <c r="L90">
        <v>3</v>
      </c>
      <c r="M90">
        <v>950.49999999999966</v>
      </c>
    </row>
    <row r="91" spans="1:14" x14ac:dyDescent="0.25">
      <c r="A91" t="s">
        <v>61</v>
      </c>
      <c r="B91" t="s">
        <v>60</v>
      </c>
      <c r="C91">
        <v>6</v>
      </c>
      <c r="D91">
        <v>120.97</v>
      </c>
      <c r="E91">
        <v>0</v>
      </c>
      <c r="F91">
        <v>0</v>
      </c>
      <c r="G91">
        <v>0</v>
      </c>
      <c r="H91">
        <v>6</v>
      </c>
      <c r="I91">
        <v>120.97</v>
      </c>
      <c r="J91">
        <v>-4</v>
      </c>
      <c r="K91">
        <v>-63</v>
      </c>
      <c r="L91">
        <v>3</v>
      </c>
      <c r="M91">
        <v>183.97</v>
      </c>
      <c r="N91">
        <v>-9.6524057677713131</v>
      </c>
    </row>
    <row r="92" spans="1:14" x14ac:dyDescent="0.25">
      <c r="A92" t="s">
        <v>63</v>
      </c>
      <c r="B92" t="s">
        <v>62</v>
      </c>
      <c r="C92">
        <v>18</v>
      </c>
      <c r="D92">
        <v>445.64</v>
      </c>
      <c r="E92">
        <v>0</v>
      </c>
      <c r="F92">
        <v>0</v>
      </c>
      <c r="G92">
        <v>0</v>
      </c>
      <c r="H92">
        <v>18</v>
      </c>
      <c r="I92">
        <v>445.64</v>
      </c>
      <c r="J92">
        <v>50</v>
      </c>
      <c r="K92">
        <v>1149.1300000000001</v>
      </c>
      <c r="L92">
        <v>3</v>
      </c>
      <c r="M92">
        <v>-703.49</v>
      </c>
      <c r="N92">
        <v>-1.7911742448681065</v>
      </c>
    </row>
    <row r="93" spans="1:14" x14ac:dyDescent="0.25">
      <c r="A93" t="s">
        <v>65</v>
      </c>
      <c r="B93" t="s">
        <v>64</v>
      </c>
      <c r="C93">
        <v>0</v>
      </c>
      <c r="D93">
        <v>0</v>
      </c>
      <c r="E93">
        <v>0</v>
      </c>
      <c r="F93">
        <v>0</v>
      </c>
      <c r="H93">
        <v>0</v>
      </c>
      <c r="I93">
        <v>0</v>
      </c>
      <c r="J93">
        <v>3</v>
      </c>
      <c r="K93">
        <v>75.91</v>
      </c>
      <c r="L93">
        <v>3</v>
      </c>
      <c r="M93">
        <v>-75.91</v>
      </c>
      <c r="N93">
        <v>-2</v>
      </c>
    </row>
    <row r="94" spans="1:14" x14ac:dyDescent="0.25">
      <c r="A94" t="s">
        <v>67</v>
      </c>
      <c r="B94" t="s">
        <v>66</v>
      </c>
      <c r="C94">
        <v>0</v>
      </c>
      <c r="D94">
        <v>0</v>
      </c>
      <c r="E94">
        <v>0</v>
      </c>
      <c r="F94">
        <v>0</v>
      </c>
      <c r="H94">
        <v>0</v>
      </c>
      <c r="I94">
        <v>0</v>
      </c>
      <c r="J94">
        <v>0</v>
      </c>
      <c r="K94">
        <v>0</v>
      </c>
      <c r="L94">
        <v>3</v>
      </c>
      <c r="M94">
        <v>0</v>
      </c>
    </row>
    <row r="95" spans="1:14" x14ac:dyDescent="0.25">
      <c r="A95" t="s">
        <v>638</v>
      </c>
      <c r="B95" t="s">
        <v>639</v>
      </c>
      <c r="C95">
        <v>0</v>
      </c>
      <c r="D95">
        <v>0</v>
      </c>
      <c r="E95">
        <v>0</v>
      </c>
      <c r="F95">
        <v>0</v>
      </c>
      <c r="H95">
        <v>0</v>
      </c>
      <c r="I95">
        <v>0</v>
      </c>
      <c r="J95">
        <v>2</v>
      </c>
      <c r="K95">
        <v>40.85</v>
      </c>
      <c r="L95">
        <v>3</v>
      </c>
      <c r="M95">
        <v>-40.85</v>
      </c>
      <c r="N95">
        <v>-2</v>
      </c>
    </row>
    <row r="96" spans="1:14" x14ac:dyDescent="0.25">
      <c r="A96" t="s">
        <v>69</v>
      </c>
      <c r="B96" t="s">
        <v>68</v>
      </c>
      <c r="C96">
        <v>0</v>
      </c>
      <c r="D96">
        <v>0</v>
      </c>
      <c r="E96">
        <v>11</v>
      </c>
      <c r="F96">
        <v>417.15</v>
      </c>
      <c r="G96">
        <v>3</v>
      </c>
      <c r="H96">
        <v>11</v>
      </c>
      <c r="I96">
        <v>417.15</v>
      </c>
      <c r="J96">
        <v>0</v>
      </c>
      <c r="K96">
        <v>0</v>
      </c>
      <c r="L96">
        <v>3</v>
      </c>
      <c r="M96">
        <v>417.15</v>
      </c>
    </row>
    <row r="97" spans="1:14" x14ac:dyDescent="0.25">
      <c r="A97" t="s">
        <v>71</v>
      </c>
      <c r="B97" t="s">
        <v>70</v>
      </c>
      <c r="C97">
        <v>2</v>
      </c>
      <c r="D97">
        <v>49.02</v>
      </c>
      <c r="E97">
        <v>0</v>
      </c>
      <c r="F97">
        <v>0</v>
      </c>
      <c r="G97">
        <v>0</v>
      </c>
      <c r="H97">
        <v>2</v>
      </c>
      <c r="I97">
        <v>49.02</v>
      </c>
      <c r="J97">
        <v>8</v>
      </c>
      <c r="K97">
        <v>162.76</v>
      </c>
      <c r="L97">
        <v>3</v>
      </c>
      <c r="M97">
        <v>-113.74</v>
      </c>
      <c r="N97">
        <v>-2.1005504587155963</v>
      </c>
    </row>
    <row r="98" spans="1:14" x14ac:dyDescent="0.25">
      <c r="A98" t="s">
        <v>640</v>
      </c>
      <c r="B98" t="s">
        <v>641</v>
      </c>
      <c r="C98">
        <v>1</v>
      </c>
      <c r="D98">
        <v>20.41</v>
      </c>
      <c r="E98">
        <v>0</v>
      </c>
      <c r="F98">
        <v>0</v>
      </c>
      <c r="G98">
        <v>0</v>
      </c>
      <c r="H98">
        <v>1</v>
      </c>
      <c r="I98">
        <v>20.41</v>
      </c>
      <c r="J98">
        <v>0</v>
      </c>
      <c r="K98">
        <v>0</v>
      </c>
      <c r="L98">
        <v>1</v>
      </c>
      <c r="M98">
        <v>20.41</v>
      </c>
    </row>
    <row r="99" spans="1:14" x14ac:dyDescent="0.25">
      <c r="A99" t="s">
        <v>518</v>
      </c>
      <c r="B99" t="s">
        <v>517</v>
      </c>
      <c r="C99">
        <v>10</v>
      </c>
      <c r="D99">
        <v>206.42000000000002</v>
      </c>
      <c r="E99">
        <v>285</v>
      </c>
      <c r="F99">
        <v>7200.5000000000127</v>
      </c>
      <c r="G99">
        <v>2.8886355962632928</v>
      </c>
      <c r="H99">
        <v>295</v>
      </c>
      <c r="I99">
        <v>7406.9200000000128</v>
      </c>
      <c r="J99">
        <v>1054</v>
      </c>
      <c r="K99">
        <v>21512.14</v>
      </c>
      <c r="L99">
        <v>3</v>
      </c>
      <c r="M99">
        <v>-14105.219999999987</v>
      </c>
      <c r="N99">
        <v>-1.858524793464434</v>
      </c>
    </row>
    <row r="100" spans="1:14" x14ac:dyDescent="0.25">
      <c r="A100" t="s">
        <v>73</v>
      </c>
      <c r="B100" t="s">
        <v>72</v>
      </c>
      <c r="C100">
        <v>53</v>
      </c>
      <c r="D100">
        <v>2538.6999999999998</v>
      </c>
      <c r="E100">
        <v>0</v>
      </c>
      <c r="F100">
        <v>0</v>
      </c>
      <c r="G100">
        <v>0</v>
      </c>
      <c r="H100">
        <v>53</v>
      </c>
      <c r="I100">
        <v>2538.6999999999998</v>
      </c>
      <c r="J100">
        <v>55</v>
      </c>
      <c r="K100">
        <v>3212.3500000000004</v>
      </c>
      <c r="L100">
        <v>3</v>
      </c>
      <c r="M100">
        <v>-673.65000000000009</v>
      </c>
      <c r="N100">
        <v>-0.42167432289268825</v>
      </c>
    </row>
    <row r="101" spans="1:14" x14ac:dyDescent="0.25">
      <c r="A101" t="s">
        <v>75</v>
      </c>
      <c r="B101" t="s">
        <v>74</v>
      </c>
      <c r="C101">
        <v>0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</row>
    <row r="102" spans="1:14" x14ac:dyDescent="0.25">
      <c r="A102" t="s">
        <v>542</v>
      </c>
      <c r="B102" t="s">
        <v>541</v>
      </c>
      <c r="C102">
        <v>-2</v>
      </c>
      <c r="D102">
        <v>-10.24</v>
      </c>
      <c r="E102">
        <v>0</v>
      </c>
      <c r="F102">
        <v>0</v>
      </c>
      <c r="G102">
        <v>0</v>
      </c>
      <c r="H102">
        <v>-2</v>
      </c>
      <c r="I102">
        <v>-10.24</v>
      </c>
      <c r="J102">
        <v>2</v>
      </c>
      <c r="K102">
        <v>13.36</v>
      </c>
      <c r="L102">
        <v>3</v>
      </c>
      <c r="M102">
        <v>-23.6</v>
      </c>
      <c r="N102">
        <v>-2.7664670658682637</v>
      </c>
    </row>
    <row r="103" spans="1:14" x14ac:dyDescent="0.25">
      <c r="A103" t="s">
        <v>570</v>
      </c>
      <c r="B103" t="s">
        <v>569</v>
      </c>
      <c r="C103">
        <v>0</v>
      </c>
      <c r="D103">
        <v>0</v>
      </c>
      <c r="E103">
        <v>0</v>
      </c>
      <c r="F103">
        <v>0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0</v>
      </c>
    </row>
    <row r="104" spans="1:14" x14ac:dyDescent="0.25">
      <c r="A104" t="s">
        <v>642</v>
      </c>
      <c r="B104" t="s">
        <v>643</v>
      </c>
      <c r="C104">
        <v>0</v>
      </c>
      <c r="D104">
        <v>0</v>
      </c>
      <c r="E104">
        <v>0</v>
      </c>
      <c r="F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</row>
    <row r="105" spans="1:14" x14ac:dyDescent="0.25">
      <c r="A105" t="s">
        <v>765</v>
      </c>
      <c r="B105" t="s">
        <v>766</v>
      </c>
      <c r="C105">
        <v>0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</row>
    <row r="106" spans="1:14" x14ac:dyDescent="0.25">
      <c r="A106" t="s">
        <v>528</v>
      </c>
      <c r="B106" t="s">
        <v>527</v>
      </c>
      <c r="C106">
        <v>82</v>
      </c>
      <c r="D106">
        <v>3634.71</v>
      </c>
      <c r="E106">
        <v>43</v>
      </c>
      <c r="F106">
        <v>2070.6999999999994</v>
      </c>
      <c r="G106">
        <v>1.0436329225578191</v>
      </c>
      <c r="H106">
        <v>125</v>
      </c>
      <c r="I106">
        <v>5705.41</v>
      </c>
      <c r="J106">
        <v>459</v>
      </c>
      <c r="K106">
        <v>18840.099999999999</v>
      </c>
      <c r="L106">
        <v>3</v>
      </c>
      <c r="M106">
        <v>-13134.690000000002</v>
      </c>
      <c r="N106">
        <v>-1.9468140074042741</v>
      </c>
    </row>
    <row r="107" spans="1:14" x14ac:dyDescent="0.25">
      <c r="A107" t="s">
        <v>77</v>
      </c>
      <c r="B107" t="s">
        <v>76</v>
      </c>
      <c r="C107">
        <v>427</v>
      </c>
      <c r="D107">
        <v>5212.2699999999995</v>
      </c>
      <c r="E107">
        <v>0</v>
      </c>
      <c r="F107">
        <v>0</v>
      </c>
      <c r="G107">
        <v>0</v>
      </c>
      <c r="H107">
        <v>427</v>
      </c>
      <c r="I107">
        <v>5212.2699999999995</v>
      </c>
      <c r="J107">
        <v>99</v>
      </c>
      <c r="K107">
        <v>900.11</v>
      </c>
      <c r="L107">
        <v>3</v>
      </c>
      <c r="M107">
        <v>4312.16</v>
      </c>
      <c r="N107">
        <v>58.610749496697018</v>
      </c>
    </row>
    <row r="108" spans="1:14" x14ac:dyDescent="0.25">
      <c r="A108" t="s">
        <v>644</v>
      </c>
      <c r="B108" t="s">
        <v>645</v>
      </c>
      <c r="C108">
        <v>0</v>
      </c>
      <c r="D108">
        <v>0</v>
      </c>
      <c r="E108">
        <v>0</v>
      </c>
      <c r="F108">
        <v>0</v>
      </c>
      <c r="H108">
        <v>0</v>
      </c>
      <c r="I108">
        <v>0</v>
      </c>
      <c r="J108">
        <v>32</v>
      </c>
      <c r="K108">
        <v>163.84</v>
      </c>
      <c r="L108">
        <v>3</v>
      </c>
      <c r="M108">
        <v>-163.84</v>
      </c>
      <c r="N108">
        <v>-3</v>
      </c>
    </row>
    <row r="109" spans="1:14" x14ac:dyDescent="0.25">
      <c r="A109" t="s">
        <v>79</v>
      </c>
      <c r="B109" t="s">
        <v>78</v>
      </c>
      <c r="C109">
        <v>137</v>
      </c>
      <c r="D109">
        <v>1965.1999999999998</v>
      </c>
      <c r="E109">
        <v>0</v>
      </c>
      <c r="F109">
        <v>0</v>
      </c>
      <c r="G109">
        <v>0</v>
      </c>
      <c r="H109">
        <v>137</v>
      </c>
      <c r="I109">
        <v>1965.1999999999998</v>
      </c>
      <c r="J109">
        <v>508</v>
      </c>
      <c r="K109">
        <v>7145.68</v>
      </c>
      <c r="L109">
        <v>3</v>
      </c>
      <c r="M109">
        <v>-5180.4800000000005</v>
      </c>
      <c r="N109">
        <v>-2.1508377440393738</v>
      </c>
    </row>
    <row r="110" spans="1:14" x14ac:dyDescent="0.25">
      <c r="A110" t="s">
        <v>81</v>
      </c>
      <c r="B110" t="s">
        <v>80</v>
      </c>
      <c r="C110">
        <v>17</v>
      </c>
      <c r="D110">
        <v>755.88</v>
      </c>
      <c r="E110">
        <v>0</v>
      </c>
      <c r="F110">
        <v>0</v>
      </c>
      <c r="G110">
        <v>0</v>
      </c>
      <c r="H110">
        <v>17</v>
      </c>
      <c r="I110">
        <v>755.88</v>
      </c>
      <c r="J110">
        <v>1002</v>
      </c>
      <c r="K110">
        <v>32861.340000000004</v>
      </c>
      <c r="L110">
        <v>3</v>
      </c>
      <c r="M110">
        <v>-32105.460000000003</v>
      </c>
      <c r="N110">
        <v>-2.9305739628278262</v>
      </c>
    </row>
    <row r="111" spans="1:14" x14ac:dyDescent="0.25">
      <c r="A111" t="s">
        <v>646</v>
      </c>
      <c r="B111" t="s">
        <v>647</v>
      </c>
      <c r="C111">
        <v>0</v>
      </c>
      <c r="D111">
        <v>0</v>
      </c>
      <c r="E111">
        <v>0</v>
      </c>
      <c r="F111">
        <v>0</v>
      </c>
      <c r="H111">
        <v>0</v>
      </c>
      <c r="I111">
        <v>0</v>
      </c>
      <c r="J111">
        <v>-1</v>
      </c>
      <c r="K111">
        <v>-64.61</v>
      </c>
      <c r="L111">
        <v>3</v>
      </c>
      <c r="M111">
        <v>64.61</v>
      </c>
      <c r="N111">
        <v>-2</v>
      </c>
    </row>
    <row r="112" spans="1:14" x14ac:dyDescent="0.25">
      <c r="A112" t="s">
        <v>83</v>
      </c>
      <c r="B112" t="s">
        <v>82</v>
      </c>
      <c r="C112">
        <v>0</v>
      </c>
      <c r="D112">
        <v>0</v>
      </c>
      <c r="E112">
        <v>0</v>
      </c>
      <c r="F112">
        <v>0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</row>
    <row r="113" spans="1:14" x14ac:dyDescent="0.25">
      <c r="A113" t="s">
        <v>85</v>
      </c>
      <c r="B113" t="s">
        <v>84</v>
      </c>
      <c r="C113">
        <v>14</v>
      </c>
      <c r="D113">
        <v>687.40000000000009</v>
      </c>
      <c r="E113">
        <v>0</v>
      </c>
      <c r="F113">
        <v>0</v>
      </c>
      <c r="G113">
        <v>0</v>
      </c>
      <c r="H113">
        <v>14</v>
      </c>
      <c r="I113">
        <v>687.40000000000009</v>
      </c>
      <c r="J113">
        <v>79</v>
      </c>
      <c r="K113">
        <v>3867.8</v>
      </c>
      <c r="L113">
        <v>3</v>
      </c>
      <c r="M113">
        <v>-3180.4</v>
      </c>
      <c r="N113">
        <v>-2.4657075359208251</v>
      </c>
    </row>
    <row r="114" spans="1:14" x14ac:dyDescent="0.25">
      <c r="A114" t="s">
        <v>494</v>
      </c>
      <c r="B114" t="s">
        <v>493</v>
      </c>
      <c r="C114">
        <v>2</v>
      </c>
      <c r="D114">
        <v>66.28</v>
      </c>
      <c r="E114">
        <v>21</v>
      </c>
      <c r="F114">
        <v>896.0999999999998</v>
      </c>
      <c r="G114">
        <v>2.4655530628828508</v>
      </c>
      <c r="H114">
        <v>23</v>
      </c>
      <c r="I114">
        <v>962.37999999999977</v>
      </c>
      <c r="J114">
        <v>47</v>
      </c>
      <c r="K114">
        <v>1151.9699999999998</v>
      </c>
      <c r="L114">
        <v>3</v>
      </c>
      <c r="M114">
        <v>-189.5900000000002</v>
      </c>
      <c r="N114">
        <v>-0.44696401110109851</v>
      </c>
    </row>
    <row r="115" spans="1:14" x14ac:dyDescent="0.25">
      <c r="A115" t="s">
        <v>87</v>
      </c>
      <c r="B115" t="s">
        <v>86</v>
      </c>
      <c r="C115">
        <v>91</v>
      </c>
      <c r="D115">
        <v>1105.67</v>
      </c>
      <c r="E115">
        <v>1</v>
      </c>
      <c r="F115">
        <v>19.899999999999999</v>
      </c>
      <c r="G115">
        <v>6.9551237243114766E-2</v>
      </c>
      <c r="H115">
        <v>92</v>
      </c>
      <c r="I115">
        <v>1125.5700000000002</v>
      </c>
      <c r="J115">
        <v>40</v>
      </c>
      <c r="K115">
        <v>444.94</v>
      </c>
      <c r="L115">
        <v>3</v>
      </c>
      <c r="M115">
        <v>680.63000000000011</v>
      </c>
      <c r="N115">
        <v>25.21929969545662</v>
      </c>
    </row>
    <row r="116" spans="1:14" x14ac:dyDescent="0.25">
      <c r="A116" t="s">
        <v>89</v>
      </c>
      <c r="B116" t="s">
        <v>88</v>
      </c>
      <c r="C116">
        <v>0</v>
      </c>
      <c r="D116">
        <v>0</v>
      </c>
      <c r="E116">
        <v>0</v>
      </c>
      <c r="F116">
        <v>0</v>
      </c>
      <c r="H116">
        <v>0</v>
      </c>
      <c r="I116">
        <v>0</v>
      </c>
      <c r="J116">
        <v>0</v>
      </c>
      <c r="K116">
        <v>0</v>
      </c>
      <c r="L116">
        <v>3</v>
      </c>
      <c r="M116">
        <v>0</v>
      </c>
    </row>
    <row r="117" spans="1:14" x14ac:dyDescent="0.25">
      <c r="A117" t="s">
        <v>648</v>
      </c>
      <c r="B117" t="s">
        <v>649</v>
      </c>
      <c r="C117">
        <v>0</v>
      </c>
      <c r="D117">
        <v>0</v>
      </c>
      <c r="E117">
        <v>0</v>
      </c>
      <c r="F117">
        <v>0</v>
      </c>
      <c r="H117">
        <v>0</v>
      </c>
      <c r="I117">
        <v>0</v>
      </c>
      <c r="J117">
        <v>-4</v>
      </c>
      <c r="K117">
        <v>-32.44</v>
      </c>
      <c r="L117">
        <v>3</v>
      </c>
      <c r="M117">
        <v>32.44</v>
      </c>
      <c r="N117">
        <v>-2</v>
      </c>
    </row>
    <row r="118" spans="1:14" x14ac:dyDescent="0.25">
      <c r="A118" t="s">
        <v>650</v>
      </c>
      <c r="B118" t="s">
        <v>651</v>
      </c>
      <c r="C118">
        <v>0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</row>
    <row r="119" spans="1:14" x14ac:dyDescent="0.25">
      <c r="A119" t="s">
        <v>91</v>
      </c>
      <c r="B119" t="s">
        <v>90</v>
      </c>
      <c r="C119">
        <v>0</v>
      </c>
      <c r="D119">
        <v>0</v>
      </c>
      <c r="E119">
        <v>0</v>
      </c>
      <c r="F119">
        <v>0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0</v>
      </c>
    </row>
    <row r="120" spans="1:14" x14ac:dyDescent="0.25">
      <c r="A120" t="s">
        <v>93</v>
      </c>
      <c r="B120" t="s">
        <v>92</v>
      </c>
      <c r="C120">
        <v>10</v>
      </c>
      <c r="D120">
        <v>36.590000000000003</v>
      </c>
      <c r="E120">
        <v>0</v>
      </c>
      <c r="F120">
        <v>0</v>
      </c>
      <c r="G120">
        <v>0</v>
      </c>
      <c r="H120">
        <v>10</v>
      </c>
      <c r="I120">
        <v>36.590000000000003</v>
      </c>
      <c r="J120">
        <v>1</v>
      </c>
      <c r="K120">
        <v>4.3</v>
      </c>
      <c r="L120">
        <v>3</v>
      </c>
      <c r="M120">
        <v>32.29</v>
      </c>
      <c r="N120">
        <v>-0.12325581395348834</v>
      </c>
    </row>
    <row r="121" spans="1:14" x14ac:dyDescent="0.25">
      <c r="A121" t="s">
        <v>95</v>
      </c>
      <c r="B121" t="s">
        <v>94</v>
      </c>
      <c r="C121">
        <v>0</v>
      </c>
      <c r="D121">
        <v>0</v>
      </c>
      <c r="E121">
        <v>0</v>
      </c>
      <c r="F121">
        <v>0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0</v>
      </c>
    </row>
    <row r="122" spans="1:14" x14ac:dyDescent="0.25">
      <c r="A122" t="s">
        <v>97</v>
      </c>
      <c r="B122" t="s">
        <v>96</v>
      </c>
      <c r="C122">
        <v>0</v>
      </c>
      <c r="D122">
        <v>0</v>
      </c>
      <c r="E122">
        <v>0</v>
      </c>
      <c r="F122">
        <v>0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</row>
    <row r="123" spans="1:14" x14ac:dyDescent="0.25">
      <c r="A123" t="s">
        <v>99</v>
      </c>
      <c r="B123" t="s">
        <v>98</v>
      </c>
      <c r="C123">
        <v>0</v>
      </c>
      <c r="D123">
        <v>0</v>
      </c>
      <c r="E123">
        <v>0</v>
      </c>
      <c r="F123">
        <v>0</v>
      </c>
      <c r="H123">
        <v>0</v>
      </c>
      <c r="I123">
        <v>0</v>
      </c>
      <c r="J123">
        <v>0</v>
      </c>
      <c r="K123">
        <v>0</v>
      </c>
      <c r="L123">
        <v>3</v>
      </c>
      <c r="M123">
        <v>0</v>
      </c>
    </row>
    <row r="124" spans="1:14" x14ac:dyDescent="0.25">
      <c r="A124" t="s">
        <v>101</v>
      </c>
      <c r="B124" t="s">
        <v>100</v>
      </c>
      <c r="C124">
        <v>0</v>
      </c>
      <c r="D124">
        <v>0</v>
      </c>
      <c r="E124">
        <v>0</v>
      </c>
      <c r="F124">
        <v>0</v>
      </c>
      <c r="H124">
        <v>0</v>
      </c>
      <c r="I124">
        <v>0</v>
      </c>
      <c r="J124">
        <v>20</v>
      </c>
      <c r="K124">
        <v>108.28</v>
      </c>
      <c r="L124">
        <v>3</v>
      </c>
      <c r="M124">
        <v>-108.28</v>
      </c>
      <c r="N124">
        <v>-2</v>
      </c>
    </row>
    <row r="125" spans="1:14" x14ac:dyDescent="0.25">
      <c r="A125" t="s">
        <v>767</v>
      </c>
      <c r="B125" t="s">
        <v>768</v>
      </c>
      <c r="C125">
        <v>0</v>
      </c>
      <c r="D125">
        <v>0</v>
      </c>
      <c r="E125">
        <v>0</v>
      </c>
      <c r="F125">
        <v>0</v>
      </c>
      <c r="H125">
        <v>0</v>
      </c>
      <c r="I125">
        <v>0</v>
      </c>
      <c r="J125">
        <v>2</v>
      </c>
      <c r="K125">
        <v>49.02</v>
      </c>
      <c r="L125">
        <v>2</v>
      </c>
      <c r="M125">
        <v>-49.02</v>
      </c>
      <c r="N125">
        <v>-1</v>
      </c>
    </row>
    <row r="126" spans="1:14" x14ac:dyDescent="0.25">
      <c r="A126" t="s">
        <v>103</v>
      </c>
      <c r="B126" t="s">
        <v>102</v>
      </c>
      <c r="C126">
        <v>20</v>
      </c>
      <c r="D126">
        <v>507.84</v>
      </c>
      <c r="E126">
        <v>40</v>
      </c>
      <c r="F126">
        <v>1210.6899999999998</v>
      </c>
      <c r="G126">
        <v>1.8719851246554187</v>
      </c>
      <c r="H126">
        <v>60</v>
      </c>
      <c r="I126">
        <v>1718.5299999999997</v>
      </c>
      <c r="J126">
        <v>231</v>
      </c>
      <c r="K126">
        <v>5343.8099999999995</v>
      </c>
      <c r="L126">
        <v>3</v>
      </c>
      <c r="M126">
        <v>-3625.28</v>
      </c>
      <c r="N126">
        <v>-1.6124554706941805</v>
      </c>
    </row>
    <row r="127" spans="1:14" x14ac:dyDescent="0.25">
      <c r="A127" t="s">
        <v>652</v>
      </c>
      <c r="B127" t="s">
        <v>653</v>
      </c>
      <c r="C127">
        <v>0</v>
      </c>
      <c r="D127">
        <v>0</v>
      </c>
      <c r="E127">
        <v>0</v>
      </c>
      <c r="F127">
        <v>0</v>
      </c>
      <c r="H127">
        <v>0</v>
      </c>
      <c r="I127">
        <v>0</v>
      </c>
      <c r="J127">
        <v>1</v>
      </c>
      <c r="K127">
        <v>20.41</v>
      </c>
      <c r="L127">
        <v>3</v>
      </c>
      <c r="M127">
        <v>-20.41</v>
      </c>
      <c r="N127">
        <v>-1</v>
      </c>
    </row>
    <row r="128" spans="1:14" x14ac:dyDescent="0.25">
      <c r="A128" t="s">
        <v>654</v>
      </c>
      <c r="B128" t="s">
        <v>655</v>
      </c>
      <c r="C128">
        <v>0</v>
      </c>
      <c r="D128">
        <v>0</v>
      </c>
      <c r="E128">
        <v>0</v>
      </c>
      <c r="F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</row>
    <row r="129" spans="1:14" x14ac:dyDescent="0.25">
      <c r="A129" t="s">
        <v>510</v>
      </c>
      <c r="B129" t="s">
        <v>509</v>
      </c>
      <c r="C129">
        <v>7</v>
      </c>
      <c r="D129">
        <v>112.77000000000001</v>
      </c>
      <c r="E129">
        <v>0</v>
      </c>
      <c r="F129">
        <v>0</v>
      </c>
      <c r="G129">
        <v>0</v>
      </c>
      <c r="H129">
        <v>7</v>
      </c>
      <c r="I129">
        <v>112.77000000000001</v>
      </c>
      <c r="J129">
        <v>143</v>
      </c>
      <c r="K129">
        <v>1811.0600000000002</v>
      </c>
      <c r="L129">
        <v>3</v>
      </c>
      <c r="M129">
        <v>-1698.29</v>
      </c>
      <c r="N129">
        <v>-2.394362093827433</v>
      </c>
    </row>
    <row r="130" spans="1:14" x14ac:dyDescent="0.25">
      <c r="A130" t="s">
        <v>769</v>
      </c>
      <c r="B130" t="s">
        <v>770</v>
      </c>
      <c r="C130">
        <v>0</v>
      </c>
      <c r="D130">
        <v>0</v>
      </c>
      <c r="E130">
        <v>0</v>
      </c>
      <c r="F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</row>
    <row r="131" spans="1:14" x14ac:dyDescent="0.25">
      <c r="A131" t="s">
        <v>656</v>
      </c>
      <c r="B131" t="s">
        <v>657</v>
      </c>
      <c r="C131">
        <v>0</v>
      </c>
      <c r="D131">
        <v>0</v>
      </c>
      <c r="E131">
        <v>0</v>
      </c>
      <c r="F131">
        <v>0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</row>
    <row r="132" spans="1:14" x14ac:dyDescent="0.25">
      <c r="A132" t="s">
        <v>479</v>
      </c>
      <c r="B132" t="s">
        <v>478</v>
      </c>
      <c r="C132">
        <v>71</v>
      </c>
      <c r="D132">
        <v>1545.67</v>
      </c>
      <c r="E132">
        <v>0</v>
      </c>
      <c r="F132">
        <v>0</v>
      </c>
      <c r="G132">
        <v>0</v>
      </c>
      <c r="H132">
        <v>71</v>
      </c>
      <c r="I132">
        <v>1545.67</v>
      </c>
      <c r="J132">
        <v>274</v>
      </c>
      <c r="K132">
        <v>5533</v>
      </c>
      <c r="L132">
        <v>3</v>
      </c>
      <c r="M132">
        <v>-3987.33</v>
      </c>
      <c r="N132">
        <v>-1.9520511448662736</v>
      </c>
    </row>
    <row r="133" spans="1:14" x14ac:dyDescent="0.25">
      <c r="A133" t="s">
        <v>105</v>
      </c>
      <c r="B133" t="s">
        <v>104</v>
      </c>
      <c r="C133">
        <v>0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</row>
    <row r="134" spans="1:14" x14ac:dyDescent="0.25">
      <c r="A134" t="s">
        <v>480</v>
      </c>
      <c r="B134" t="s">
        <v>478</v>
      </c>
      <c r="C134">
        <v>-11</v>
      </c>
      <c r="D134">
        <v>-129.62</v>
      </c>
      <c r="E134">
        <v>479</v>
      </c>
      <c r="F134">
        <v>7129.0300000000234</v>
      </c>
      <c r="G134">
        <v>3.0263631527663959</v>
      </c>
      <c r="H134">
        <v>468</v>
      </c>
      <c r="I134">
        <v>6999.4100000000235</v>
      </c>
      <c r="J134">
        <v>343</v>
      </c>
      <c r="K134">
        <v>3573.3</v>
      </c>
      <c r="L134">
        <v>3</v>
      </c>
      <c r="M134">
        <v>3426.1100000000233</v>
      </c>
      <c r="N134">
        <v>3.9915163403853891</v>
      </c>
    </row>
    <row r="135" spans="1:14" x14ac:dyDescent="0.25">
      <c r="A135" t="s">
        <v>658</v>
      </c>
      <c r="B135" t="s">
        <v>659</v>
      </c>
      <c r="C135">
        <v>0</v>
      </c>
      <c r="D135">
        <v>0</v>
      </c>
      <c r="E135">
        <v>0</v>
      </c>
      <c r="F135">
        <v>0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</row>
    <row r="136" spans="1:14" x14ac:dyDescent="0.25">
      <c r="A136" t="s">
        <v>107</v>
      </c>
      <c r="B136" t="s">
        <v>106</v>
      </c>
      <c r="C136">
        <v>6</v>
      </c>
      <c r="D136">
        <v>107.11</v>
      </c>
      <c r="E136">
        <v>0</v>
      </c>
      <c r="F136">
        <v>0</v>
      </c>
      <c r="G136">
        <v>0</v>
      </c>
      <c r="H136">
        <v>6</v>
      </c>
      <c r="I136">
        <v>107.11</v>
      </c>
      <c r="J136">
        <v>3</v>
      </c>
      <c r="K136">
        <v>71.39</v>
      </c>
      <c r="L136">
        <v>3</v>
      </c>
      <c r="M136">
        <v>35.72</v>
      </c>
      <c r="N136">
        <v>-5.210813839473314E-2</v>
      </c>
    </row>
    <row r="137" spans="1:14" x14ac:dyDescent="0.25">
      <c r="A137" t="s">
        <v>109</v>
      </c>
      <c r="B137" t="s">
        <v>108</v>
      </c>
      <c r="C137">
        <v>0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0</v>
      </c>
      <c r="K137">
        <v>0</v>
      </c>
      <c r="L137">
        <v>3</v>
      </c>
      <c r="M137">
        <v>0</v>
      </c>
    </row>
    <row r="138" spans="1:14" x14ac:dyDescent="0.25">
      <c r="A138" t="s">
        <v>111</v>
      </c>
      <c r="B138" t="s">
        <v>110</v>
      </c>
      <c r="C138">
        <v>241</v>
      </c>
      <c r="D138">
        <v>3103.55</v>
      </c>
      <c r="E138">
        <v>0</v>
      </c>
      <c r="F138">
        <v>0</v>
      </c>
      <c r="G138">
        <v>0</v>
      </c>
      <c r="H138">
        <v>241</v>
      </c>
      <c r="I138">
        <v>3103.55</v>
      </c>
      <c r="J138">
        <v>630</v>
      </c>
      <c r="K138">
        <v>7692.2999999999993</v>
      </c>
      <c r="L138">
        <v>3</v>
      </c>
      <c r="M138">
        <v>-4588.75</v>
      </c>
      <c r="N138">
        <v>-1.9758490999120684</v>
      </c>
    </row>
    <row r="139" spans="1:14" x14ac:dyDescent="0.25">
      <c r="A139" t="s">
        <v>477</v>
      </c>
      <c r="B139" t="s">
        <v>476</v>
      </c>
      <c r="C139">
        <v>0</v>
      </c>
      <c r="D139">
        <v>0</v>
      </c>
      <c r="E139">
        <v>1308</v>
      </c>
      <c r="F139">
        <v>38685.629999999765</v>
      </c>
      <c r="G139">
        <v>3</v>
      </c>
      <c r="H139">
        <v>1308</v>
      </c>
      <c r="I139">
        <v>38685.629999999765</v>
      </c>
      <c r="J139">
        <v>0</v>
      </c>
      <c r="K139">
        <v>0</v>
      </c>
      <c r="L139">
        <v>3</v>
      </c>
      <c r="M139">
        <v>38685.629999999765</v>
      </c>
    </row>
    <row r="140" spans="1:14" x14ac:dyDescent="0.25">
      <c r="A140" t="s">
        <v>660</v>
      </c>
      <c r="B140" t="s">
        <v>661</v>
      </c>
      <c r="C140">
        <v>0</v>
      </c>
      <c r="D140">
        <v>0</v>
      </c>
      <c r="E140">
        <v>0</v>
      </c>
      <c r="F140">
        <v>0</v>
      </c>
      <c r="H140">
        <v>0</v>
      </c>
      <c r="I140">
        <v>0</v>
      </c>
      <c r="J140">
        <v>-1</v>
      </c>
      <c r="K140">
        <v>-65.489999999999995</v>
      </c>
      <c r="L140">
        <v>3</v>
      </c>
      <c r="M140">
        <v>65.489999999999995</v>
      </c>
      <c r="N140">
        <v>-1</v>
      </c>
    </row>
    <row r="141" spans="1:14" x14ac:dyDescent="0.25">
      <c r="A141" t="s">
        <v>662</v>
      </c>
      <c r="B141" t="s">
        <v>663</v>
      </c>
      <c r="C141">
        <v>0</v>
      </c>
      <c r="D141">
        <v>0</v>
      </c>
      <c r="E141">
        <v>0</v>
      </c>
      <c r="F141">
        <v>0</v>
      </c>
      <c r="H141">
        <v>0</v>
      </c>
      <c r="I141">
        <v>0</v>
      </c>
      <c r="J141">
        <v>5</v>
      </c>
      <c r="K141">
        <v>327.45</v>
      </c>
      <c r="L141">
        <v>2</v>
      </c>
      <c r="M141">
        <v>-327.45</v>
      </c>
      <c r="N141">
        <v>-1</v>
      </c>
    </row>
    <row r="142" spans="1:14" x14ac:dyDescent="0.25">
      <c r="A142" t="s">
        <v>664</v>
      </c>
      <c r="B142" t="s">
        <v>665</v>
      </c>
      <c r="C142">
        <v>0</v>
      </c>
      <c r="D142">
        <v>0</v>
      </c>
      <c r="E142">
        <v>0</v>
      </c>
      <c r="F142">
        <v>0</v>
      </c>
      <c r="H142">
        <v>0</v>
      </c>
      <c r="I142">
        <v>0</v>
      </c>
      <c r="J142">
        <v>0</v>
      </c>
      <c r="K142">
        <v>0</v>
      </c>
      <c r="L142">
        <v>3</v>
      </c>
      <c r="M142">
        <v>0</v>
      </c>
    </row>
    <row r="143" spans="1:14" x14ac:dyDescent="0.25">
      <c r="A143" t="s">
        <v>490</v>
      </c>
      <c r="B143" t="s">
        <v>489</v>
      </c>
      <c r="C143">
        <v>11</v>
      </c>
      <c r="D143">
        <v>404.8</v>
      </c>
      <c r="E143">
        <v>37</v>
      </c>
      <c r="F143">
        <v>1740.1999999999994</v>
      </c>
      <c r="G143">
        <v>2.4560226981338853</v>
      </c>
      <c r="H143">
        <v>48</v>
      </c>
      <c r="I143">
        <v>2144.9999999999995</v>
      </c>
      <c r="J143">
        <v>174</v>
      </c>
      <c r="K143">
        <v>6830.4400000000005</v>
      </c>
      <c r="L143">
        <v>3</v>
      </c>
      <c r="M143">
        <v>-4685.4400000000005</v>
      </c>
      <c r="N143">
        <v>-1.232771390703109</v>
      </c>
    </row>
    <row r="144" spans="1:14" x14ac:dyDescent="0.25">
      <c r="A144" t="s">
        <v>522</v>
      </c>
      <c r="B144" t="s">
        <v>521</v>
      </c>
      <c r="C144">
        <v>0</v>
      </c>
      <c r="D144">
        <v>0</v>
      </c>
      <c r="E144">
        <v>45</v>
      </c>
      <c r="F144">
        <v>2695.4999999999995</v>
      </c>
      <c r="G144">
        <v>3</v>
      </c>
      <c r="H144">
        <v>45</v>
      </c>
      <c r="I144">
        <v>2695.4999999999995</v>
      </c>
      <c r="J144">
        <v>0</v>
      </c>
      <c r="K144">
        <v>0</v>
      </c>
      <c r="L144">
        <v>3</v>
      </c>
      <c r="M144">
        <v>2695.4999999999995</v>
      </c>
    </row>
    <row r="145" spans="1:14" x14ac:dyDescent="0.25">
      <c r="A145" t="s">
        <v>666</v>
      </c>
      <c r="B145" t="s">
        <v>667</v>
      </c>
      <c r="C145">
        <v>0</v>
      </c>
      <c r="D145">
        <v>0</v>
      </c>
      <c r="E145">
        <v>0</v>
      </c>
      <c r="F145">
        <v>0</v>
      </c>
      <c r="H145">
        <v>0</v>
      </c>
      <c r="I145">
        <v>0</v>
      </c>
      <c r="J145">
        <v>1</v>
      </c>
      <c r="K145">
        <v>44.57</v>
      </c>
      <c r="L145">
        <v>3</v>
      </c>
      <c r="M145">
        <v>-44.57</v>
      </c>
      <c r="N145">
        <v>-1</v>
      </c>
    </row>
    <row r="146" spans="1:14" x14ac:dyDescent="0.25">
      <c r="A146" t="s">
        <v>113</v>
      </c>
      <c r="B146" t="s">
        <v>112</v>
      </c>
      <c r="C146">
        <v>4</v>
      </c>
      <c r="D146">
        <v>57.2</v>
      </c>
      <c r="E146">
        <v>0</v>
      </c>
      <c r="F146">
        <v>0</v>
      </c>
      <c r="G146">
        <v>0</v>
      </c>
      <c r="H146">
        <v>4</v>
      </c>
      <c r="I146">
        <v>57.2</v>
      </c>
      <c r="J146">
        <v>1</v>
      </c>
      <c r="K146">
        <v>15.85</v>
      </c>
      <c r="L146">
        <v>3</v>
      </c>
      <c r="M146">
        <v>41.35</v>
      </c>
      <c r="N146">
        <v>-0.12870662460567819</v>
      </c>
    </row>
    <row r="147" spans="1:14" x14ac:dyDescent="0.25">
      <c r="A147" t="s">
        <v>115</v>
      </c>
      <c r="B147" t="s">
        <v>114</v>
      </c>
      <c r="C147">
        <v>0</v>
      </c>
      <c r="D147">
        <v>0</v>
      </c>
      <c r="E147">
        <v>0</v>
      </c>
      <c r="F147">
        <v>0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</row>
    <row r="148" spans="1:14" x14ac:dyDescent="0.25">
      <c r="A148" t="s">
        <v>117</v>
      </c>
      <c r="B148" t="s">
        <v>116</v>
      </c>
      <c r="C148">
        <v>0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</row>
    <row r="149" spans="1:14" x14ac:dyDescent="0.25">
      <c r="A149" t="s">
        <v>544</v>
      </c>
      <c r="B149" t="s">
        <v>543</v>
      </c>
      <c r="C149">
        <v>395</v>
      </c>
      <c r="D149">
        <v>8043.92</v>
      </c>
      <c r="E149">
        <v>0</v>
      </c>
      <c r="F149">
        <v>0</v>
      </c>
      <c r="G149">
        <v>0</v>
      </c>
      <c r="H149">
        <v>395</v>
      </c>
      <c r="I149">
        <v>8043.92</v>
      </c>
      <c r="J149">
        <v>1171</v>
      </c>
      <c r="K149">
        <v>23908.89</v>
      </c>
      <c r="L149">
        <v>3</v>
      </c>
      <c r="M149">
        <v>-15864.970000000001</v>
      </c>
      <c r="N149">
        <v>-2.0166805053646781</v>
      </c>
    </row>
    <row r="150" spans="1:14" x14ac:dyDescent="0.25">
      <c r="A150" t="s">
        <v>771</v>
      </c>
      <c r="B150" t="s">
        <v>772</v>
      </c>
      <c r="C150">
        <v>0</v>
      </c>
      <c r="D150">
        <v>0</v>
      </c>
      <c r="E150">
        <v>0</v>
      </c>
      <c r="F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</row>
    <row r="151" spans="1:14" x14ac:dyDescent="0.25">
      <c r="A151" t="s">
        <v>119</v>
      </c>
      <c r="B151" t="s">
        <v>118</v>
      </c>
      <c r="C151">
        <v>8</v>
      </c>
      <c r="D151">
        <v>191.53000000000003</v>
      </c>
      <c r="E151">
        <v>0</v>
      </c>
      <c r="F151">
        <v>0</v>
      </c>
      <c r="G151">
        <v>0</v>
      </c>
      <c r="H151">
        <v>8</v>
      </c>
      <c r="I151">
        <v>191.53000000000003</v>
      </c>
      <c r="J151">
        <v>10</v>
      </c>
      <c r="K151">
        <v>201.03</v>
      </c>
      <c r="L151">
        <v>3</v>
      </c>
      <c r="M151">
        <v>-9.5000000000000071</v>
      </c>
      <c r="N151">
        <v>0.55686714783260072</v>
      </c>
    </row>
    <row r="152" spans="1:14" x14ac:dyDescent="0.25">
      <c r="A152" t="s">
        <v>668</v>
      </c>
      <c r="B152" t="s">
        <v>669</v>
      </c>
      <c r="C152">
        <v>0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14</v>
      </c>
      <c r="K152">
        <v>274.26</v>
      </c>
      <c r="L152">
        <v>3</v>
      </c>
      <c r="M152">
        <v>-274.26</v>
      </c>
      <c r="N152">
        <v>-3</v>
      </c>
    </row>
    <row r="153" spans="1:14" x14ac:dyDescent="0.25">
      <c r="A153" t="s">
        <v>121</v>
      </c>
      <c r="B153" t="s">
        <v>120</v>
      </c>
      <c r="C153">
        <v>0</v>
      </c>
      <c r="D153">
        <v>0</v>
      </c>
      <c r="E153">
        <v>0</v>
      </c>
      <c r="F153">
        <v>0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0</v>
      </c>
    </row>
    <row r="154" spans="1:14" x14ac:dyDescent="0.25">
      <c r="A154" t="s">
        <v>546</v>
      </c>
      <c r="B154" t="s">
        <v>545</v>
      </c>
      <c r="C154">
        <v>0</v>
      </c>
      <c r="D154">
        <v>0</v>
      </c>
      <c r="E154">
        <v>0</v>
      </c>
      <c r="F154">
        <v>0</v>
      </c>
      <c r="H154">
        <v>0</v>
      </c>
      <c r="I154">
        <v>0</v>
      </c>
      <c r="J154">
        <v>0</v>
      </c>
      <c r="K154">
        <v>0</v>
      </c>
      <c r="L154">
        <v>3</v>
      </c>
      <c r="M154">
        <v>0</v>
      </c>
    </row>
    <row r="155" spans="1:14" x14ac:dyDescent="0.25">
      <c r="A155" t="s">
        <v>670</v>
      </c>
      <c r="B155" t="s">
        <v>671</v>
      </c>
      <c r="C155">
        <v>0</v>
      </c>
      <c r="D155">
        <v>0</v>
      </c>
      <c r="E155">
        <v>0</v>
      </c>
      <c r="F155">
        <v>0</v>
      </c>
      <c r="H155">
        <v>0</v>
      </c>
      <c r="I155">
        <v>0</v>
      </c>
      <c r="J155">
        <v>0</v>
      </c>
      <c r="K155">
        <v>0</v>
      </c>
      <c r="L155">
        <v>3</v>
      </c>
      <c r="M155">
        <v>0</v>
      </c>
    </row>
    <row r="156" spans="1:14" x14ac:dyDescent="0.25">
      <c r="A156" t="s">
        <v>488</v>
      </c>
      <c r="B156" t="s">
        <v>487</v>
      </c>
      <c r="C156">
        <v>0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0</v>
      </c>
      <c r="K156">
        <v>0</v>
      </c>
      <c r="L156">
        <v>3</v>
      </c>
      <c r="M156">
        <v>0</v>
      </c>
    </row>
    <row r="157" spans="1:14" x14ac:dyDescent="0.25">
      <c r="A157" t="s">
        <v>672</v>
      </c>
      <c r="B157" t="s">
        <v>673</v>
      </c>
      <c r="C157">
        <v>0</v>
      </c>
      <c r="D157">
        <v>0</v>
      </c>
      <c r="E157">
        <v>0</v>
      </c>
      <c r="F157">
        <v>0</v>
      </c>
      <c r="H157">
        <v>0</v>
      </c>
      <c r="I157">
        <v>0</v>
      </c>
      <c r="J157">
        <v>6</v>
      </c>
      <c r="K157">
        <v>105.66</v>
      </c>
      <c r="L157">
        <v>3</v>
      </c>
      <c r="M157">
        <v>-105.66</v>
      </c>
      <c r="N157">
        <v>-3</v>
      </c>
    </row>
    <row r="158" spans="1:14" x14ac:dyDescent="0.25">
      <c r="A158" t="s">
        <v>502</v>
      </c>
      <c r="B158" t="s">
        <v>501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11</v>
      </c>
      <c r="K158">
        <v>892.65</v>
      </c>
      <c r="L158">
        <v>3</v>
      </c>
      <c r="M158">
        <v>-892.65</v>
      </c>
      <c r="N158">
        <v>-3</v>
      </c>
    </row>
    <row r="159" spans="1:14" x14ac:dyDescent="0.25">
      <c r="A159" t="s">
        <v>814</v>
      </c>
      <c r="B159" t="s">
        <v>815</v>
      </c>
      <c r="C159">
        <v>0</v>
      </c>
      <c r="D159">
        <v>0</v>
      </c>
      <c r="E159">
        <v>0</v>
      </c>
      <c r="F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</row>
    <row r="160" spans="1:14" x14ac:dyDescent="0.25">
      <c r="A160" t="s">
        <v>530</v>
      </c>
      <c r="B160" t="s">
        <v>529</v>
      </c>
      <c r="C160">
        <v>0</v>
      </c>
      <c r="D160">
        <v>0</v>
      </c>
      <c r="E160">
        <v>0</v>
      </c>
      <c r="F160">
        <v>0</v>
      </c>
      <c r="H160">
        <v>0</v>
      </c>
      <c r="I160">
        <v>0</v>
      </c>
      <c r="J160">
        <v>0</v>
      </c>
      <c r="K160">
        <v>0</v>
      </c>
      <c r="L160">
        <v>3</v>
      </c>
      <c r="M160">
        <v>0</v>
      </c>
    </row>
    <row r="161" spans="1:14" x14ac:dyDescent="0.25">
      <c r="A161" t="s">
        <v>773</v>
      </c>
      <c r="B161" t="s">
        <v>774</v>
      </c>
      <c r="C161">
        <v>0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</row>
    <row r="162" spans="1:14" x14ac:dyDescent="0.25">
      <c r="A162" t="s">
        <v>674</v>
      </c>
      <c r="B162" t="s">
        <v>675</v>
      </c>
      <c r="C162">
        <v>0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-2</v>
      </c>
      <c r="K162">
        <v>-21.14</v>
      </c>
      <c r="L162">
        <v>2</v>
      </c>
      <c r="M162">
        <v>21.14</v>
      </c>
      <c r="N162">
        <v>-1</v>
      </c>
    </row>
    <row r="163" spans="1:14" x14ac:dyDescent="0.25">
      <c r="A163" t="s">
        <v>775</v>
      </c>
      <c r="B163" t="s">
        <v>776</v>
      </c>
      <c r="C163">
        <v>0</v>
      </c>
      <c r="D163">
        <v>0</v>
      </c>
      <c r="E163">
        <v>0</v>
      </c>
      <c r="F163">
        <v>0</v>
      </c>
      <c r="H163">
        <v>0</v>
      </c>
      <c r="I163">
        <v>0</v>
      </c>
      <c r="J163">
        <v>2</v>
      </c>
      <c r="K163">
        <v>98.2</v>
      </c>
      <c r="L163">
        <v>1</v>
      </c>
      <c r="M163">
        <v>-98.2</v>
      </c>
      <c r="N163">
        <v>-1</v>
      </c>
    </row>
    <row r="164" spans="1:14" x14ac:dyDescent="0.25">
      <c r="A164" t="s">
        <v>516</v>
      </c>
      <c r="B164" t="s">
        <v>515</v>
      </c>
      <c r="C164">
        <v>295</v>
      </c>
      <c r="D164">
        <v>4085.7500000000005</v>
      </c>
      <c r="E164">
        <v>0</v>
      </c>
      <c r="F164">
        <v>0</v>
      </c>
      <c r="G164">
        <v>0</v>
      </c>
      <c r="H164">
        <v>295</v>
      </c>
      <c r="I164">
        <v>4085.7500000000005</v>
      </c>
      <c r="J164">
        <v>76</v>
      </c>
      <c r="K164">
        <v>1239.0200000000002</v>
      </c>
      <c r="L164">
        <v>3</v>
      </c>
      <c r="M164">
        <v>2846.7300000000005</v>
      </c>
      <c r="N164">
        <v>9.9024921058845745</v>
      </c>
    </row>
    <row r="165" spans="1:14" x14ac:dyDescent="0.25">
      <c r="A165" t="s">
        <v>475</v>
      </c>
      <c r="B165" t="s">
        <v>474</v>
      </c>
      <c r="C165">
        <v>0</v>
      </c>
      <c r="D165">
        <v>0</v>
      </c>
      <c r="E165">
        <v>0</v>
      </c>
      <c r="F165">
        <v>0</v>
      </c>
      <c r="H165">
        <v>0</v>
      </c>
      <c r="I165">
        <v>0</v>
      </c>
      <c r="J165">
        <v>31</v>
      </c>
      <c r="K165">
        <v>450.81999999999994</v>
      </c>
      <c r="L165">
        <v>3</v>
      </c>
      <c r="M165">
        <v>-450.81999999999994</v>
      </c>
      <c r="N165">
        <v>-3</v>
      </c>
    </row>
    <row r="166" spans="1:14" x14ac:dyDescent="0.25">
      <c r="A166" t="s">
        <v>123</v>
      </c>
      <c r="B166" t="s">
        <v>122</v>
      </c>
      <c r="C166">
        <v>54</v>
      </c>
      <c r="D166">
        <v>1323.54</v>
      </c>
      <c r="E166">
        <v>19</v>
      </c>
      <c r="F166">
        <v>727.09999999999991</v>
      </c>
      <c r="G166">
        <v>0.91182641069379189</v>
      </c>
      <c r="H166">
        <v>73</v>
      </c>
      <c r="I166">
        <v>2050.64</v>
      </c>
      <c r="J166">
        <v>166</v>
      </c>
      <c r="K166">
        <v>4068.66</v>
      </c>
      <c r="L166">
        <v>3</v>
      </c>
      <c r="M166">
        <v>-2018.02</v>
      </c>
      <c r="N166">
        <v>-1.5004521963824289</v>
      </c>
    </row>
    <row r="167" spans="1:14" x14ac:dyDescent="0.25">
      <c r="A167" t="s">
        <v>125</v>
      </c>
      <c r="B167" t="s">
        <v>124</v>
      </c>
      <c r="C167">
        <v>0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2057</v>
      </c>
      <c r="K167">
        <v>25115.97</v>
      </c>
      <c r="L167">
        <v>3</v>
      </c>
      <c r="M167">
        <v>-25115.97</v>
      </c>
      <c r="N167">
        <v>-3</v>
      </c>
    </row>
    <row r="168" spans="1:14" x14ac:dyDescent="0.25">
      <c r="A168" t="s">
        <v>560</v>
      </c>
      <c r="B168" t="s">
        <v>559</v>
      </c>
      <c r="C168">
        <v>63</v>
      </c>
      <c r="D168">
        <v>674.43</v>
      </c>
      <c r="E168">
        <v>0</v>
      </c>
      <c r="F168">
        <v>0</v>
      </c>
      <c r="G168">
        <v>0</v>
      </c>
      <c r="H168">
        <v>63</v>
      </c>
      <c r="I168">
        <v>674.43</v>
      </c>
      <c r="J168">
        <v>164</v>
      </c>
      <c r="K168">
        <v>1825.8899999999999</v>
      </c>
      <c r="L168">
        <v>3</v>
      </c>
      <c r="M168">
        <v>-1151.46</v>
      </c>
      <c r="N168">
        <v>-1.8274548209727559</v>
      </c>
    </row>
    <row r="169" spans="1:14" x14ac:dyDescent="0.25">
      <c r="A169" t="s">
        <v>496</v>
      </c>
      <c r="B169" t="s">
        <v>495</v>
      </c>
      <c r="C169">
        <v>0</v>
      </c>
      <c r="D169">
        <v>0</v>
      </c>
      <c r="E169">
        <v>0</v>
      </c>
      <c r="F169">
        <v>0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0</v>
      </c>
    </row>
    <row r="170" spans="1:14" x14ac:dyDescent="0.25">
      <c r="A170" t="s">
        <v>514</v>
      </c>
      <c r="B170" t="s">
        <v>513</v>
      </c>
      <c r="C170">
        <v>0</v>
      </c>
      <c r="D170">
        <v>0</v>
      </c>
      <c r="E170">
        <v>1</v>
      </c>
      <c r="F170">
        <v>28.93</v>
      </c>
      <c r="G170">
        <v>2</v>
      </c>
      <c r="H170">
        <v>1</v>
      </c>
      <c r="I170">
        <v>28.93</v>
      </c>
      <c r="J170">
        <v>0</v>
      </c>
      <c r="K170">
        <v>0</v>
      </c>
      <c r="L170">
        <v>3</v>
      </c>
      <c r="M170">
        <v>28.93</v>
      </c>
    </row>
    <row r="171" spans="1:14" x14ac:dyDescent="0.25">
      <c r="A171" t="s">
        <v>676</v>
      </c>
      <c r="B171" t="s">
        <v>677</v>
      </c>
      <c r="C171">
        <v>0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11</v>
      </c>
      <c r="K171">
        <v>115.21000000000001</v>
      </c>
      <c r="L171">
        <v>3</v>
      </c>
      <c r="M171">
        <v>-115.21000000000001</v>
      </c>
      <c r="N171">
        <v>-3</v>
      </c>
    </row>
    <row r="172" spans="1:14" x14ac:dyDescent="0.25">
      <c r="A172" t="s">
        <v>678</v>
      </c>
      <c r="B172" t="s">
        <v>679</v>
      </c>
      <c r="C172">
        <v>0</v>
      </c>
      <c r="D172">
        <v>0</v>
      </c>
      <c r="E172">
        <v>0</v>
      </c>
      <c r="F172">
        <v>0</v>
      </c>
      <c r="H172">
        <v>0</v>
      </c>
      <c r="I172">
        <v>0</v>
      </c>
      <c r="J172">
        <v>0</v>
      </c>
      <c r="K172">
        <v>0</v>
      </c>
      <c r="L172">
        <v>3</v>
      </c>
      <c r="M172">
        <v>0</v>
      </c>
    </row>
    <row r="173" spans="1:14" x14ac:dyDescent="0.25">
      <c r="A173" t="s">
        <v>562</v>
      </c>
      <c r="B173" t="s">
        <v>561</v>
      </c>
      <c r="C173">
        <v>8</v>
      </c>
      <c r="D173">
        <v>43.28</v>
      </c>
      <c r="E173">
        <v>0</v>
      </c>
      <c r="F173">
        <v>0</v>
      </c>
      <c r="G173">
        <v>0</v>
      </c>
      <c r="H173">
        <v>8</v>
      </c>
      <c r="I173">
        <v>43.28</v>
      </c>
      <c r="J173">
        <v>46</v>
      </c>
      <c r="K173">
        <v>358.41999999999996</v>
      </c>
      <c r="L173">
        <v>3</v>
      </c>
      <c r="M173">
        <v>-315.14</v>
      </c>
      <c r="N173">
        <v>-2.5148525950005602</v>
      </c>
    </row>
    <row r="174" spans="1:14" x14ac:dyDescent="0.25">
      <c r="A174" t="s">
        <v>127</v>
      </c>
      <c r="B174" t="s">
        <v>126</v>
      </c>
      <c r="C174">
        <v>221</v>
      </c>
      <c r="D174">
        <v>5451.99</v>
      </c>
      <c r="E174">
        <v>404</v>
      </c>
      <c r="F174">
        <v>11822.600000000002</v>
      </c>
      <c r="G174">
        <v>2.1290547247715694</v>
      </c>
      <c r="H174">
        <v>625</v>
      </c>
      <c r="I174">
        <v>17274.590000000004</v>
      </c>
      <c r="J174">
        <v>830</v>
      </c>
      <c r="K174">
        <v>18552.28</v>
      </c>
      <c r="L174">
        <v>3</v>
      </c>
      <c r="M174">
        <v>-1277.6899999999969</v>
      </c>
      <c r="N174">
        <v>-0.21748224944920802</v>
      </c>
    </row>
    <row r="175" spans="1:14" x14ac:dyDescent="0.25">
      <c r="A175" t="s">
        <v>680</v>
      </c>
      <c r="B175" t="s">
        <v>681</v>
      </c>
      <c r="C175">
        <v>0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</row>
    <row r="176" spans="1:14" x14ac:dyDescent="0.25">
      <c r="A176" t="s">
        <v>482</v>
      </c>
      <c r="B176" t="s">
        <v>481</v>
      </c>
      <c r="C176">
        <v>77</v>
      </c>
      <c r="D176">
        <v>3057.9400000000005</v>
      </c>
      <c r="E176">
        <v>7</v>
      </c>
      <c r="F176">
        <v>419.29999999999995</v>
      </c>
      <c r="G176">
        <v>0.30819786432163382</v>
      </c>
      <c r="H176">
        <v>84</v>
      </c>
      <c r="I176">
        <v>3477.24</v>
      </c>
      <c r="J176">
        <v>49</v>
      </c>
      <c r="K176">
        <v>2194.34</v>
      </c>
      <c r="L176">
        <v>3</v>
      </c>
      <c r="M176">
        <v>1282.9000000000001</v>
      </c>
      <c r="N176">
        <v>2.2942394412629095</v>
      </c>
    </row>
    <row r="177" spans="1:14" x14ac:dyDescent="0.25">
      <c r="A177" t="s">
        <v>682</v>
      </c>
      <c r="B177" t="s">
        <v>683</v>
      </c>
      <c r="C177">
        <v>0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</row>
    <row r="178" spans="1:14" x14ac:dyDescent="0.25">
      <c r="A178" t="s">
        <v>129</v>
      </c>
      <c r="B178" t="s">
        <v>128</v>
      </c>
      <c r="C178">
        <v>0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0</v>
      </c>
      <c r="L178">
        <v>3</v>
      </c>
      <c r="M178">
        <v>0</v>
      </c>
    </row>
    <row r="179" spans="1:14" x14ac:dyDescent="0.25">
      <c r="A179" t="s">
        <v>684</v>
      </c>
      <c r="B179" t="s">
        <v>685</v>
      </c>
      <c r="C179">
        <v>0</v>
      </c>
      <c r="D179">
        <v>0</v>
      </c>
      <c r="E179">
        <v>0</v>
      </c>
      <c r="F179">
        <v>0</v>
      </c>
      <c r="H179">
        <v>0</v>
      </c>
      <c r="I179">
        <v>0</v>
      </c>
      <c r="J179">
        <v>1</v>
      </c>
      <c r="K179">
        <v>47.98</v>
      </c>
      <c r="L179">
        <v>3</v>
      </c>
      <c r="M179">
        <v>-47.98</v>
      </c>
      <c r="N179">
        <v>-1</v>
      </c>
    </row>
    <row r="180" spans="1:14" x14ac:dyDescent="0.25">
      <c r="A180" t="s">
        <v>548</v>
      </c>
      <c r="B180" t="s">
        <v>547</v>
      </c>
      <c r="C180">
        <v>10</v>
      </c>
      <c r="D180">
        <v>198.76</v>
      </c>
      <c r="E180">
        <v>0</v>
      </c>
      <c r="F180">
        <v>0</v>
      </c>
      <c r="G180">
        <v>0</v>
      </c>
      <c r="H180">
        <v>10</v>
      </c>
      <c r="I180">
        <v>198.76</v>
      </c>
      <c r="J180">
        <v>21</v>
      </c>
      <c r="K180">
        <v>421.26</v>
      </c>
      <c r="L180">
        <v>3</v>
      </c>
      <c r="M180">
        <v>-222.5</v>
      </c>
      <c r="N180">
        <v>-1.4873793621654194</v>
      </c>
    </row>
    <row r="181" spans="1:14" x14ac:dyDescent="0.25">
      <c r="A181" t="s">
        <v>131</v>
      </c>
      <c r="B181" t="s">
        <v>130</v>
      </c>
      <c r="C181">
        <v>0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</row>
    <row r="182" spans="1:14" x14ac:dyDescent="0.25">
      <c r="A182" t="s">
        <v>564</v>
      </c>
      <c r="B182" t="s">
        <v>563</v>
      </c>
      <c r="C182">
        <v>0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0</v>
      </c>
      <c r="K182">
        <v>0</v>
      </c>
      <c r="L182">
        <v>3</v>
      </c>
      <c r="M182">
        <v>0</v>
      </c>
    </row>
    <row r="183" spans="1:14" x14ac:dyDescent="0.25">
      <c r="A183" t="s">
        <v>686</v>
      </c>
      <c r="B183" t="s">
        <v>687</v>
      </c>
      <c r="C183">
        <v>0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</row>
    <row r="184" spans="1:14" x14ac:dyDescent="0.25">
      <c r="A184" t="s">
        <v>566</v>
      </c>
      <c r="B184" t="s">
        <v>565</v>
      </c>
      <c r="C184">
        <v>0</v>
      </c>
      <c r="D184">
        <v>0</v>
      </c>
      <c r="E184">
        <v>78</v>
      </c>
      <c r="F184">
        <v>6222.6100000000033</v>
      </c>
      <c r="G184">
        <v>3</v>
      </c>
      <c r="H184">
        <v>78</v>
      </c>
      <c r="I184">
        <v>6222.6100000000033</v>
      </c>
      <c r="J184">
        <v>0</v>
      </c>
      <c r="K184">
        <v>0</v>
      </c>
      <c r="L184">
        <v>3</v>
      </c>
      <c r="M184">
        <v>6222.6100000000033</v>
      </c>
    </row>
    <row r="185" spans="1:14" x14ac:dyDescent="0.25">
      <c r="A185" t="s">
        <v>133</v>
      </c>
      <c r="B185" t="s">
        <v>132</v>
      </c>
      <c r="C185">
        <v>0</v>
      </c>
      <c r="D185">
        <v>0</v>
      </c>
      <c r="E185">
        <v>4</v>
      </c>
      <c r="F185">
        <v>199.6</v>
      </c>
      <c r="G185">
        <v>2</v>
      </c>
      <c r="H185">
        <v>4</v>
      </c>
      <c r="I185">
        <v>199.6</v>
      </c>
      <c r="J185">
        <v>0</v>
      </c>
      <c r="K185">
        <v>0</v>
      </c>
      <c r="L185">
        <v>3</v>
      </c>
      <c r="M185">
        <v>199.6</v>
      </c>
    </row>
    <row r="186" spans="1:14" x14ac:dyDescent="0.25">
      <c r="A186" t="s">
        <v>135</v>
      </c>
      <c r="B186" t="s">
        <v>134</v>
      </c>
      <c r="C186">
        <v>15</v>
      </c>
      <c r="D186">
        <v>391.77</v>
      </c>
      <c r="E186">
        <v>0</v>
      </c>
      <c r="F186">
        <v>0</v>
      </c>
      <c r="G186">
        <v>0</v>
      </c>
      <c r="H186">
        <v>15</v>
      </c>
      <c r="I186">
        <v>391.77</v>
      </c>
      <c r="J186">
        <v>98</v>
      </c>
      <c r="K186">
        <v>2300.81</v>
      </c>
      <c r="L186">
        <v>3</v>
      </c>
      <c r="M186">
        <v>-1909.04</v>
      </c>
      <c r="N186">
        <v>-2.2661623087854257</v>
      </c>
    </row>
    <row r="187" spans="1:14" x14ac:dyDescent="0.25">
      <c r="A187" t="s">
        <v>520</v>
      </c>
      <c r="B187" t="s">
        <v>519</v>
      </c>
      <c r="C187">
        <v>-14</v>
      </c>
      <c r="D187">
        <v>-837.39</v>
      </c>
      <c r="E187">
        <v>0</v>
      </c>
      <c r="F187">
        <v>0</v>
      </c>
      <c r="G187">
        <v>0</v>
      </c>
      <c r="H187">
        <v>-14</v>
      </c>
      <c r="I187">
        <v>-837.39</v>
      </c>
      <c r="J187">
        <v>164</v>
      </c>
      <c r="K187">
        <v>10219.66</v>
      </c>
      <c r="L187">
        <v>3</v>
      </c>
      <c r="M187">
        <v>-11057.05</v>
      </c>
      <c r="N187">
        <v>-3.2811634388773934</v>
      </c>
    </row>
    <row r="188" spans="1:14" x14ac:dyDescent="0.25">
      <c r="A188" t="s">
        <v>688</v>
      </c>
      <c r="B188" t="s">
        <v>689</v>
      </c>
      <c r="C188">
        <v>0</v>
      </c>
      <c r="D188">
        <v>0</v>
      </c>
      <c r="E188">
        <v>0</v>
      </c>
      <c r="F188">
        <v>0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</row>
    <row r="189" spans="1:14" x14ac:dyDescent="0.25">
      <c r="A189" t="s">
        <v>137</v>
      </c>
      <c r="B189" t="s">
        <v>136</v>
      </c>
      <c r="C189">
        <v>51</v>
      </c>
      <c r="D189">
        <v>2965.3399999999997</v>
      </c>
      <c r="E189">
        <v>0</v>
      </c>
      <c r="F189">
        <v>0</v>
      </c>
      <c r="G189">
        <v>0</v>
      </c>
      <c r="H189">
        <v>51</v>
      </c>
      <c r="I189">
        <v>2965.3399999999997</v>
      </c>
      <c r="J189">
        <v>78</v>
      </c>
      <c r="K189">
        <v>4504.68</v>
      </c>
      <c r="L189">
        <v>3</v>
      </c>
      <c r="M189">
        <v>-1539.3400000000001</v>
      </c>
      <c r="N189">
        <v>-0.39413055514716722</v>
      </c>
    </row>
    <row r="190" spans="1:14" x14ac:dyDescent="0.25">
      <c r="A190" t="s">
        <v>816</v>
      </c>
      <c r="B190" t="s">
        <v>817</v>
      </c>
      <c r="C190">
        <v>0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</row>
    <row r="191" spans="1:14" x14ac:dyDescent="0.25">
      <c r="A191" t="s">
        <v>139</v>
      </c>
      <c r="B191" t="s">
        <v>138</v>
      </c>
      <c r="C191">
        <v>852</v>
      </c>
      <c r="D191">
        <v>10785.9</v>
      </c>
      <c r="E191">
        <v>155</v>
      </c>
      <c r="F191">
        <v>2309.5000000000064</v>
      </c>
      <c r="G191">
        <v>0.63183092811709252</v>
      </c>
      <c r="H191">
        <v>1007</v>
      </c>
      <c r="I191">
        <v>13095.400000000005</v>
      </c>
      <c r="J191">
        <v>6903</v>
      </c>
      <c r="K191">
        <v>84282.26999999999</v>
      </c>
      <c r="L191">
        <v>3</v>
      </c>
      <c r="M191">
        <v>-71186.87</v>
      </c>
      <c r="N191">
        <v>-2.4800371900012355</v>
      </c>
    </row>
    <row r="192" spans="1:14" x14ac:dyDescent="0.25">
      <c r="A192" t="s">
        <v>690</v>
      </c>
      <c r="B192" t="s">
        <v>691</v>
      </c>
      <c r="C192">
        <v>0</v>
      </c>
      <c r="D192">
        <v>0</v>
      </c>
      <c r="E192">
        <v>0</v>
      </c>
      <c r="F192">
        <v>0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</row>
    <row r="193" spans="1:14" x14ac:dyDescent="0.25">
      <c r="A193" t="s">
        <v>484</v>
      </c>
      <c r="B193" t="s">
        <v>483</v>
      </c>
      <c r="C193">
        <v>10</v>
      </c>
      <c r="D193">
        <v>224.56000000000003</v>
      </c>
      <c r="E193">
        <v>0</v>
      </c>
      <c r="F193">
        <v>0</v>
      </c>
      <c r="G193">
        <v>0</v>
      </c>
      <c r="H193">
        <v>10</v>
      </c>
      <c r="I193">
        <v>224.56000000000003</v>
      </c>
      <c r="J193">
        <v>18</v>
      </c>
      <c r="K193">
        <v>355.32</v>
      </c>
      <c r="L193">
        <v>3</v>
      </c>
      <c r="M193">
        <v>-130.76</v>
      </c>
      <c r="N193">
        <v>-0.80439280939212621</v>
      </c>
    </row>
    <row r="194" spans="1:14" x14ac:dyDescent="0.25">
      <c r="A194" t="s">
        <v>692</v>
      </c>
      <c r="B194" t="s">
        <v>693</v>
      </c>
      <c r="C194">
        <v>0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3</v>
      </c>
      <c r="K194">
        <v>61.23</v>
      </c>
      <c r="L194">
        <v>3</v>
      </c>
      <c r="M194">
        <v>-61.23</v>
      </c>
      <c r="N194">
        <v>-1</v>
      </c>
    </row>
    <row r="195" spans="1:14" x14ac:dyDescent="0.25">
      <c r="A195" t="s">
        <v>141</v>
      </c>
      <c r="B195" t="s">
        <v>140</v>
      </c>
      <c r="C195">
        <v>0</v>
      </c>
      <c r="D195">
        <v>0</v>
      </c>
      <c r="E195">
        <v>168</v>
      </c>
      <c r="F195">
        <v>10733.200000000004</v>
      </c>
      <c r="G195">
        <v>3</v>
      </c>
      <c r="H195">
        <v>168</v>
      </c>
      <c r="I195">
        <v>10733.200000000004</v>
      </c>
      <c r="J195">
        <v>0</v>
      </c>
      <c r="K195">
        <v>0</v>
      </c>
      <c r="L195">
        <v>3</v>
      </c>
      <c r="M195">
        <v>10733.200000000004</v>
      </c>
    </row>
    <row r="196" spans="1:14" x14ac:dyDescent="0.25">
      <c r="A196" t="s">
        <v>143</v>
      </c>
      <c r="B196" t="s">
        <v>142</v>
      </c>
      <c r="C196">
        <v>2</v>
      </c>
      <c r="D196">
        <v>49.76</v>
      </c>
      <c r="E196">
        <v>175</v>
      </c>
      <c r="F196">
        <v>5246.9400000000041</v>
      </c>
      <c r="G196">
        <v>2.9661061948039769</v>
      </c>
      <c r="H196">
        <v>177</v>
      </c>
      <c r="I196">
        <v>5296.7000000000044</v>
      </c>
      <c r="J196">
        <v>1988</v>
      </c>
      <c r="K196">
        <v>40573.86</v>
      </c>
      <c r="L196">
        <v>3</v>
      </c>
      <c r="M196">
        <v>-35277.159999999996</v>
      </c>
      <c r="N196">
        <v>-2.5483380599897045</v>
      </c>
    </row>
    <row r="197" spans="1:14" x14ac:dyDescent="0.25">
      <c r="A197" t="s">
        <v>145</v>
      </c>
      <c r="B197" t="s">
        <v>144</v>
      </c>
      <c r="C197">
        <v>67</v>
      </c>
      <c r="D197">
        <v>1630.74</v>
      </c>
      <c r="E197">
        <v>0</v>
      </c>
      <c r="F197">
        <v>0</v>
      </c>
      <c r="G197">
        <v>0</v>
      </c>
      <c r="H197">
        <v>67</v>
      </c>
      <c r="I197">
        <v>1630.74</v>
      </c>
      <c r="J197">
        <v>457</v>
      </c>
      <c r="K197">
        <v>11201.07</v>
      </c>
      <c r="L197">
        <v>3</v>
      </c>
      <c r="M197">
        <v>-9570.33</v>
      </c>
      <c r="N197">
        <v>-2.5275543926260835</v>
      </c>
    </row>
    <row r="198" spans="1:14" x14ac:dyDescent="0.25">
      <c r="A198" t="s">
        <v>694</v>
      </c>
      <c r="B198" t="s">
        <v>695</v>
      </c>
      <c r="C198">
        <v>0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-3</v>
      </c>
      <c r="K198">
        <v>-48.929999999999993</v>
      </c>
      <c r="L198">
        <v>3</v>
      </c>
      <c r="M198">
        <v>48.929999999999993</v>
      </c>
      <c r="N198">
        <v>-2</v>
      </c>
    </row>
    <row r="199" spans="1:14" x14ac:dyDescent="0.25">
      <c r="A199" t="s">
        <v>147</v>
      </c>
      <c r="B199" t="s">
        <v>146</v>
      </c>
      <c r="C199">
        <v>17</v>
      </c>
      <c r="D199">
        <v>83.47</v>
      </c>
      <c r="E199">
        <v>0</v>
      </c>
      <c r="F199">
        <v>0</v>
      </c>
      <c r="G199">
        <v>0</v>
      </c>
      <c r="H199">
        <v>17</v>
      </c>
      <c r="I199">
        <v>83.47</v>
      </c>
      <c r="J199">
        <v>47</v>
      </c>
      <c r="K199">
        <v>268.74</v>
      </c>
      <c r="L199">
        <v>3</v>
      </c>
      <c r="M199">
        <v>-185.27</v>
      </c>
      <c r="N199">
        <v>-0.38948674829430385</v>
      </c>
    </row>
    <row r="200" spans="1:14" x14ac:dyDescent="0.25">
      <c r="A200" t="s">
        <v>149</v>
      </c>
      <c r="B200" t="s">
        <v>148</v>
      </c>
      <c r="C200">
        <v>2</v>
      </c>
      <c r="D200">
        <v>15.24</v>
      </c>
      <c r="E200">
        <v>0</v>
      </c>
      <c r="F200">
        <v>0</v>
      </c>
      <c r="G200">
        <v>0</v>
      </c>
      <c r="H200">
        <v>2</v>
      </c>
      <c r="I200">
        <v>15.24</v>
      </c>
      <c r="J200">
        <v>201</v>
      </c>
      <c r="K200">
        <v>1469.68</v>
      </c>
      <c r="L200">
        <v>3</v>
      </c>
      <c r="M200">
        <v>-1454.44</v>
      </c>
      <c r="N200">
        <v>-2.9719763050721957</v>
      </c>
    </row>
    <row r="201" spans="1:14" x14ac:dyDescent="0.25">
      <c r="A201" t="s">
        <v>550</v>
      </c>
      <c r="B201" t="s">
        <v>549</v>
      </c>
      <c r="C201">
        <v>106</v>
      </c>
      <c r="D201">
        <v>666.8</v>
      </c>
      <c r="E201">
        <v>0</v>
      </c>
      <c r="F201">
        <v>0</v>
      </c>
      <c r="G201">
        <v>0</v>
      </c>
      <c r="H201">
        <v>106</v>
      </c>
      <c r="I201">
        <v>666.8</v>
      </c>
      <c r="J201">
        <v>166</v>
      </c>
      <c r="K201">
        <v>681.8</v>
      </c>
      <c r="L201">
        <v>3</v>
      </c>
      <c r="M201">
        <v>-15</v>
      </c>
      <c r="N201">
        <v>3.126262110612485</v>
      </c>
    </row>
    <row r="202" spans="1:14" x14ac:dyDescent="0.25">
      <c r="A202" t="s">
        <v>151</v>
      </c>
      <c r="B202" t="s">
        <v>150</v>
      </c>
      <c r="C202">
        <v>88</v>
      </c>
      <c r="D202">
        <v>576.4</v>
      </c>
      <c r="E202">
        <v>0</v>
      </c>
      <c r="F202">
        <v>0</v>
      </c>
      <c r="G202">
        <v>0</v>
      </c>
      <c r="H202">
        <v>88</v>
      </c>
      <c r="I202">
        <v>576.4</v>
      </c>
      <c r="J202">
        <v>561</v>
      </c>
      <c r="K202">
        <v>2199.8000000000002</v>
      </c>
      <c r="L202">
        <v>3</v>
      </c>
      <c r="M202">
        <v>-1623.4</v>
      </c>
      <c r="N202">
        <v>-1.234331229259461</v>
      </c>
    </row>
    <row r="203" spans="1:14" x14ac:dyDescent="0.25">
      <c r="A203" t="s">
        <v>153</v>
      </c>
      <c r="B203" t="s">
        <v>152</v>
      </c>
      <c r="C203">
        <v>232</v>
      </c>
      <c r="D203">
        <v>1409.5</v>
      </c>
      <c r="E203">
        <v>0</v>
      </c>
      <c r="F203">
        <v>0</v>
      </c>
      <c r="G203">
        <v>0</v>
      </c>
      <c r="H203">
        <v>232</v>
      </c>
      <c r="I203">
        <v>1409.5</v>
      </c>
      <c r="J203">
        <v>396</v>
      </c>
      <c r="K203">
        <v>1729.23</v>
      </c>
      <c r="L203">
        <v>3</v>
      </c>
      <c r="M203">
        <v>-319.72999999999996</v>
      </c>
      <c r="N203">
        <v>-0.41421128333705581</v>
      </c>
    </row>
    <row r="204" spans="1:14" x14ac:dyDescent="0.25">
      <c r="A204" t="s">
        <v>486</v>
      </c>
      <c r="B204" t="s">
        <v>485</v>
      </c>
      <c r="C204">
        <v>0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</row>
    <row r="205" spans="1:14" x14ac:dyDescent="0.25">
      <c r="A205" t="s">
        <v>568</v>
      </c>
      <c r="B205" t="s">
        <v>567</v>
      </c>
      <c r="C205">
        <v>117</v>
      </c>
      <c r="D205">
        <v>1549.9899999999998</v>
      </c>
      <c r="E205">
        <v>0</v>
      </c>
      <c r="F205">
        <v>0</v>
      </c>
      <c r="G205">
        <v>0</v>
      </c>
      <c r="H205">
        <v>117</v>
      </c>
      <c r="I205">
        <v>1549.9899999999998</v>
      </c>
      <c r="J205">
        <v>92</v>
      </c>
      <c r="K205">
        <v>1449.73</v>
      </c>
      <c r="L205">
        <v>3</v>
      </c>
      <c r="M205">
        <v>100.25999999999988</v>
      </c>
      <c r="N205">
        <v>1.3664555470498876</v>
      </c>
    </row>
    <row r="206" spans="1:14" x14ac:dyDescent="0.25">
      <c r="A206" t="s">
        <v>155</v>
      </c>
      <c r="B206" t="s">
        <v>154</v>
      </c>
      <c r="C206">
        <v>5</v>
      </c>
      <c r="D206">
        <v>33.400000000000006</v>
      </c>
      <c r="E206">
        <v>0</v>
      </c>
      <c r="F206">
        <v>0</v>
      </c>
      <c r="G206">
        <v>0</v>
      </c>
      <c r="H206">
        <v>5</v>
      </c>
      <c r="I206">
        <v>33.400000000000006</v>
      </c>
      <c r="J206">
        <v>1</v>
      </c>
      <c r="K206">
        <v>8.11</v>
      </c>
      <c r="L206">
        <v>3</v>
      </c>
      <c r="M206">
        <v>25.290000000000003</v>
      </c>
      <c r="N206">
        <v>-0.26263871763255231</v>
      </c>
    </row>
    <row r="207" spans="1:14" x14ac:dyDescent="0.25">
      <c r="A207" t="s">
        <v>696</v>
      </c>
      <c r="B207" t="s">
        <v>697</v>
      </c>
      <c r="C207">
        <v>0</v>
      </c>
      <c r="D207">
        <v>0</v>
      </c>
      <c r="E207">
        <v>0</v>
      </c>
      <c r="F207">
        <v>0</v>
      </c>
      <c r="H207">
        <v>0</v>
      </c>
      <c r="I207">
        <v>0</v>
      </c>
      <c r="J207">
        <v>136</v>
      </c>
      <c r="K207">
        <v>2220.0700000000002</v>
      </c>
      <c r="L207">
        <v>3</v>
      </c>
      <c r="M207">
        <v>-2220.0700000000002</v>
      </c>
      <c r="N207">
        <v>-3</v>
      </c>
    </row>
    <row r="208" spans="1:14" x14ac:dyDescent="0.25">
      <c r="A208" t="s">
        <v>552</v>
      </c>
      <c r="B208" t="s">
        <v>551</v>
      </c>
      <c r="C208">
        <v>59</v>
      </c>
      <c r="D208">
        <v>1445.8600000000001</v>
      </c>
      <c r="E208">
        <v>1</v>
      </c>
      <c r="F208">
        <v>29.9</v>
      </c>
      <c r="G208">
        <v>4.6526102855364508E-2</v>
      </c>
      <c r="H208">
        <v>60</v>
      </c>
      <c r="I208">
        <v>1475.76</v>
      </c>
      <c r="J208">
        <v>249</v>
      </c>
      <c r="K208">
        <v>5594.59</v>
      </c>
      <c r="L208">
        <v>3</v>
      </c>
      <c r="M208">
        <v>-4118.83</v>
      </c>
      <c r="N208">
        <v>-2.2192977153890916</v>
      </c>
    </row>
    <row r="209" spans="1:14" x14ac:dyDescent="0.25">
      <c r="A209" t="s">
        <v>157</v>
      </c>
      <c r="B209" t="s">
        <v>156</v>
      </c>
      <c r="C209">
        <v>16</v>
      </c>
      <c r="D209">
        <v>260.95999999999998</v>
      </c>
      <c r="E209">
        <v>0</v>
      </c>
      <c r="F209">
        <v>0</v>
      </c>
      <c r="G209">
        <v>0</v>
      </c>
      <c r="H209">
        <v>16</v>
      </c>
      <c r="I209">
        <v>260.95999999999998</v>
      </c>
      <c r="J209">
        <v>0</v>
      </c>
      <c r="K209">
        <v>0</v>
      </c>
      <c r="L209">
        <v>3</v>
      </c>
      <c r="M209">
        <v>260.95999999999998</v>
      </c>
    </row>
    <row r="210" spans="1:14" x14ac:dyDescent="0.25">
      <c r="A210" t="s">
        <v>159</v>
      </c>
      <c r="B210" t="s">
        <v>158</v>
      </c>
      <c r="C210">
        <v>0</v>
      </c>
      <c r="D210">
        <v>0</v>
      </c>
      <c r="E210">
        <v>0</v>
      </c>
      <c r="F210">
        <v>0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</row>
    <row r="211" spans="1:14" x14ac:dyDescent="0.25">
      <c r="A211" t="s">
        <v>161</v>
      </c>
      <c r="B211" t="s">
        <v>160</v>
      </c>
      <c r="C211">
        <v>152</v>
      </c>
      <c r="D211">
        <v>984.82</v>
      </c>
      <c r="E211">
        <v>0</v>
      </c>
      <c r="F211">
        <v>0</v>
      </c>
      <c r="G211">
        <v>0</v>
      </c>
      <c r="H211">
        <v>152</v>
      </c>
      <c r="I211">
        <v>984.82</v>
      </c>
      <c r="J211">
        <v>480</v>
      </c>
      <c r="K211">
        <v>3375.95</v>
      </c>
      <c r="L211">
        <v>3</v>
      </c>
      <c r="M211">
        <v>-2391.13</v>
      </c>
      <c r="N211">
        <v>-1.9662088122144445</v>
      </c>
    </row>
    <row r="212" spans="1:14" x14ac:dyDescent="0.25">
      <c r="A212" t="s">
        <v>163</v>
      </c>
      <c r="B212" t="s">
        <v>162</v>
      </c>
      <c r="C212">
        <v>36</v>
      </c>
      <c r="D212">
        <v>470.74</v>
      </c>
      <c r="E212">
        <v>0</v>
      </c>
      <c r="F212">
        <v>0</v>
      </c>
      <c r="G212">
        <v>0</v>
      </c>
      <c r="H212">
        <v>36</v>
      </c>
      <c r="I212">
        <v>470.74</v>
      </c>
      <c r="J212">
        <v>2347</v>
      </c>
      <c r="K212">
        <v>28649.1</v>
      </c>
      <c r="L212">
        <v>3</v>
      </c>
      <c r="M212">
        <v>-28178.36</v>
      </c>
      <c r="N212">
        <v>-2.9487835018112012</v>
      </c>
    </row>
    <row r="213" spans="1:14" x14ac:dyDescent="0.25">
      <c r="A213" t="s">
        <v>165</v>
      </c>
      <c r="B213" t="s">
        <v>164</v>
      </c>
      <c r="C213">
        <v>22</v>
      </c>
      <c r="D213">
        <v>449.02</v>
      </c>
      <c r="E213">
        <v>0</v>
      </c>
      <c r="F213">
        <v>0</v>
      </c>
      <c r="G213">
        <v>0</v>
      </c>
      <c r="H213">
        <v>22</v>
      </c>
      <c r="I213">
        <v>449.02</v>
      </c>
      <c r="J213">
        <v>0</v>
      </c>
      <c r="K213">
        <v>0</v>
      </c>
      <c r="L213">
        <v>3</v>
      </c>
      <c r="M213">
        <v>449.02</v>
      </c>
    </row>
    <row r="214" spans="1:14" x14ac:dyDescent="0.25">
      <c r="A214" t="s">
        <v>167</v>
      </c>
      <c r="B214" t="s">
        <v>166</v>
      </c>
      <c r="C214">
        <v>127</v>
      </c>
      <c r="D214">
        <v>646.71</v>
      </c>
      <c r="E214">
        <v>0</v>
      </c>
      <c r="F214">
        <v>0</v>
      </c>
      <c r="G214">
        <v>0</v>
      </c>
      <c r="H214">
        <v>127</v>
      </c>
      <c r="I214">
        <v>646.71</v>
      </c>
      <c r="J214">
        <v>520</v>
      </c>
      <c r="K214">
        <v>2518.4499999999998</v>
      </c>
      <c r="L214">
        <v>3</v>
      </c>
      <c r="M214">
        <v>-1871.7399999999998</v>
      </c>
      <c r="N214">
        <v>-2.2220746774134099</v>
      </c>
    </row>
    <row r="215" spans="1:14" x14ac:dyDescent="0.25">
      <c r="A215" t="s">
        <v>698</v>
      </c>
      <c r="B215" t="s">
        <v>699</v>
      </c>
      <c r="C215">
        <v>0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</row>
    <row r="216" spans="1:14" x14ac:dyDescent="0.25">
      <c r="A216" t="s">
        <v>169</v>
      </c>
      <c r="B216" t="s">
        <v>168</v>
      </c>
      <c r="C216">
        <v>4</v>
      </c>
      <c r="D216">
        <v>57.82</v>
      </c>
      <c r="E216">
        <v>0</v>
      </c>
      <c r="F216">
        <v>0</v>
      </c>
      <c r="G216">
        <v>0</v>
      </c>
      <c r="H216">
        <v>4</v>
      </c>
      <c r="I216">
        <v>57.82</v>
      </c>
      <c r="J216">
        <v>26</v>
      </c>
      <c r="K216">
        <v>248.36</v>
      </c>
      <c r="L216">
        <v>3</v>
      </c>
      <c r="M216">
        <v>-190.54000000000002</v>
      </c>
      <c r="N216">
        <v>-2.4009308294650684</v>
      </c>
    </row>
    <row r="217" spans="1:14" x14ac:dyDescent="0.25">
      <c r="A217" t="s">
        <v>171</v>
      </c>
      <c r="B217" t="s">
        <v>170</v>
      </c>
      <c r="C217">
        <v>293</v>
      </c>
      <c r="D217">
        <v>4407.8900000000003</v>
      </c>
      <c r="E217">
        <v>4</v>
      </c>
      <c r="F217">
        <v>91.6</v>
      </c>
      <c r="G217">
        <v>0.11385670959081191</v>
      </c>
      <c r="H217">
        <v>297</v>
      </c>
      <c r="I217">
        <v>4499.49</v>
      </c>
      <c r="J217">
        <v>744</v>
      </c>
      <c r="K217">
        <v>10960.470000000001</v>
      </c>
      <c r="L217">
        <v>3</v>
      </c>
      <c r="M217">
        <v>-6460.98</v>
      </c>
      <c r="N217">
        <v>-1.7802351199572701</v>
      </c>
    </row>
    <row r="218" spans="1:14" x14ac:dyDescent="0.25">
      <c r="A218" t="s">
        <v>173</v>
      </c>
      <c r="B218" t="s">
        <v>172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</row>
    <row r="219" spans="1:14" x14ac:dyDescent="0.25">
      <c r="A219" t="s">
        <v>700</v>
      </c>
      <c r="B219" t="s">
        <v>701</v>
      </c>
      <c r="C219">
        <v>-1</v>
      </c>
      <c r="D219">
        <v>-32.700000000000003</v>
      </c>
      <c r="E219">
        <v>0</v>
      </c>
      <c r="F219">
        <v>0</v>
      </c>
      <c r="G219">
        <v>0</v>
      </c>
      <c r="H219">
        <v>-1</v>
      </c>
      <c r="I219">
        <v>-32.700000000000003</v>
      </c>
      <c r="J219">
        <v>1</v>
      </c>
      <c r="K219">
        <v>31.89</v>
      </c>
      <c r="L219">
        <v>2</v>
      </c>
      <c r="M219">
        <v>-64.59</v>
      </c>
      <c r="N219">
        <v>-1</v>
      </c>
    </row>
    <row r="220" spans="1:14" x14ac:dyDescent="0.25">
      <c r="A220" t="s">
        <v>175</v>
      </c>
      <c r="B220" t="s">
        <v>174</v>
      </c>
      <c r="C220">
        <v>0</v>
      </c>
      <c r="D220">
        <v>0</v>
      </c>
      <c r="E220">
        <v>0</v>
      </c>
      <c r="F220">
        <v>0</v>
      </c>
      <c r="H220">
        <v>0</v>
      </c>
      <c r="I220">
        <v>0</v>
      </c>
      <c r="J220">
        <v>0</v>
      </c>
      <c r="K220">
        <v>0</v>
      </c>
      <c r="L220">
        <v>3</v>
      </c>
      <c r="M220">
        <v>0</v>
      </c>
    </row>
    <row r="221" spans="1:14" x14ac:dyDescent="0.25">
      <c r="A221" t="s">
        <v>702</v>
      </c>
      <c r="B221" t="s">
        <v>703</v>
      </c>
      <c r="C221">
        <v>0</v>
      </c>
      <c r="D221">
        <v>0</v>
      </c>
      <c r="E221">
        <v>0</v>
      </c>
      <c r="F221">
        <v>0</v>
      </c>
      <c r="H221">
        <v>0</v>
      </c>
      <c r="I221">
        <v>0</v>
      </c>
      <c r="J221">
        <v>0</v>
      </c>
      <c r="K221">
        <v>0</v>
      </c>
      <c r="L221">
        <v>3</v>
      </c>
      <c r="M221">
        <v>0</v>
      </c>
    </row>
    <row r="222" spans="1:14" x14ac:dyDescent="0.25">
      <c r="A222" t="s">
        <v>177</v>
      </c>
      <c r="B222" t="s">
        <v>176</v>
      </c>
      <c r="C222">
        <v>28</v>
      </c>
      <c r="D222">
        <v>1469.5</v>
      </c>
      <c r="E222">
        <v>0</v>
      </c>
      <c r="F222">
        <v>0</v>
      </c>
      <c r="G222">
        <v>0</v>
      </c>
      <c r="H222">
        <v>28</v>
      </c>
      <c r="I222">
        <v>1469.5</v>
      </c>
      <c r="J222">
        <v>1</v>
      </c>
      <c r="K222">
        <v>51.7</v>
      </c>
      <c r="L222">
        <v>3</v>
      </c>
      <c r="M222">
        <v>1417.7999999999997</v>
      </c>
      <c r="N222">
        <v>11.210831721470017</v>
      </c>
    </row>
    <row r="223" spans="1:14" x14ac:dyDescent="0.25">
      <c r="A223" t="s">
        <v>179</v>
      </c>
      <c r="B223" t="s">
        <v>178</v>
      </c>
      <c r="C223">
        <v>0</v>
      </c>
      <c r="D223">
        <v>0</v>
      </c>
      <c r="E223">
        <v>0</v>
      </c>
      <c r="F223">
        <v>0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</row>
    <row r="224" spans="1:14" x14ac:dyDescent="0.25">
      <c r="A224" t="s">
        <v>777</v>
      </c>
      <c r="B224" t="s">
        <v>778</v>
      </c>
      <c r="C224">
        <v>0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</row>
    <row r="225" spans="1:14" x14ac:dyDescent="0.25">
      <c r="A225" t="s">
        <v>181</v>
      </c>
      <c r="B225" t="s">
        <v>180</v>
      </c>
      <c r="C225">
        <v>98</v>
      </c>
      <c r="D225">
        <v>1196.5800000000002</v>
      </c>
      <c r="E225">
        <v>0</v>
      </c>
      <c r="F225">
        <v>0</v>
      </c>
      <c r="G225">
        <v>0</v>
      </c>
      <c r="H225">
        <v>98</v>
      </c>
      <c r="I225">
        <v>1196.5800000000002</v>
      </c>
      <c r="J225">
        <v>440</v>
      </c>
      <c r="K225">
        <v>4719.18</v>
      </c>
      <c r="L225">
        <v>3</v>
      </c>
      <c r="M225">
        <v>-3522.6000000000004</v>
      </c>
      <c r="N225">
        <v>-0.51449185690594723</v>
      </c>
    </row>
    <row r="226" spans="1:14" x14ac:dyDescent="0.25">
      <c r="A226" t="s">
        <v>183</v>
      </c>
      <c r="B226" t="s">
        <v>182</v>
      </c>
      <c r="C226">
        <v>0</v>
      </c>
      <c r="D226">
        <v>0</v>
      </c>
      <c r="E226">
        <v>0</v>
      </c>
      <c r="F226">
        <v>0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0</v>
      </c>
    </row>
    <row r="227" spans="1:14" x14ac:dyDescent="0.25">
      <c r="A227" t="s">
        <v>704</v>
      </c>
      <c r="B227" t="s">
        <v>705</v>
      </c>
      <c r="C227">
        <v>0</v>
      </c>
      <c r="D227">
        <v>0</v>
      </c>
      <c r="E227">
        <v>0</v>
      </c>
      <c r="F227">
        <v>0</v>
      </c>
      <c r="H227">
        <v>0</v>
      </c>
      <c r="I227">
        <v>0</v>
      </c>
      <c r="J227">
        <v>30</v>
      </c>
      <c r="K227">
        <v>624.28</v>
      </c>
      <c r="L227">
        <v>2</v>
      </c>
      <c r="M227">
        <v>-624.28</v>
      </c>
      <c r="N227">
        <v>-2</v>
      </c>
    </row>
    <row r="228" spans="1:14" x14ac:dyDescent="0.25">
      <c r="A228" t="s">
        <v>706</v>
      </c>
      <c r="B228" t="s">
        <v>707</v>
      </c>
      <c r="C228">
        <v>0</v>
      </c>
      <c r="D228">
        <v>0</v>
      </c>
      <c r="E228">
        <v>0</v>
      </c>
      <c r="F228">
        <v>0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</row>
    <row r="229" spans="1:14" x14ac:dyDescent="0.25">
      <c r="A229" t="s">
        <v>185</v>
      </c>
      <c r="B229" t="s">
        <v>184</v>
      </c>
      <c r="C229">
        <v>0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1366</v>
      </c>
      <c r="K229">
        <v>16762.939999999999</v>
      </c>
      <c r="L229">
        <v>3</v>
      </c>
      <c r="M229">
        <v>-16762.939999999999</v>
      </c>
      <c r="N229">
        <v>-3</v>
      </c>
    </row>
    <row r="230" spans="1:14" x14ac:dyDescent="0.25">
      <c r="A230" t="s">
        <v>187</v>
      </c>
      <c r="B230" t="s">
        <v>186</v>
      </c>
      <c r="C230">
        <v>31</v>
      </c>
      <c r="D230">
        <v>1013.7</v>
      </c>
      <c r="E230">
        <v>0</v>
      </c>
      <c r="F230">
        <v>0</v>
      </c>
      <c r="G230">
        <v>0</v>
      </c>
      <c r="H230">
        <v>31</v>
      </c>
      <c r="I230">
        <v>1013.7</v>
      </c>
      <c r="J230">
        <v>15</v>
      </c>
      <c r="K230">
        <v>463.90999999999997</v>
      </c>
      <c r="L230">
        <v>3</v>
      </c>
      <c r="M230">
        <v>549.79000000000008</v>
      </c>
      <c r="N230">
        <v>5.1061744585138049</v>
      </c>
    </row>
    <row r="231" spans="1:14" x14ac:dyDescent="0.25">
      <c r="A231" t="s">
        <v>708</v>
      </c>
      <c r="B231" t="s">
        <v>709</v>
      </c>
      <c r="C231">
        <v>0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</row>
    <row r="232" spans="1:14" x14ac:dyDescent="0.25">
      <c r="A232" t="s">
        <v>189</v>
      </c>
      <c r="B232" t="s">
        <v>188</v>
      </c>
      <c r="C232">
        <v>69</v>
      </c>
      <c r="D232">
        <v>897.62999999999988</v>
      </c>
      <c r="E232">
        <v>0</v>
      </c>
      <c r="F232">
        <v>0</v>
      </c>
      <c r="G232">
        <v>0</v>
      </c>
      <c r="H232">
        <v>69</v>
      </c>
      <c r="I232">
        <v>897.62999999999988</v>
      </c>
      <c r="J232">
        <v>275</v>
      </c>
      <c r="K232">
        <v>2652.55</v>
      </c>
      <c r="L232">
        <v>3</v>
      </c>
      <c r="M232">
        <v>-1754.9199999999998</v>
      </c>
      <c r="N232">
        <v>-1.9702789019941598</v>
      </c>
    </row>
    <row r="233" spans="1:14" x14ac:dyDescent="0.25">
      <c r="A233" t="s">
        <v>191</v>
      </c>
      <c r="B233" t="s">
        <v>190</v>
      </c>
      <c r="C233">
        <v>10</v>
      </c>
      <c r="D233">
        <v>220.5</v>
      </c>
      <c r="E233">
        <v>0</v>
      </c>
      <c r="F233">
        <v>0</v>
      </c>
      <c r="G233">
        <v>0</v>
      </c>
      <c r="H233">
        <v>10</v>
      </c>
      <c r="I233">
        <v>220.5</v>
      </c>
      <c r="J233">
        <v>31</v>
      </c>
      <c r="K233">
        <v>487.34</v>
      </c>
      <c r="L233">
        <v>3</v>
      </c>
      <c r="M233">
        <v>-266.83999999999997</v>
      </c>
      <c r="N233">
        <v>-1.1956182218902138</v>
      </c>
    </row>
    <row r="234" spans="1:14" x14ac:dyDescent="0.25">
      <c r="A234" t="s">
        <v>193</v>
      </c>
      <c r="B234" t="s">
        <v>192</v>
      </c>
      <c r="C234">
        <v>7</v>
      </c>
      <c r="D234">
        <v>68.25</v>
      </c>
      <c r="E234">
        <v>0</v>
      </c>
      <c r="F234">
        <v>0</v>
      </c>
      <c r="G234">
        <v>0</v>
      </c>
      <c r="H234">
        <v>7</v>
      </c>
      <c r="I234">
        <v>68.25</v>
      </c>
      <c r="J234">
        <v>7</v>
      </c>
      <c r="K234">
        <v>77.990000000000009</v>
      </c>
      <c r="L234">
        <v>3</v>
      </c>
      <c r="M234">
        <v>-9.740000000000002</v>
      </c>
      <c r="N234">
        <v>-0.43767255541281175</v>
      </c>
    </row>
    <row r="235" spans="1:14" x14ac:dyDescent="0.25">
      <c r="A235" t="s">
        <v>195</v>
      </c>
      <c r="B235" t="s">
        <v>194</v>
      </c>
      <c r="C235">
        <v>0</v>
      </c>
      <c r="D235">
        <v>0</v>
      </c>
      <c r="E235">
        <v>0</v>
      </c>
      <c r="F235">
        <v>0</v>
      </c>
      <c r="H235">
        <v>0</v>
      </c>
      <c r="I235">
        <v>0</v>
      </c>
      <c r="J235">
        <v>0</v>
      </c>
      <c r="K235">
        <v>0</v>
      </c>
      <c r="L235">
        <v>3</v>
      </c>
      <c r="M235">
        <v>0</v>
      </c>
    </row>
    <row r="236" spans="1:14" x14ac:dyDescent="0.25">
      <c r="A236" t="s">
        <v>197</v>
      </c>
      <c r="B236" t="s">
        <v>196</v>
      </c>
      <c r="C236">
        <v>0</v>
      </c>
      <c r="D236">
        <v>0</v>
      </c>
      <c r="E236">
        <v>0</v>
      </c>
      <c r="F236">
        <v>0</v>
      </c>
      <c r="H236">
        <v>0</v>
      </c>
      <c r="I236">
        <v>0</v>
      </c>
      <c r="J236">
        <v>4</v>
      </c>
      <c r="K236">
        <v>48.84</v>
      </c>
      <c r="L236">
        <v>3</v>
      </c>
      <c r="M236">
        <v>-48.84</v>
      </c>
      <c r="N236">
        <v>-3</v>
      </c>
    </row>
    <row r="237" spans="1:14" x14ac:dyDescent="0.25">
      <c r="A237" t="s">
        <v>199</v>
      </c>
      <c r="B237" t="s">
        <v>198</v>
      </c>
      <c r="C237">
        <v>0</v>
      </c>
      <c r="D237">
        <v>0</v>
      </c>
      <c r="E237">
        <v>0</v>
      </c>
      <c r="F237">
        <v>0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</row>
    <row r="238" spans="1:14" x14ac:dyDescent="0.25">
      <c r="A238" t="s">
        <v>201</v>
      </c>
      <c r="B238" t="s">
        <v>200</v>
      </c>
      <c r="C238">
        <v>28</v>
      </c>
      <c r="D238">
        <v>686.28</v>
      </c>
      <c r="E238">
        <v>6</v>
      </c>
      <c r="F238">
        <v>214.39999999999998</v>
      </c>
      <c r="G238">
        <v>0.81011152877513426</v>
      </c>
      <c r="H238">
        <v>34</v>
      </c>
      <c r="I238">
        <v>900.68000000000006</v>
      </c>
      <c r="J238">
        <v>63</v>
      </c>
      <c r="K238">
        <v>1635.1399999999999</v>
      </c>
      <c r="L238">
        <v>3</v>
      </c>
      <c r="M238">
        <v>-734.45999999999992</v>
      </c>
      <c r="N238">
        <v>-1.2946437402751305</v>
      </c>
    </row>
    <row r="239" spans="1:14" x14ac:dyDescent="0.25">
      <c r="A239" t="s">
        <v>203</v>
      </c>
      <c r="B239" t="s">
        <v>202</v>
      </c>
      <c r="C239">
        <v>6</v>
      </c>
      <c r="D239">
        <v>164.83999999999997</v>
      </c>
      <c r="E239">
        <v>0</v>
      </c>
      <c r="F239">
        <v>0</v>
      </c>
      <c r="G239">
        <v>0</v>
      </c>
      <c r="H239">
        <v>6</v>
      </c>
      <c r="I239">
        <v>164.83999999999997</v>
      </c>
      <c r="J239">
        <v>17</v>
      </c>
      <c r="K239">
        <v>448.97</v>
      </c>
      <c r="L239">
        <v>3</v>
      </c>
      <c r="M239">
        <v>-284.13</v>
      </c>
      <c r="N239">
        <v>-1.8632129109951143</v>
      </c>
    </row>
    <row r="240" spans="1:14" x14ac:dyDescent="0.25">
      <c r="A240" t="s">
        <v>205</v>
      </c>
      <c r="B240" t="s">
        <v>204</v>
      </c>
      <c r="C240">
        <v>0</v>
      </c>
      <c r="D240">
        <v>0</v>
      </c>
      <c r="E240">
        <v>0</v>
      </c>
      <c r="F240">
        <v>0</v>
      </c>
      <c r="H240">
        <v>0</v>
      </c>
      <c r="I240">
        <v>0</v>
      </c>
      <c r="J240">
        <v>44</v>
      </c>
      <c r="K240">
        <v>594.07000000000005</v>
      </c>
      <c r="L240">
        <v>3</v>
      </c>
      <c r="M240">
        <v>-594.07000000000005</v>
      </c>
      <c r="N240">
        <v>-3</v>
      </c>
    </row>
    <row r="241" spans="1:14" x14ac:dyDescent="0.25">
      <c r="A241" t="s">
        <v>207</v>
      </c>
      <c r="B241" t="s">
        <v>206</v>
      </c>
      <c r="C241">
        <v>31</v>
      </c>
      <c r="D241">
        <v>630.23</v>
      </c>
      <c r="E241">
        <v>0</v>
      </c>
      <c r="F241">
        <v>0</v>
      </c>
      <c r="G241">
        <v>0</v>
      </c>
      <c r="H241">
        <v>31</v>
      </c>
      <c r="I241">
        <v>630.23</v>
      </c>
      <c r="J241">
        <v>289</v>
      </c>
      <c r="K241">
        <v>5515.11</v>
      </c>
      <c r="L241">
        <v>3</v>
      </c>
      <c r="M241">
        <v>-4884.88</v>
      </c>
      <c r="N241">
        <v>-2.6377839040600608</v>
      </c>
    </row>
    <row r="242" spans="1:14" x14ac:dyDescent="0.25">
      <c r="A242" t="s">
        <v>209</v>
      </c>
      <c r="B242" t="s">
        <v>208</v>
      </c>
      <c r="C242">
        <v>0</v>
      </c>
      <c r="D242">
        <v>0</v>
      </c>
      <c r="E242">
        <v>0</v>
      </c>
      <c r="F242">
        <v>0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0</v>
      </c>
    </row>
    <row r="243" spans="1:14" x14ac:dyDescent="0.25">
      <c r="A243" t="s">
        <v>211</v>
      </c>
      <c r="B243" t="s">
        <v>210</v>
      </c>
      <c r="C243">
        <v>92</v>
      </c>
      <c r="D243">
        <v>1498.12</v>
      </c>
      <c r="E243">
        <v>28</v>
      </c>
      <c r="F243">
        <v>583.24999999999966</v>
      </c>
      <c r="G243">
        <v>0.58168694730134329</v>
      </c>
      <c r="H243">
        <v>120</v>
      </c>
      <c r="I243">
        <v>2081.37</v>
      </c>
      <c r="J243">
        <v>354</v>
      </c>
      <c r="K243">
        <v>5902.26</v>
      </c>
      <c r="L243">
        <v>3</v>
      </c>
      <c r="M243">
        <v>-3820.8900000000003</v>
      </c>
      <c r="N243">
        <v>-1.8722678578127421</v>
      </c>
    </row>
    <row r="244" spans="1:14" x14ac:dyDescent="0.25">
      <c r="A244" t="s">
        <v>213</v>
      </c>
      <c r="B244" t="s">
        <v>212</v>
      </c>
      <c r="C244">
        <v>0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0</v>
      </c>
    </row>
    <row r="245" spans="1:14" x14ac:dyDescent="0.25">
      <c r="A245" t="s">
        <v>215</v>
      </c>
      <c r="B245" t="s">
        <v>214</v>
      </c>
      <c r="C245">
        <v>34</v>
      </c>
      <c r="D245">
        <v>569.66</v>
      </c>
      <c r="E245">
        <v>0</v>
      </c>
      <c r="F245">
        <v>0</v>
      </c>
      <c r="G245">
        <v>0</v>
      </c>
      <c r="H245">
        <v>34</v>
      </c>
      <c r="I245">
        <v>569.66</v>
      </c>
      <c r="J245">
        <v>46</v>
      </c>
      <c r="K245">
        <v>804.56</v>
      </c>
      <c r="L245">
        <v>3</v>
      </c>
      <c r="M245">
        <v>-234.90000000000003</v>
      </c>
      <c r="N245">
        <v>-7.995771960832454E-2</v>
      </c>
    </row>
    <row r="246" spans="1:14" x14ac:dyDescent="0.25">
      <c r="A246" t="s">
        <v>217</v>
      </c>
      <c r="B246" t="s">
        <v>216</v>
      </c>
      <c r="C246">
        <v>407</v>
      </c>
      <c r="D246">
        <v>5660.36</v>
      </c>
      <c r="E246">
        <v>141</v>
      </c>
      <c r="F246">
        <v>3148.6700000000023</v>
      </c>
      <c r="G246">
        <v>1.2057377586785629</v>
      </c>
      <c r="H246">
        <v>548</v>
      </c>
      <c r="I246">
        <v>8809.0300000000025</v>
      </c>
      <c r="J246">
        <v>2042</v>
      </c>
      <c r="K246">
        <v>42605.630000000005</v>
      </c>
      <c r="L246">
        <v>3</v>
      </c>
      <c r="M246">
        <v>-33796.6</v>
      </c>
      <c r="N246">
        <v>-1.9309335530083207</v>
      </c>
    </row>
    <row r="247" spans="1:14" x14ac:dyDescent="0.25">
      <c r="A247" t="s">
        <v>219</v>
      </c>
      <c r="B247" t="s">
        <v>218</v>
      </c>
      <c r="C247">
        <v>78</v>
      </c>
      <c r="D247">
        <v>824.46</v>
      </c>
      <c r="E247">
        <v>0</v>
      </c>
      <c r="F247">
        <v>0</v>
      </c>
      <c r="G247">
        <v>0</v>
      </c>
      <c r="H247">
        <v>78</v>
      </c>
      <c r="I247">
        <v>824.46</v>
      </c>
      <c r="J247">
        <v>186</v>
      </c>
      <c r="K247">
        <v>3027.92</v>
      </c>
      <c r="L247">
        <v>3</v>
      </c>
      <c r="M247">
        <v>-2203.46</v>
      </c>
      <c r="N247">
        <v>-2.0583236818555384</v>
      </c>
    </row>
    <row r="248" spans="1:14" x14ac:dyDescent="0.25">
      <c r="A248" t="s">
        <v>221</v>
      </c>
      <c r="B248" t="s">
        <v>220</v>
      </c>
      <c r="C248">
        <v>4</v>
      </c>
      <c r="D248">
        <v>53.210000000000008</v>
      </c>
      <c r="E248">
        <v>0</v>
      </c>
      <c r="F248">
        <v>0</v>
      </c>
      <c r="G248">
        <v>0</v>
      </c>
      <c r="H248">
        <v>4</v>
      </c>
      <c r="I248">
        <v>53.210000000000008</v>
      </c>
      <c r="J248">
        <v>35</v>
      </c>
      <c r="K248">
        <v>464.97</v>
      </c>
      <c r="L248">
        <v>3</v>
      </c>
      <c r="M248">
        <v>-411.76</v>
      </c>
      <c r="N248">
        <v>-2.2288378667370652</v>
      </c>
    </row>
    <row r="249" spans="1:14" x14ac:dyDescent="0.25">
      <c r="A249" t="s">
        <v>710</v>
      </c>
      <c r="B249" t="s">
        <v>711</v>
      </c>
      <c r="C249">
        <v>0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2</v>
      </c>
      <c r="K249">
        <v>27.72</v>
      </c>
      <c r="L249">
        <v>3</v>
      </c>
      <c r="M249">
        <v>-27.72</v>
      </c>
      <c r="N249">
        <v>-1</v>
      </c>
    </row>
    <row r="250" spans="1:14" x14ac:dyDescent="0.25">
      <c r="A250" t="s">
        <v>712</v>
      </c>
      <c r="B250" t="s">
        <v>713</v>
      </c>
      <c r="C250">
        <v>0</v>
      </c>
      <c r="D250">
        <v>0</v>
      </c>
      <c r="E250">
        <v>267</v>
      </c>
      <c r="F250">
        <v>10658.299999999992</v>
      </c>
      <c r="G250">
        <v>3</v>
      </c>
      <c r="H250">
        <v>267</v>
      </c>
      <c r="I250">
        <v>10658.299999999992</v>
      </c>
      <c r="J250">
        <v>0</v>
      </c>
      <c r="K250">
        <v>0</v>
      </c>
      <c r="L250">
        <v>3</v>
      </c>
      <c r="M250">
        <v>10658.299999999992</v>
      </c>
    </row>
    <row r="251" spans="1:14" x14ac:dyDescent="0.25">
      <c r="A251" t="s">
        <v>223</v>
      </c>
      <c r="B251" t="s">
        <v>222</v>
      </c>
      <c r="C251">
        <v>5</v>
      </c>
      <c r="D251">
        <v>56.13</v>
      </c>
      <c r="E251">
        <v>392</v>
      </c>
      <c r="F251">
        <v>6424.8000000000065</v>
      </c>
      <c r="G251">
        <v>2.9672400064533124</v>
      </c>
      <c r="H251">
        <v>397</v>
      </c>
      <c r="I251">
        <v>6480.9300000000067</v>
      </c>
      <c r="J251">
        <v>1454</v>
      </c>
      <c r="K251">
        <v>13896.880000000001</v>
      </c>
      <c r="L251">
        <v>3</v>
      </c>
      <c r="M251">
        <v>-7415.9499999999935</v>
      </c>
      <c r="N251">
        <v>-1.5464535707318903</v>
      </c>
    </row>
    <row r="252" spans="1:14" x14ac:dyDescent="0.25">
      <c r="A252" t="s">
        <v>225</v>
      </c>
      <c r="B252" t="s">
        <v>224</v>
      </c>
      <c r="C252">
        <v>211</v>
      </c>
      <c r="D252">
        <v>1901.1100000000001</v>
      </c>
      <c r="E252">
        <v>0</v>
      </c>
      <c r="F252">
        <v>0</v>
      </c>
      <c r="G252">
        <v>0</v>
      </c>
      <c r="H252">
        <v>211</v>
      </c>
      <c r="I252">
        <v>1901.1100000000001</v>
      </c>
      <c r="J252">
        <v>1703</v>
      </c>
      <c r="K252">
        <v>13222.41</v>
      </c>
      <c r="L252">
        <v>3</v>
      </c>
      <c r="M252">
        <v>-11321.3</v>
      </c>
      <c r="N252">
        <v>-2.5183376456949857</v>
      </c>
    </row>
    <row r="253" spans="1:14" x14ac:dyDescent="0.25">
      <c r="A253" t="s">
        <v>227</v>
      </c>
      <c r="B253" t="s">
        <v>226</v>
      </c>
      <c r="C253">
        <v>0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40</v>
      </c>
      <c r="K253">
        <v>536.85</v>
      </c>
      <c r="L253">
        <v>3</v>
      </c>
      <c r="M253">
        <v>-536.85</v>
      </c>
      <c r="N253">
        <v>-3</v>
      </c>
    </row>
    <row r="254" spans="1:14" x14ac:dyDescent="0.25">
      <c r="A254" t="s">
        <v>229</v>
      </c>
      <c r="B254" t="s">
        <v>228</v>
      </c>
      <c r="C254">
        <v>0</v>
      </c>
      <c r="D254">
        <v>0</v>
      </c>
      <c r="E254">
        <v>44</v>
      </c>
      <c r="F254">
        <v>1755.5999999999995</v>
      </c>
      <c r="G254">
        <v>3</v>
      </c>
      <c r="H254">
        <v>44</v>
      </c>
      <c r="I254">
        <v>1755.5999999999995</v>
      </c>
      <c r="J254">
        <v>0</v>
      </c>
      <c r="K254">
        <v>0</v>
      </c>
      <c r="L254">
        <v>3</v>
      </c>
      <c r="M254">
        <v>1755.5999999999995</v>
      </c>
    </row>
    <row r="255" spans="1:14" x14ac:dyDescent="0.25">
      <c r="A255" t="s">
        <v>231</v>
      </c>
      <c r="B255" t="s">
        <v>230</v>
      </c>
      <c r="C255">
        <v>14</v>
      </c>
      <c r="D255">
        <v>578.22</v>
      </c>
      <c r="E255">
        <v>0</v>
      </c>
      <c r="F255">
        <v>0</v>
      </c>
      <c r="G255">
        <v>0</v>
      </c>
      <c r="H255">
        <v>14</v>
      </c>
      <c r="I255">
        <v>578.22</v>
      </c>
      <c r="J255">
        <v>196</v>
      </c>
      <c r="K255">
        <v>8244.36</v>
      </c>
      <c r="L255">
        <v>3</v>
      </c>
      <c r="M255">
        <v>-7666.1399999999994</v>
      </c>
      <c r="N255">
        <v>-2.1507422313846432</v>
      </c>
    </row>
    <row r="256" spans="1:14" x14ac:dyDescent="0.25">
      <c r="A256" t="s">
        <v>233</v>
      </c>
      <c r="B256" t="s">
        <v>232</v>
      </c>
      <c r="C256">
        <v>66</v>
      </c>
      <c r="D256">
        <v>3781.8</v>
      </c>
      <c r="E256">
        <v>5</v>
      </c>
      <c r="F256">
        <v>349.5</v>
      </c>
      <c r="G256">
        <v>0.24301209845640384</v>
      </c>
      <c r="H256">
        <v>71</v>
      </c>
      <c r="I256">
        <v>4131.3</v>
      </c>
      <c r="J256">
        <v>350</v>
      </c>
      <c r="K256">
        <v>17946.43</v>
      </c>
      <c r="L256">
        <v>3</v>
      </c>
      <c r="M256">
        <v>-13815.130000000001</v>
      </c>
      <c r="N256">
        <v>-2.2584976273775741</v>
      </c>
    </row>
    <row r="257" spans="1:14" x14ac:dyDescent="0.25">
      <c r="A257" t="s">
        <v>235</v>
      </c>
      <c r="B257" t="s">
        <v>234</v>
      </c>
      <c r="C257">
        <v>5</v>
      </c>
      <c r="D257">
        <v>24.55</v>
      </c>
      <c r="E257">
        <v>0</v>
      </c>
      <c r="F257">
        <v>0</v>
      </c>
      <c r="G257">
        <v>0</v>
      </c>
      <c r="H257">
        <v>5</v>
      </c>
      <c r="I257">
        <v>24.55</v>
      </c>
      <c r="J257">
        <v>32</v>
      </c>
      <c r="K257">
        <v>128.63999999999999</v>
      </c>
      <c r="L257">
        <v>3</v>
      </c>
      <c r="M257">
        <v>-104.09</v>
      </c>
      <c r="N257">
        <v>-2.1345744539335407</v>
      </c>
    </row>
    <row r="258" spans="1:14" x14ac:dyDescent="0.25">
      <c r="A258" t="s">
        <v>237</v>
      </c>
      <c r="B258" t="s">
        <v>236</v>
      </c>
      <c r="C258">
        <v>12</v>
      </c>
      <c r="D258">
        <v>195.71999999999997</v>
      </c>
      <c r="E258">
        <v>0</v>
      </c>
      <c r="F258">
        <v>0</v>
      </c>
      <c r="G258">
        <v>0</v>
      </c>
      <c r="H258">
        <v>12</v>
      </c>
      <c r="I258">
        <v>195.71999999999997</v>
      </c>
      <c r="J258">
        <v>6</v>
      </c>
      <c r="K258">
        <v>97.859999999999985</v>
      </c>
      <c r="L258">
        <v>3</v>
      </c>
      <c r="M258">
        <v>97.859999999999985</v>
      </c>
      <c r="N258">
        <v>3</v>
      </c>
    </row>
    <row r="259" spans="1:14" x14ac:dyDescent="0.25">
      <c r="A259" t="s">
        <v>239</v>
      </c>
      <c r="B259" t="s">
        <v>238</v>
      </c>
      <c r="C259">
        <v>0</v>
      </c>
      <c r="D259">
        <v>0</v>
      </c>
      <c r="E259">
        <v>70</v>
      </c>
      <c r="F259">
        <v>5452.0000000000018</v>
      </c>
      <c r="G259">
        <v>3</v>
      </c>
      <c r="H259">
        <v>70</v>
      </c>
      <c r="I259">
        <v>5452.0000000000018</v>
      </c>
      <c r="J259">
        <v>0</v>
      </c>
      <c r="K259">
        <v>0</v>
      </c>
      <c r="L259">
        <v>3</v>
      </c>
      <c r="M259">
        <v>5452.0000000000018</v>
      </c>
    </row>
    <row r="260" spans="1:14" x14ac:dyDescent="0.25">
      <c r="A260" t="s">
        <v>241</v>
      </c>
      <c r="B260" t="s">
        <v>240</v>
      </c>
      <c r="C260">
        <v>2</v>
      </c>
      <c r="D260">
        <v>55.32</v>
      </c>
      <c r="E260">
        <v>0</v>
      </c>
      <c r="F260">
        <v>0</v>
      </c>
      <c r="G260">
        <v>0</v>
      </c>
      <c r="H260">
        <v>2</v>
      </c>
      <c r="I260">
        <v>55.32</v>
      </c>
      <c r="J260">
        <v>18</v>
      </c>
      <c r="K260">
        <v>513.98</v>
      </c>
      <c r="L260">
        <v>3</v>
      </c>
      <c r="M260">
        <v>-458.65999999999997</v>
      </c>
      <c r="N260">
        <v>-1.1132332878581175</v>
      </c>
    </row>
    <row r="261" spans="1:14" x14ac:dyDescent="0.25">
      <c r="A261" t="s">
        <v>243</v>
      </c>
      <c r="B261" t="s">
        <v>242</v>
      </c>
      <c r="C261">
        <v>12</v>
      </c>
      <c r="D261">
        <v>159.84</v>
      </c>
      <c r="E261">
        <v>0</v>
      </c>
      <c r="F261">
        <v>0</v>
      </c>
      <c r="G261">
        <v>0</v>
      </c>
      <c r="H261">
        <v>12</v>
      </c>
      <c r="I261">
        <v>159.84</v>
      </c>
      <c r="J261">
        <v>266</v>
      </c>
      <c r="K261">
        <v>3247.86</v>
      </c>
      <c r="L261">
        <v>3</v>
      </c>
      <c r="M261">
        <v>-3088.0199999999995</v>
      </c>
      <c r="N261">
        <v>-2.832664305208429</v>
      </c>
    </row>
    <row r="262" spans="1:14" x14ac:dyDescent="0.25">
      <c r="A262" t="s">
        <v>245</v>
      </c>
      <c r="B262" t="s">
        <v>244</v>
      </c>
      <c r="C262">
        <v>0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0</v>
      </c>
      <c r="L262">
        <v>3</v>
      </c>
      <c r="M262">
        <v>0</v>
      </c>
    </row>
    <row r="263" spans="1:14" x14ac:dyDescent="0.25">
      <c r="A263" t="s">
        <v>247</v>
      </c>
      <c r="B263" t="s">
        <v>246</v>
      </c>
      <c r="C263">
        <v>26</v>
      </c>
      <c r="D263">
        <v>581.37</v>
      </c>
      <c r="E263">
        <v>0</v>
      </c>
      <c r="F263">
        <v>0</v>
      </c>
      <c r="G263">
        <v>0</v>
      </c>
      <c r="H263">
        <v>26</v>
      </c>
      <c r="I263">
        <v>581.37</v>
      </c>
      <c r="J263">
        <v>30</v>
      </c>
      <c r="K263">
        <v>707.72</v>
      </c>
      <c r="L263">
        <v>3</v>
      </c>
      <c r="M263">
        <v>-126.35000000000002</v>
      </c>
      <c r="N263">
        <v>-0.50123438886429039</v>
      </c>
    </row>
    <row r="264" spans="1:14" x14ac:dyDescent="0.25">
      <c r="A264" t="s">
        <v>249</v>
      </c>
      <c r="B264" t="s">
        <v>248</v>
      </c>
      <c r="C264">
        <v>0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4</v>
      </c>
      <c r="K264">
        <v>48.84</v>
      </c>
      <c r="L264">
        <v>3</v>
      </c>
      <c r="M264">
        <v>-48.84</v>
      </c>
      <c r="N264">
        <v>-1</v>
      </c>
    </row>
    <row r="265" spans="1:14" x14ac:dyDescent="0.25">
      <c r="A265" t="s">
        <v>251</v>
      </c>
      <c r="B265" t="s">
        <v>250</v>
      </c>
      <c r="C265">
        <v>18</v>
      </c>
      <c r="D265">
        <v>91.76</v>
      </c>
      <c r="E265">
        <v>0</v>
      </c>
      <c r="F265">
        <v>0</v>
      </c>
      <c r="G265">
        <v>0</v>
      </c>
      <c r="H265">
        <v>18</v>
      </c>
      <c r="I265">
        <v>91.76</v>
      </c>
      <c r="J265">
        <v>41</v>
      </c>
      <c r="K265">
        <v>278.17</v>
      </c>
      <c r="L265">
        <v>3</v>
      </c>
      <c r="M265">
        <v>-186.41000000000003</v>
      </c>
      <c r="N265">
        <v>-2.0622719537485232</v>
      </c>
    </row>
    <row r="266" spans="1:14" x14ac:dyDescent="0.25">
      <c r="A266" t="s">
        <v>253</v>
      </c>
      <c r="B266" t="s">
        <v>252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22</v>
      </c>
      <c r="K266">
        <v>199.73999999999998</v>
      </c>
      <c r="L266">
        <v>3</v>
      </c>
      <c r="M266">
        <v>-199.73999999999998</v>
      </c>
      <c r="N266">
        <v>-2</v>
      </c>
    </row>
    <row r="267" spans="1:14" x14ac:dyDescent="0.25">
      <c r="A267" t="s">
        <v>255</v>
      </c>
      <c r="B267" t="s">
        <v>254</v>
      </c>
      <c r="C267">
        <v>0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0</v>
      </c>
      <c r="K267">
        <v>0</v>
      </c>
      <c r="L267">
        <v>3</v>
      </c>
      <c r="M267">
        <v>0</v>
      </c>
    </row>
    <row r="268" spans="1:14" x14ac:dyDescent="0.25">
      <c r="A268" t="s">
        <v>257</v>
      </c>
      <c r="B268" t="s">
        <v>256</v>
      </c>
      <c r="C268">
        <v>4</v>
      </c>
      <c r="D268">
        <v>61.32</v>
      </c>
      <c r="E268">
        <v>0</v>
      </c>
      <c r="F268">
        <v>0</v>
      </c>
      <c r="G268">
        <v>0</v>
      </c>
      <c r="H268">
        <v>4</v>
      </c>
      <c r="I268">
        <v>61.32</v>
      </c>
      <c r="J268">
        <v>9</v>
      </c>
      <c r="K268">
        <v>99.73</v>
      </c>
      <c r="L268">
        <v>3</v>
      </c>
      <c r="M268">
        <v>-38.410000000000011</v>
      </c>
      <c r="N268">
        <v>1.1759068205117016</v>
      </c>
    </row>
    <row r="269" spans="1:14" x14ac:dyDescent="0.25">
      <c r="A269" t="s">
        <v>259</v>
      </c>
      <c r="B269" t="s">
        <v>258</v>
      </c>
      <c r="C269">
        <v>0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>
        <v>3</v>
      </c>
      <c r="M269">
        <v>0</v>
      </c>
    </row>
    <row r="270" spans="1:14" x14ac:dyDescent="0.25">
      <c r="A270" t="s">
        <v>261</v>
      </c>
      <c r="B270" t="s">
        <v>260</v>
      </c>
      <c r="C270">
        <v>0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>
        <v>3</v>
      </c>
      <c r="M270">
        <v>0</v>
      </c>
    </row>
    <row r="271" spans="1:14" x14ac:dyDescent="0.25">
      <c r="A271" t="s">
        <v>263</v>
      </c>
      <c r="B271" t="s">
        <v>262</v>
      </c>
      <c r="C271">
        <v>0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3</v>
      </c>
      <c r="K271">
        <v>33.159999999999997</v>
      </c>
      <c r="L271">
        <v>3</v>
      </c>
      <c r="M271">
        <v>-33.159999999999997</v>
      </c>
      <c r="N271">
        <v>-1</v>
      </c>
    </row>
    <row r="272" spans="1:14" x14ac:dyDescent="0.25">
      <c r="A272" t="s">
        <v>265</v>
      </c>
      <c r="B272" t="s">
        <v>264</v>
      </c>
      <c r="C272">
        <v>0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</row>
    <row r="273" spans="1:14" x14ac:dyDescent="0.25">
      <c r="A273" t="s">
        <v>267</v>
      </c>
      <c r="B273" t="s">
        <v>266</v>
      </c>
      <c r="C273">
        <v>1509</v>
      </c>
      <c r="D273">
        <v>16275.43</v>
      </c>
      <c r="E273">
        <v>0</v>
      </c>
      <c r="F273">
        <v>0</v>
      </c>
      <c r="G273">
        <v>0</v>
      </c>
      <c r="H273">
        <v>1509</v>
      </c>
      <c r="I273">
        <v>16275.43</v>
      </c>
      <c r="J273">
        <v>3951</v>
      </c>
      <c r="K273">
        <v>32041.629999999997</v>
      </c>
      <c r="L273">
        <v>3</v>
      </c>
      <c r="M273">
        <v>-15766.2</v>
      </c>
      <c r="N273">
        <v>-1.3809206026674359</v>
      </c>
    </row>
    <row r="274" spans="1:14" x14ac:dyDescent="0.25">
      <c r="A274" t="s">
        <v>269</v>
      </c>
      <c r="B274" t="s">
        <v>268</v>
      </c>
      <c r="C274">
        <v>0</v>
      </c>
      <c r="D274">
        <v>0</v>
      </c>
      <c r="E274">
        <v>0</v>
      </c>
      <c r="F274">
        <v>0</v>
      </c>
      <c r="H274">
        <v>0</v>
      </c>
      <c r="I274">
        <v>0</v>
      </c>
      <c r="J274">
        <v>2</v>
      </c>
      <c r="K274">
        <v>131.38</v>
      </c>
      <c r="L274">
        <v>3</v>
      </c>
      <c r="M274">
        <v>-131.38</v>
      </c>
      <c r="N274">
        <v>-2</v>
      </c>
    </row>
    <row r="275" spans="1:14" x14ac:dyDescent="0.25">
      <c r="A275" t="s">
        <v>271</v>
      </c>
      <c r="B275" t="s">
        <v>270</v>
      </c>
      <c r="C275">
        <v>20</v>
      </c>
      <c r="D275">
        <v>1178.56</v>
      </c>
      <c r="E275">
        <v>0</v>
      </c>
      <c r="F275">
        <v>0</v>
      </c>
      <c r="G275">
        <v>0</v>
      </c>
      <c r="H275">
        <v>20</v>
      </c>
      <c r="I275">
        <v>1178.56</v>
      </c>
      <c r="J275">
        <v>201</v>
      </c>
      <c r="K275">
        <v>13077.09</v>
      </c>
      <c r="L275">
        <v>3</v>
      </c>
      <c r="M275">
        <v>-11898.529999999999</v>
      </c>
      <c r="N275">
        <v>-2.7140948900207587</v>
      </c>
    </row>
    <row r="276" spans="1:14" x14ac:dyDescent="0.25">
      <c r="A276" t="s">
        <v>273</v>
      </c>
      <c r="B276" t="s">
        <v>272</v>
      </c>
      <c r="C276">
        <v>2</v>
      </c>
      <c r="D276">
        <v>36.36</v>
      </c>
      <c r="E276">
        <v>0</v>
      </c>
      <c r="F276">
        <v>0</v>
      </c>
      <c r="G276">
        <v>0</v>
      </c>
      <c r="H276">
        <v>2</v>
      </c>
      <c r="I276">
        <v>36.36</v>
      </c>
      <c r="J276">
        <v>4</v>
      </c>
      <c r="K276">
        <v>69.34</v>
      </c>
      <c r="L276">
        <v>3</v>
      </c>
      <c r="M276">
        <v>-32.980000000000004</v>
      </c>
      <c r="N276">
        <v>-1.6284488044144698</v>
      </c>
    </row>
    <row r="277" spans="1:14" x14ac:dyDescent="0.25">
      <c r="A277" t="s">
        <v>275</v>
      </c>
      <c r="B277" t="s">
        <v>274</v>
      </c>
      <c r="C277">
        <v>4</v>
      </c>
      <c r="D277">
        <v>64.02</v>
      </c>
      <c r="E277">
        <v>0</v>
      </c>
      <c r="F277">
        <v>0</v>
      </c>
      <c r="G277">
        <v>0</v>
      </c>
      <c r="H277">
        <v>4</v>
      </c>
      <c r="I277">
        <v>64.02</v>
      </c>
      <c r="J277">
        <v>11</v>
      </c>
      <c r="K277">
        <v>179.41</v>
      </c>
      <c r="L277">
        <v>3</v>
      </c>
      <c r="M277">
        <v>-115.39</v>
      </c>
      <c r="N277">
        <v>-1.6916002452483139</v>
      </c>
    </row>
    <row r="278" spans="1:14" x14ac:dyDescent="0.25">
      <c r="A278" t="s">
        <v>277</v>
      </c>
      <c r="B278" t="s">
        <v>276</v>
      </c>
      <c r="C278">
        <v>19</v>
      </c>
      <c r="D278">
        <v>191.01000000000002</v>
      </c>
      <c r="E278">
        <v>0</v>
      </c>
      <c r="F278">
        <v>0</v>
      </c>
      <c r="G278">
        <v>0</v>
      </c>
      <c r="H278">
        <v>19</v>
      </c>
      <c r="I278">
        <v>191.01000000000002</v>
      </c>
      <c r="J278">
        <v>0</v>
      </c>
      <c r="K278">
        <v>0</v>
      </c>
      <c r="L278">
        <v>3</v>
      </c>
      <c r="M278">
        <v>191.01000000000002</v>
      </c>
    </row>
    <row r="279" spans="1:14" x14ac:dyDescent="0.25">
      <c r="A279" t="s">
        <v>279</v>
      </c>
      <c r="B279" t="s">
        <v>278</v>
      </c>
      <c r="C279">
        <v>8</v>
      </c>
      <c r="D279">
        <v>162.08000000000001</v>
      </c>
      <c r="E279">
        <v>0</v>
      </c>
      <c r="F279">
        <v>0</v>
      </c>
      <c r="G279">
        <v>0</v>
      </c>
      <c r="H279">
        <v>8</v>
      </c>
      <c r="I279">
        <v>162.08000000000001</v>
      </c>
      <c r="J279">
        <v>4</v>
      </c>
      <c r="K279">
        <v>48.84</v>
      </c>
      <c r="L279">
        <v>3</v>
      </c>
      <c r="M279">
        <v>113.24000000000001</v>
      </c>
      <c r="N279">
        <v>-1</v>
      </c>
    </row>
    <row r="280" spans="1:14" x14ac:dyDescent="0.25">
      <c r="A280" t="s">
        <v>281</v>
      </c>
      <c r="B280" t="s">
        <v>280</v>
      </c>
      <c r="C280">
        <v>1</v>
      </c>
      <c r="D280">
        <v>7.21</v>
      </c>
      <c r="E280">
        <v>0</v>
      </c>
      <c r="F280">
        <v>0</v>
      </c>
      <c r="G280">
        <v>0</v>
      </c>
      <c r="H280">
        <v>1</v>
      </c>
      <c r="I280">
        <v>7.21</v>
      </c>
      <c r="J280">
        <v>0</v>
      </c>
      <c r="K280">
        <v>0</v>
      </c>
      <c r="L280">
        <v>3</v>
      </c>
      <c r="M280">
        <v>7.21</v>
      </c>
    </row>
    <row r="281" spans="1:14" x14ac:dyDescent="0.25">
      <c r="A281" t="s">
        <v>283</v>
      </c>
      <c r="B281" t="s">
        <v>282</v>
      </c>
      <c r="C281">
        <v>2</v>
      </c>
      <c r="D281">
        <v>16.38</v>
      </c>
      <c r="E281">
        <v>0</v>
      </c>
      <c r="F281">
        <v>0</v>
      </c>
      <c r="G281">
        <v>0</v>
      </c>
      <c r="H281">
        <v>2</v>
      </c>
      <c r="I281">
        <v>16.38</v>
      </c>
      <c r="J281">
        <v>93</v>
      </c>
      <c r="K281">
        <v>717.78</v>
      </c>
      <c r="L281">
        <v>3</v>
      </c>
      <c r="M281">
        <v>-701.4</v>
      </c>
      <c r="N281">
        <v>-2.7475339087546242</v>
      </c>
    </row>
    <row r="282" spans="1:14" x14ac:dyDescent="0.25">
      <c r="A282" t="s">
        <v>714</v>
      </c>
      <c r="B282" t="s">
        <v>715</v>
      </c>
      <c r="C282">
        <v>0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2</v>
      </c>
      <c r="K282">
        <v>16.22</v>
      </c>
      <c r="L282">
        <v>3</v>
      </c>
      <c r="M282">
        <v>-16.22</v>
      </c>
      <c r="N282">
        <v>-2</v>
      </c>
    </row>
    <row r="283" spans="1:14" x14ac:dyDescent="0.25">
      <c r="A283" t="s">
        <v>285</v>
      </c>
      <c r="B283" t="s">
        <v>284</v>
      </c>
      <c r="C283">
        <v>18</v>
      </c>
      <c r="D283">
        <v>323.60000000000002</v>
      </c>
      <c r="E283">
        <v>0</v>
      </c>
      <c r="F283">
        <v>0</v>
      </c>
      <c r="G283">
        <v>0</v>
      </c>
      <c r="H283">
        <v>18</v>
      </c>
      <c r="I283">
        <v>323.60000000000002</v>
      </c>
      <c r="J283">
        <v>83</v>
      </c>
      <c r="K283">
        <v>1272.79</v>
      </c>
      <c r="L283">
        <v>3</v>
      </c>
      <c r="M283">
        <v>-949.19</v>
      </c>
      <c r="N283">
        <v>-2.1363395253814565</v>
      </c>
    </row>
    <row r="284" spans="1:14" x14ac:dyDescent="0.25">
      <c r="A284" t="s">
        <v>716</v>
      </c>
      <c r="B284" t="s">
        <v>717</v>
      </c>
      <c r="C284">
        <v>0</v>
      </c>
      <c r="D284">
        <v>0</v>
      </c>
      <c r="E284">
        <v>0</v>
      </c>
      <c r="F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</row>
    <row r="285" spans="1:14" x14ac:dyDescent="0.25">
      <c r="A285" t="s">
        <v>287</v>
      </c>
      <c r="B285" t="s">
        <v>286</v>
      </c>
      <c r="C285">
        <v>57</v>
      </c>
      <c r="D285">
        <v>929.67</v>
      </c>
      <c r="E285">
        <v>0</v>
      </c>
      <c r="F285">
        <v>0</v>
      </c>
      <c r="G285">
        <v>0</v>
      </c>
      <c r="H285">
        <v>57</v>
      </c>
      <c r="I285">
        <v>929.67</v>
      </c>
      <c r="J285">
        <v>802</v>
      </c>
      <c r="K285">
        <v>12531.9</v>
      </c>
      <c r="L285">
        <v>3</v>
      </c>
      <c r="M285">
        <v>-11602.23</v>
      </c>
      <c r="N285">
        <v>-2.6998443243248182</v>
      </c>
    </row>
    <row r="286" spans="1:14" x14ac:dyDescent="0.25">
      <c r="A286" t="s">
        <v>289</v>
      </c>
      <c r="B286" t="s">
        <v>288</v>
      </c>
      <c r="C286">
        <v>20</v>
      </c>
      <c r="D286">
        <v>324.64000000000004</v>
      </c>
      <c r="E286">
        <v>0</v>
      </c>
      <c r="F286">
        <v>0</v>
      </c>
      <c r="G286">
        <v>0</v>
      </c>
      <c r="H286">
        <v>20</v>
      </c>
      <c r="I286">
        <v>324.64000000000004</v>
      </c>
      <c r="J286">
        <v>240</v>
      </c>
      <c r="K286">
        <v>2929.42</v>
      </c>
      <c r="L286">
        <v>3</v>
      </c>
      <c r="M286">
        <v>-2604.7799999999997</v>
      </c>
      <c r="N286">
        <v>-2.6398990669616857</v>
      </c>
    </row>
    <row r="287" spans="1:14" x14ac:dyDescent="0.25">
      <c r="A287" t="s">
        <v>291</v>
      </c>
      <c r="B287" t="s">
        <v>290</v>
      </c>
      <c r="C287">
        <v>0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0</v>
      </c>
      <c r="K287">
        <v>0</v>
      </c>
      <c r="L287">
        <v>3</v>
      </c>
      <c r="M287">
        <v>0</v>
      </c>
    </row>
    <row r="288" spans="1:14" x14ac:dyDescent="0.25">
      <c r="A288" t="s">
        <v>293</v>
      </c>
      <c r="B288" t="s">
        <v>292</v>
      </c>
      <c r="C288">
        <v>257</v>
      </c>
      <c r="D288">
        <v>2873.08</v>
      </c>
      <c r="E288">
        <v>0</v>
      </c>
      <c r="F288">
        <v>0</v>
      </c>
      <c r="G288">
        <v>0</v>
      </c>
      <c r="H288">
        <v>257</v>
      </c>
      <c r="I288">
        <v>2873.08</v>
      </c>
      <c r="J288">
        <v>1491</v>
      </c>
      <c r="K288">
        <v>12092.01</v>
      </c>
      <c r="L288">
        <v>3</v>
      </c>
      <c r="M288">
        <v>-9218.93</v>
      </c>
      <c r="N288">
        <v>-2.2777598404347374</v>
      </c>
    </row>
    <row r="289" spans="1:14" x14ac:dyDescent="0.25">
      <c r="A289" t="s">
        <v>779</v>
      </c>
      <c r="B289" t="s">
        <v>780</v>
      </c>
      <c r="C289">
        <v>0</v>
      </c>
      <c r="D289">
        <v>0</v>
      </c>
      <c r="E289">
        <v>0</v>
      </c>
      <c r="F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</row>
    <row r="290" spans="1:14" x14ac:dyDescent="0.25">
      <c r="A290" t="s">
        <v>295</v>
      </c>
      <c r="B290" t="s">
        <v>294</v>
      </c>
      <c r="C290">
        <v>33</v>
      </c>
      <c r="D290">
        <v>257.15999999999997</v>
      </c>
      <c r="E290">
        <v>0</v>
      </c>
      <c r="F290">
        <v>0</v>
      </c>
      <c r="G290">
        <v>0</v>
      </c>
      <c r="H290">
        <v>33</v>
      </c>
      <c r="I290">
        <v>257.15999999999997</v>
      </c>
      <c r="J290">
        <v>199</v>
      </c>
      <c r="K290">
        <v>1524.25</v>
      </c>
      <c r="L290">
        <v>3</v>
      </c>
      <c r="M290">
        <v>-1267.0900000000001</v>
      </c>
      <c r="N290">
        <v>-1.9147449400046193</v>
      </c>
    </row>
    <row r="291" spans="1:14" x14ac:dyDescent="0.25">
      <c r="A291" t="s">
        <v>297</v>
      </c>
      <c r="B291" t="s">
        <v>296</v>
      </c>
      <c r="C291">
        <v>2</v>
      </c>
      <c r="D291">
        <v>19.02</v>
      </c>
      <c r="E291">
        <v>0</v>
      </c>
      <c r="F291">
        <v>0</v>
      </c>
      <c r="G291">
        <v>0</v>
      </c>
      <c r="H291">
        <v>2</v>
      </c>
      <c r="I291">
        <v>19.02</v>
      </c>
      <c r="J291">
        <v>176</v>
      </c>
      <c r="K291">
        <v>2914.59</v>
      </c>
      <c r="L291">
        <v>3</v>
      </c>
      <c r="M291">
        <v>-2895.5699999999997</v>
      </c>
      <c r="N291">
        <v>-2.9790531380580099</v>
      </c>
    </row>
    <row r="292" spans="1:14" x14ac:dyDescent="0.25">
      <c r="A292" t="s">
        <v>299</v>
      </c>
      <c r="B292" t="s">
        <v>298</v>
      </c>
      <c r="C292">
        <v>2</v>
      </c>
      <c r="D292">
        <v>19.3</v>
      </c>
      <c r="E292">
        <v>0</v>
      </c>
      <c r="F292">
        <v>0</v>
      </c>
      <c r="G292">
        <v>0</v>
      </c>
      <c r="H292">
        <v>2</v>
      </c>
      <c r="I292">
        <v>19.3</v>
      </c>
      <c r="J292">
        <v>101</v>
      </c>
      <c r="K292">
        <v>921.79</v>
      </c>
      <c r="L292">
        <v>3</v>
      </c>
      <c r="M292">
        <v>-902.49</v>
      </c>
      <c r="N292">
        <v>-2.9608955526289131</v>
      </c>
    </row>
    <row r="293" spans="1:14" x14ac:dyDescent="0.25">
      <c r="A293" t="s">
        <v>301</v>
      </c>
      <c r="B293" t="s">
        <v>300</v>
      </c>
      <c r="C293">
        <v>212</v>
      </c>
      <c r="D293">
        <v>2898.52</v>
      </c>
      <c r="E293">
        <v>216</v>
      </c>
      <c r="F293">
        <v>3186.4000000000037</v>
      </c>
      <c r="G293">
        <v>1.3344309243930967</v>
      </c>
      <c r="H293">
        <v>428</v>
      </c>
      <c r="I293">
        <v>6084.9200000000037</v>
      </c>
      <c r="J293">
        <v>1381</v>
      </c>
      <c r="K293">
        <v>16862.009999999998</v>
      </c>
      <c r="L293">
        <v>3</v>
      </c>
      <c r="M293">
        <v>-10777.089999999997</v>
      </c>
      <c r="N293">
        <v>-1.8860467887908865</v>
      </c>
    </row>
    <row r="294" spans="1:14" x14ac:dyDescent="0.25">
      <c r="A294" t="s">
        <v>303</v>
      </c>
      <c r="B294" t="s">
        <v>302</v>
      </c>
      <c r="C294">
        <v>24</v>
      </c>
      <c r="D294">
        <v>264.86</v>
      </c>
      <c r="E294">
        <v>0</v>
      </c>
      <c r="F294">
        <v>0</v>
      </c>
      <c r="G294">
        <v>0</v>
      </c>
      <c r="H294">
        <v>24</v>
      </c>
      <c r="I294">
        <v>264.86</v>
      </c>
      <c r="J294">
        <v>34</v>
      </c>
      <c r="K294">
        <v>353.85</v>
      </c>
      <c r="L294">
        <v>3</v>
      </c>
      <c r="M294">
        <v>-88.989999999999981</v>
      </c>
      <c r="N294">
        <v>-0.95498590592396559</v>
      </c>
    </row>
    <row r="295" spans="1:14" x14ac:dyDescent="0.25">
      <c r="A295" t="s">
        <v>305</v>
      </c>
      <c r="B295" t="s">
        <v>304</v>
      </c>
      <c r="C295">
        <v>0</v>
      </c>
      <c r="D295">
        <v>0</v>
      </c>
      <c r="E295">
        <v>0</v>
      </c>
      <c r="F295">
        <v>0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</row>
    <row r="296" spans="1:14" x14ac:dyDescent="0.25">
      <c r="A296" t="s">
        <v>307</v>
      </c>
      <c r="B296" t="s">
        <v>306</v>
      </c>
      <c r="C296">
        <v>51</v>
      </c>
      <c r="D296">
        <v>622.71</v>
      </c>
      <c r="E296">
        <v>0</v>
      </c>
      <c r="F296">
        <v>0</v>
      </c>
      <c r="G296">
        <v>0</v>
      </c>
      <c r="H296">
        <v>51</v>
      </c>
      <c r="I296">
        <v>622.71</v>
      </c>
      <c r="J296">
        <v>97</v>
      </c>
      <c r="K296">
        <v>1148.69</v>
      </c>
      <c r="L296">
        <v>3</v>
      </c>
      <c r="M296">
        <v>-525.98</v>
      </c>
      <c r="N296">
        <v>-1.3626508610298123</v>
      </c>
    </row>
    <row r="297" spans="1:14" x14ac:dyDescent="0.25">
      <c r="A297" t="s">
        <v>309</v>
      </c>
      <c r="B297" t="s">
        <v>308</v>
      </c>
      <c r="C297">
        <v>7</v>
      </c>
      <c r="D297">
        <v>219.50000000000003</v>
      </c>
      <c r="E297">
        <v>0</v>
      </c>
      <c r="F297">
        <v>0</v>
      </c>
      <c r="G297">
        <v>0</v>
      </c>
      <c r="H297">
        <v>7</v>
      </c>
      <c r="I297">
        <v>219.50000000000003</v>
      </c>
      <c r="J297">
        <v>1</v>
      </c>
      <c r="K297">
        <v>21.82</v>
      </c>
      <c r="L297">
        <v>3</v>
      </c>
      <c r="M297">
        <v>197.68000000000004</v>
      </c>
      <c r="N297">
        <v>1.9972502291475713</v>
      </c>
    </row>
    <row r="298" spans="1:14" x14ac:dyDescent="0.25">
      <c r="A298" t="s">
        <v>311</v>
      </c>
      <c r="B298" t="s">
        <v>310</v>
      </c>
      <c r="C298">
        <v>23</v>
      </c>
      <c r="D298">
        <v>658.03</v>
      </c>
      <c r="E298">
        <v>15</v>
      </c>
      <c r="F298">
        <v>556.5</v>
      </c>
      <c r="G298">
        <v>1.8913973754507964</v>
      </c>
      <c r="H298">
        <v>38</v>
      </c>
      <c r="I298">
        <v>1214.5299999999997</v>
      </c>
      <c r="J298">
        <v>103</v>
      </c>
      <c r="K298">
        <v>2946.83</v>
      </c>
      <c r="L298">
        <v>3</v>
      </c>
      <c r="M298">
        <v>-1732.3000000000002</v>
      </c>
      <c r="N298">
        <v>-1.7539280898297696</v>
      </c>
    </row>
    <row r="299" spans="1:14" x14ac:dyDescent="0.25">
      <c r="A299" t="s">
        <v>313</v>
      </c>
      <c r="B299" t="s">
        <v>312</v>
      </c>
      <c r="C299">
        <v>16</v>
      </c>
      <c r="D299">
        <v>1003.19</v>
      </c>
      <c r="E299">
        <v>0</v>
      </c>
      <c r="F299">
        <v>0</v>
      </c>
      <c r="G299">
        <v>0</v>
      </c>
      <c r="H299">
        <v>16</v>
      </c>
      <c r="I299">
        <v>1003.19</v>
      </c>
      <c r="J299">
        <v>6</v>
      </c>
      <c r="K299">
        <v>369.15999999999997</v>
      </c>
      <c r="L299">
        <v>3</v>
      </c>
      <c r="M299">
        <v>634.03</v>
      </c>
      <c r="N299">
        <v>5.3219419441576665</v>
      </c>
    </row>
    <row r="300" spans="1:14" x14ac:dyDescent="0.25">
      <c r="A300" t="s">
        <v>315</v>
      </c>
      <c r="B300" t="s">
        <v>314</v>
      </c>
      <c r="C300">
        <v>2</v>
      </c>
      <c r="D300">
        <v>5.86</v>
      </c>
      <c r="E300">
        <v>0</v>
      </c>
      <c r="F300">
        <v>0</v>
      </c>
      <c r="G300">
        <v>0</v>
      </c>
      <c r="H300">
        <v>2</v>
      </c>
      <c r="I300">
        <v>5.86</v>
      </c>
      <c r="J300">
        <v>2</v>
      </c>
      <c r="K300">
        <v>8.0399999999999991</v>
      </c>
      <c r="L300">
        <v>3</v>
      </c>
      <c r="M300">
        <v>-2.1799999999999988</v>
      </c>
      <c r="N300">
        <v>-1.2711442786069651</v>
      </c>
    </row>
    <row r="301" spans="1:14" x14ac:dyDescent="0.25">
      <c r="A301" t="s">
        <v>317</v>
      </c>
      <c r="B301" t="s">
        <v>316</v>
      </c>
      <c r="C301">
        <v>0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</row>
    <row r="302" spans="1:14" x14ac:dyDescent="0.25">
      <c r="A302" t="s">
        <v>718</v>
      </c>
      <c r="B302" t="s">
        <v>719</v>
      </c>
      <c r="C302">
        <v>0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0</v>
      </c>
      <c r="K302">
        <v>0</v>
      </c>
      <c r="L302">
        <v>2</v>
      </c>
      <c r="M302">
        <v>0</v>
      </c>
    </row>
    <row r="303" spans="1:14" x14ac:dyDescent="0.25">
      <c r="A303" t="s">
        <v>319</v>
      </c>
      <c r="B303" t="s">
        <v>318</v>
      </c>
      <c r="C303">
        <v>66</v>
      </c>
      <c r="D303">
        <v>936.26</v>
      </c>
      <c r="E303">
        <v>0</v>
      </c>
      <c r="F303">
        <v>0</v>
      </c>
      <c r="G303">
        <v>0</v>
      </c>
      <c r="H303">
        <v>66</v>
      </c>
      <c r="I303">
        <v>936.26</v>
      </c>
      <c r="J303">
        <v>18</v>
      </c>
      <c r="K303">
        <v>286.89</v>
      </c>
      <c r="L303">
        <v>3</v>
      </c>
      <c r="M303">
        <v>649.37</v>
      </c>
      <c r="N303">
        <v>8.3958226107007636</v>
      </c>
    </row>
    <row r="304" spans="1:14" x14ac:dyDescent="0.25">
      <c r="A304" t="s">
        <v>321</v>
      </c>
      <c r="B304" t="s">
        <v>320</v>
      </c>
      <c r="C304">
        <v>0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0</v>
      </c>
      <c r="K304">
        <v>0</v>
      </c>
      <c r="L304">
        <v>3</v>
      </c>
      <c r="M304">
        <v>0</v>
      </c>
    </row>
    <row r="305" spans="1:14" x14ac:dyDescent="0.25">
      <c r="A305" t="s">
        <v>323</v>
      </c>
      <c r="B305" t="s">
        <v>322</v>
      </c>
      <c r="C305">
        <v>2</v>
      </c>
      <c r="D305">
        <v>65.400000000000006</v>
      </c>
      <c r="E305">
        <v>0</v>
      </c>
      <c r="F305">
        <v>0</v>
      </c>
      <c r="G305">
        <v>0</v>
      </c>
      <c r="H305">
        <v>2</v>
      </c>
      <c r="I305">
        <v>65.400000000000006</v>
      </c>
      <c r="J305">
        <v>10</v>
      </c>
      <c r="K305">
        <v>327</v>
      </c>
      <c r="L305">
        <v>3</v>
      </c>
      <c r="M305">
        <v>-261.60000000000002</v>
      </c>
      <c r="N305">
        <v>-2</v>
      </c>
    </row>
    <row r="306" spans="1:14" x14ac:dyDescent="0.25">
      <c r="A306" t="s">
        <v>325</v>
      </c>
      <c r="B306" t="s">
        <v>324</v>
      </c>
      <c r="C306">
        <v>14</v>
      </c>
      <c r="D306">
        <v>384.54</v>
      </c>
      <c r="E306">
        <v>0</v>
      </c>
      <c r="F306">
        <v>0</v>
      </c>
      <c r="G306">
        <v>0</v>
      </c>
      <c r="H306">
        <v>14</v>
      </c>
      <c r="I306">
        <v>384.54</v>
      </c>
      <c r="J306">
        <v>6</v>
      </c>
      <c r="K306">
        <v>171.66</v>
      </c>
      <c r="L306">
        <v>3</v>
      </c>
      <c r="M306">
        <v>212.88</v>
      </c>
      <c r="N306">
        <v>7.4963299545613431</v>
      </c>
    </row>
    <row r="307" spans="1:14" x14ac:dyDescent="0.25">
      <c r="A307" t="s">
        <v>327</v>
      </c>
      <c r="B307" t="s">
        <v>326</v>
      </c>
      <c r="C307">
        <v>3</v>
      </c>
      <c r="D307">
        <v>171.9</v>
      </c>
      <c r="E307">
        <v>0</v>
      </c>
      <c r="F307">
        <v>0</v>
      </c>
      <c r="G307">
        <v>0</v>
      </c>
      <c r="H307">
        <v>3</v>
      </c>
      <c r="I307">
        <v>171.9</v>
      </c>
      <c r="J307">
        <v>2</v>
      </c>
      <c r="K307">
        <v>116.27</v>
      </c>
      <c r="L307">
        <v>3</v>
      </c>
      <c r="M307">
        <v>55.630000000000017</v>
      </c>
      <c r="N307">
        <v>-2</v>
      </c>
    </row>
    <row r="308" spans="1:14" x14ac:dyDescent="0.25">
      <c r="A308" t="s">
        <v>329</v>
      </c>
      <c r="B308" t="s">
        <v>328</v>
      </c>
      <c r="C308">
        <v>20</v>
      </c>
      <c r="D308">
        <v>319.09000000000003</v>
      </c>
      <c r="E308">
        <v>0</v>
      </c>
      <c r="F308">
        <v>0</v>
      </c>
      <c r="G308">
        <v>0</v>
      </c>
      <c r="H308">
        <v>20</v>
      </c>
      <c r="I308">
        <v>319.09000000000003</v>
      </c>
      <c r="J308">
        <v>301</v>
      </c>
      <c r="K308">
        <v>3322.04</v>
      </c>
      <c r="L308">
        <v>3</v>
      </c>
      <c r="M308">
        <v>-3002.95</v>
      </c>
      <c r="N308">
        <v>-1.9441401573385351</v>
      </c>
    </row>
    <row r="309" spans="1:14" x14ac:dyDescent="0.25">
      <c r="A309" t="s">
        <v>331</v>
      </c>
      <c r="B309" t="s">
        <v>330</v>
      </c>
      <c r="C309">
        <v>5</v>
      </c>
      <c r="D309">
        <v>107.37</v>
      </c>
      <c r="E309">
        <v>0</v>
      </c>
      <c r="F309">
        <v>0</v>
      </c>
      <c r="G309">
        <v>0</v>
      </c>
      <c r="H309">
        <v>5</v>
      </c>
      <c r="I309">
        <v>107.37</v>
      </c>
      <c r="J309">
        <v>15</v>
      </c>
      <c r="K309">
        <v>382.15999999999997</v>
      </c>
      <c r="L309">
        <v>3</v>
      </c>
      <c r="M309">
        <v>-274.78999999999996</v>
      </c>
      <c r="N309">
        <v>-1.5099916736053289</v>
      </c>
    </row>
    <row r="310" spans="1:14" x14ac:dyDescent="0.25">
      <c r="A310" t="s">
        <v>720</v>
      </c>
      <c r="B310" t="s">
        <v>721</v>
      </c>
      <c r="C310">
        <v>0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12</v>
      </c>
      <c r="K310">
        <v>1296.6099999999999</v>
      </c>
      <c r="L310">
        <v>2</v>
      </c>
      <c r="M310">
        <v>-1296.6099999999999</v>
      </c>
      <c r="N310">
        <v>-2</v>
      </c>
    </row>
    <row r="311" spans="1:14" x14ac:dyDescent="0.25">
      <c r="A311" t="s">
        <v>333</v>
      </c>
      <c r="B311" t="s">
        <v>332</v>
      </c>
      <c r="C311">
        <v>20</v>
      </c>
      <c r="D311">
        <v>2106.8000000000002</v>
      </c>
      <c r="E311">
        <v>1</v>
      </c>
      <c r="F311">
        <v>129</v>
      </c>
      <c r="G311">
        <v>0.23439203430481867</v>
      </c>
      <c r="H311">
        <v>21</v>
      </c>
      <c r="I311">
        <v>2235.8000000000002</v>
      </c>
      <c r="J311">
        <v>39</v>
      </c>
      <c r="K311">
        <v>3579.87</v>
      </c>
      <c r="L311">
        <v>3</v>
      </c>
      <c r="M311">
        <v>-1344.0699999999997</v>
      </c>
      <c r="N311">
        <v>-0.56236547694814643</v>
      </c>
    </row>
    <row r="312" spans="1:14" x14ac:dyDescent="0.25">
      <c r="A312" t="s">
        <v>335</v>
      </c>
      <c r="B312" t="s">
        <v>334</v>
      </c>
      <c r="C312">
        <v>12</v>
      </c>
      <c r="D312">
        <v>931.86</v>
      </c>
      <c r="E312">
        <v>0</v>
      </c>
      <c r="F312">
        <v>0</v>
      </c>
      <c r="G312">
        <v>0</v>
      </c>
      <c r="H312">
        <v>12</v>
      </c>
      <c r="I312">
        <v>931.86</v>
      </c>
      <c r="J312">
        <v>29</v>
      </c>
      <c r="K312">
        <v>2115.5500000000002</v>
      </c>
      <c r="L312">
        <v>3</v>
      </c>
      <c r="M312">
        <v>-1183.69</v>
      </c>
      <c r="N312">
        <v>-1.3584401717109773</v>
      </c>
    </row>
    <row r="313" spans="1:14" x14ac:dyDescent="0.25">
      <c r="A313" t="s">
        <v>337</v>
      </c>
      <c r="B313" t="s">
        <v>336</v>
      </c>
      <c r="C313">
        <v>3</v>
      </c>
      <c r="D313">
        <v>171.26</v>
      </c>
      <c r="E313">
        <v>0</v>
      </c>
      <c r="F313">
        <v>0</v>
      </c>
      <c r="G313">
        <v>0</v>
      </c>
      <c r="H313">
        <v>3</v>
      </c>
      <c r="I313">
        <v>171.26</v>
      </c>
      <c r="J313">
        <v>9</v>
      </c>
      <c r="K313">
        <v>515.70000000000005</v>
      </c>
      <c r="L313">
        <v>3</v>
      </c>
      <c r="M313">
        <v>-344.44000000000005</v>
      </c>
      <c r="N313">
        <v>-0.88177511842433298</v>
      </c>
    </row>
    <row r="314" spans="1:14" x14ac:dyDescent="0.25">
      <c r="A314" t="s">
        <v>722</v>
      </c>
      <c r="B314" t="s">
        <v>723</v>
      </c>
      <c r="C314">
        <v>0</v>
      </c>
      <c r="D314">
        <v>0</v>
      </c>
      <c r="E314">
        <v>0</v>
      </c>
      <c r="F314">
        <v>0</v>
      </c>
      <c r="H314">
        <v>0</v>
      </c>
      <c r="I314">
        <v>0</v>
      </c>
      <c r="J314">
        <v>0</v>
      </c>
      <c r="K314">
        <v>0</v>
      </c>
      <c r="L314">
        <v>2</v>
      </c>
      <c r="M314">
        <v>0</v>
      </c>
    </row>
    <row r="315" spans="1:14" x14ac:dyDescent="0.25">
      <c r="A315" t="s">
        <v>339</v>
      </c>
      <c r="B315" t="s">
        <v>338</v>
      </c>
      <c r="C315">
        <v>73</v>
      </c>
      <c r="D315">
        <v>1833.73</v>
      </c>
      <c r="E315">
        <v>0</v>
      </c>
      <c r="F315">
        <v>0</v>
      </c>
      <c r="G315">
        <v>0</v>
      </c>
      <c r="H315">
        <v>73</v>
      </c>
      <c r="I315">
        <v>1833.73</v>
      </c>
      <c r="J315">
        <v>389</v>
      </c>
      <c r="K315">
        <v>7856.0599999999995</v>
      </c>
      <c r="L315">
        <v>3</v>
      </c>
      <c r="M315">
        <v>-6022.33</v>
      </c>
      <c r="N315">
        <v>-2.1486695035931072</v>
      </c>
    </row>
    <row r="316" spans="1:14" x14ac:dyDescent="0.25">
      <c r="A316" t="s">
        <v>341</v>
      </c>
      <c r="B316" t="s">
        <v>340</v>
      </c>
      <c r="C316">
        <v>58</v>
      </c>
      <c r="D316">
        <v>1420.96</v>
      </c>
      <c r="E316">
        <v>0</v>
      </c>
      <c r="F316">
        <v>0</v>
      </c>
      <c r="G316">
        <v>0</v>
      </c>
      <c r="H316">
        <v>58</v>
      </c>
      <c r="I316">
        <v>1420.96</v>
      </c>
      <c r="J316">
        <v>115</v>
      </c>
      <c r="K316">
        <v>2818.65</v>
      </c>
      <c r="L316">
        <v>3</v>
      </c>
      <c r="M316">
        <v>-1397.69</v>
      </c>
      <c r="N316">
        <v>-0.81959707664656745</v>
      </c>
    </row>
    <row r="317" spans="1:14" x14ac:dyDescent="0.25">
      <c r="A317" t="s">
        <v>724</v>
      </c>
      <c r="B317" t="s">
        <v>725</v>
      </c>
      <c r="C317">
        <v>0</v>
      </c>
      <c r="D317">
        <v>0</v>
      </c>
      <c r="E317">
        <v>0</v>
      </c>
      <c r="F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</row>
    <row r="318" spans="1:14" x14ac:dyDescent="0.25">
      <c r="A318" t="s">
        <v>343</v>
      </c>
      <c r="B318" t="s">
        <v>342</v>
      </c>
      <c r="C318">
        <v>72</v>
      </c>
      <c r="D318">
        <v>1311.25</v>
      </c>
      <c r="E318">
        <v>2</v>
      </c>
      <c r="F318">
        <v>70.210000000000008</v>
      </c>
      <c r="G318">
        <v>0.20133631566873136</v>
      </c>
      <c r="H318">
        <v>74</v>
      </c>
      <c r="I318">
        <v>1381.46</v>
      </c>
      <c r="J318">
        <v>84</v>
      </c>
      <c r="K318">
        <v>1675.42</v>
      </c>
      <c r="L318">
        <v>3</v>
      </c>
      <c r="M318">
        <v>-293.95999999999992</v>
      </c>
      <c r="N318">
        <v>-0.33009381577808922</v>
      </c>
    </row>
    <row r="319" spans="1:14" x14ac:dyDescent="0.25">
      <c r="A319" t="s">
        <v>726</v>
      </c>
      <c r="B319" t="s">
        <v>727</v>
      </c>
      <c r="C319">
        <v>1</v>
      </c>
      <c r="D319">
        <v>138.52000000000001</v>
      </c>
      <c r="E319">
        <v>0</v>
      </c>
      <c r="F319">
        <v>0</v>
      </c>
      <c r="G319">
        <v>0</v>
      </c>
      <c r="H319">
        <v>1</v>
      </c>
      <c r="I319">
        <v>138.52000000000001</v>
      </c>
      <c r="J319">
        <v>16</v>
      </c>
      <c r="K319">
        <v>1928.54</v>
      </c>
      <c r="L319">
        <v>3</v>
      </c>
      <c r="M319">
        <v>-1790.02</v>
      </c>
      <c r="N319">
        <v>-2.7164496847621389</v>
      </c>
    </row>
    <row r="320" spans="1:14" x14ac:dyDescent="0.25">
      <c r="A320" t="s">
        <v>728</v>
      </c>
      <c r="B320" t="s">
        <v>729</v>
      </c>
      <c r="C320">
        <v>0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-1</v>
      </c>
      <c r="K320">
        <v>-4.0199999999999996</v>
      </c>
      <c r="L320">
        <v>3</v>
      </c>
      <c r="M320">
        <v>4.0199999999999996</v>
      </c>
      <c r="N320">
        <v>-1</v>
      </c>
    </row>
    <row r="321" spans="1:14" x14ac:dyDescent="0.25">
      <c r="A321" t="s">
        <v>345</v>
      </c>
      <c r="B321" t="s">
        <v>344</v>
      </c>
      <c r="C321">
        <v>4</v>
      </c>
      <c r="D321">
        <v>196.4</v>
      </c>
      <c r="E321">
        <v>0</v>
      </c>
      <c r="F321">
        <v>0</v>
      </c>
      <c r="G321">
        <v>0</v>
      </c>
      <c r="H321">
        <v>4</v>
      </c>
      <c r="I321">
        <v>196.4</v>
      </c>
      <c r="J321">
        <v>5</v>
      </c>
      <c r="K321">
        <v>250.47</v>
      </c>
      <c r="L321">
        <v>3</v>
      </c>
      <c r="M321">
        <v>-54.069999999999993</v>
      </c>
      <c r="N321">
        <v>-8.8149750371944169E-3</v>
      </c>
    </row>
    <row r="322" spans="1:14" x14ac:dyDescent="0.25">
      <c r="A322" t="s">
        <v>347</v>
      </c>
      <c r="B322" t="s">
        <v>346</v>
      </c>
      <c r="C322">
        <v>0</v>
      </c>
      <c r="D322">
        <v>0</v>
      </c>
      <c r="E322">
        <v>0</v>
      </c>
      <c r="F322">
        <v>0</v>
      </c>
      <c r="H322">
        <v>0</v>
      </c>
      <c r="I322">
        <v>0</v>
      </c>
      <c r="J322">
        <v>150</v>
      </c>
      <c r="K322">
        <v>2971.17</v>
      </c>
      <c r="L322">
        <v>3</v>
      </c>
      <c r="M322">
        <v>-2971.17</v>
      </c>
      <c r="N322">
        <v>-3</v>
      </c>
    </row>
    <row r="323" spans="1:14" x14ac:dyDescent="0.25">
      <c r="A323" t="s">
        <v>349</v>
      </c>
      <c r="B323" t="s">
        <v>348</v>
      </c>
      <c r="C323">
        <v>4</v>
      </c>
      <c r="D323">
        <v>24.64</v>
      </c>
      <c r="E323">
        <v>0</v>
      </c>
      <c r="F323">
        <v>0</v>
      </c>
      <c r="G323">
        <v>0</v>
      </c>
      <c r="H323">
        <v>4</v>
      </c>
      <c r="I323">
        <v>24.64</v>
      </c>
      <c r="J323">
        <v>0</v>
      </c>
      <c r="K323">
        <v>0</v>
      </c>
      <c r="L323">
        <v>3</v>
      </c>
      <c r="M323">
        <v>24.64</v>
      </c>
    </row>
    <row r="324" spans="1:14" x14ac:dyDescent="0.25">
      <c r="A324" t="s">
        <v>351</v>
      </c>
      <c r="B324" t="s">
        <v>350</v>
      </c>
      <c r="C324">
        <v>21</v>
      </c>
      <c r="D324">
        <v>307.53999999999996</v>
      </c>
      <c r="E324">
        <v>0</v>
      </c>
      <c r="F324">
        <v>0</v>
      </c>
      <c r="G324">
        <v>0</v>
      </c>
      <c r="H324">
        <v>21</v>
      </c>
      <c r="I324">
        <v>307.53999999999996</v>
      </c>
      <c r="J324">
        <v>16</v>
      </c>
      <c r="K324">
        <v>241.98</v>
      </c>
      <c r="L324">
        <v>3</v>
      </c>
      <c r="M324">
        <v>65.56</v>
      </c>
      <c r="N324">
        <v>2.7429155946443347</v>
      </c>
    </row>
    <row r="325" spans="1:14" x14ac:dyDescent="0.25">
      <c r="A325" t="s">
        <v>353</v>
      </c>
      <c r="B325" t="s">
        <v>352</v>
      </c>
      <c r="C325">
        <v>0</v>
      </c>
      <c r="D325">
        <v>0</v>
      </c>
      <c r="E325">
        <v>0</v>
      </c>
      <c r="F325">
        <v>0</v>
      </c>
      <c r="H325">
        <v>0</v>
      </c>
      <c r="I325">
        <v>0</v>
      </c>
      <c r="J325">
        <v>1</v>
      </c>
      <c r="K325">
        <v>70.88</v>
      </c>
      <c r="L325">
        <v>2</v>
      </c>
      <c r="M325">
        <v>-70.88</v>
      </c>
      <c r="N325">
        <v>-1</v>
      </c>
    </row>
    <row r="326" spans="1:14" x14ac:dyDescent="0.25">
      <c r="A326" t="s">
        <v>355</v>
      </c>
      <c r="B326" t="s">
        <v>354</v>
      </c>
      <c r="C326">
        <v>0</v>
      </c>
      <c r="D326">
        <v>0</v>
      </c>
      <c r="E326">
        <v>0</v>
      </c>
      <c r="F326">
        <v>0</v>
      </c>
      <c r="H326">
        <v>0</v>
      </c>
      <c r="I326">
        <v>0</v>
      </c>
      <c r="J326">
        <v>3</v>
      </c>
      <c r="K326">
        <v>92.82</v>
      </c>
      <c r="L326">
        <v>3</v>
      </c>
      <c r="M326">
        <v>-92.82</v>
      </c>
      <c r="N326">
        <v>-3</v>
      </c>
    </row>
    <row r="327" spans="1:14" x14ac:dyDescent="0.25">
      <c r="A327" t="s">
        <v>357</v>
      </c>
      <c r="B327" t="s">
        <v>356</v>
      </c>
      <c r="C327">
        <v>2</v>
      </c>
      <c r="D327">
        <v>196.44</v>
      </c>
      <c r="E327">
        <v>0</v>
      </c>
      <c r="F327">
        <v>0</v>
      </c>
      <c r="G327">
        <v>0</v>
      </c>
      <c r="H327">
        <v>2</v>
      </c>
      <c r="I327">
        <v>196.44</v>
      </c>
      <c r="J327">
        <v>31</v>
      </c>
      <c r="K327">
        <v>2261.4499999999998</v>
      </c>
      <c r="L327">
        <v>3</v>
      </c>
      <c r="M327">
        <v>-2065.0100000000002</v>
      </c>
      <c r="N327">
        <v>-2.7281304370749195</v>
      </c>
    </row>
    <row r="328" spans="1:14" x14ac:dyDescent="0.25">
      <c r="A328" t="s">
        <v>359</v>
      </c>
      <c r="B328" t="s">
        <v>358</v>
      </c>
      <c r="C328">
        <v>0</v>
      </c>
      <c r="D328">
        <v>0</v>
      </c>
      <c r="E328">
        <v>0</v>
      </c>
      <c r="F328">
        <v>0</v>
      </c>
      <c r="H328">
        <v>0</v>
      </c>
      <c r="I328">
        <v>0</v>
      </c>
      <c r="J328">
        <v>0</v>
      </c>
      <c r="K328">
        <v>0</v>
      </c>
      <c r="L328">
        <v>3</v>
      </c>
      <c r="M328">
        <v>0</v>
      </c>
    </row>
    <row r="329" spans="1:14" x14ac:dyDescent="0.25">
      <c r="A329" t="s">
        <v>361</v>
      </c>
      <c r="B329" t="s">
        <v>360</v>
      </c>
      <c r="C329">
        <v>230</v>
      </c>
      <c r="D329">
        <v>3185.5</v>
      </c>
      <c r="E329">
        <v>10</v>
      </c>
      <c r="F329">
        <v>249</v>
      </c>
      <c r="G329">
        <v>0.25513839039694747</v>
      </c>
      <c r="H329">
        <v>240</v>
      </c>
      <c r="I329">
        <v>3434.5</v>
      </c>
      <c r="J329">
        <v>739</v>
      </c>
      <c r="K329">
        <v>10144.950000000001</v>
      </c>
      <c r="L329">
        <v>3</v>
      </c>
      <c r="M329">
        <v>-6710.45</v>
      </c>
      <c r="N329">
        <v>-1.5739881600306376</v>
      </c>
    </row>
    <row r="330" spans="1:14" x14ac:dyDescent="0.25">
      <c r="A330" t="s">
        <v>363</v>
      </c>
      <c r="B330" t="s">
        <v>362</v>
      </c>
      <c r="C330">
        <v>1</v>
      </c>
      <c r="D330">
        <v>10.65</v>
      </c>
      <c r="E330">
        <v>0</v>
      </c>
      <c r="F330">
        <v>0</v>
      </c>
      <c r="G330">
        <v>0</v>
      </c>
      <c r="H330">
        <v>1</v>
      </c>
      <c r="I330">
        <v>10.65</v>
      </c>
      <c r="J330">
        <v>1</v>
      </c>
      <c r="K330">
        <v>12.21</v>
      </c>
      <c r="L330">
        <v>3</v>
      </c>
      <c r="M330">
        <v>-1.5600000000000005</v>
      </c>
      <c r="N330">
        <v>-1</v>
      </c>
    </row>
    <row r="331" spans="1:14" x14ac:dyDescent="0.25">
      <c r="A331" t="s">
        <v>365</v>
      </c>
      <c r="B331" t="s">
        <v>364</v>
      </c>
      <c r="C331">
        <v>26</v>
      </c>
      <c r="D331">
        <v>975.62000000000012</v>
      </c>
      <c r="E331">
        <v>0</v>
      </c>
      <c r="F331">
        <v>0</v>
      </c>
      <c r="G331">
        <v>0</v>
      </c>
      <c r="H331">
        <v>26</v>
      </c>
      <c r="I331">
        <v>975.62000000000012</v>
      </c>
      <c r="J331">
        <v>68</v>
      </c>
      <c r="K331">
        <v>2527.41</v>
      </c>
      <c r="L331">
        <v>3</v>
      </c>
      <c r="M331">
        <v>-1551.7900000000002</v>
      </c>
      <c r="N331">
        <v>-1.9539666231095718</v>
      </c>
    </row>
    <row r="332" spans="1:14" x14ac:dyDescent="0.25">
      <c r="A332" t="s">
        <v>367</v>
      </c>
      <c r="B332" t="s">
        <v>366</v>
      </c>
      <c r="C332">
        <v>25</v>
      </c>
      <c r="D332">
        <v>665.67000000000007</v>
      </c>
      <c r="E332">
        <v>0</v>
      </c>
      <c r="F332">
        <v>0</v>
      </c>
      <c r="G332">
        <v>0</v>
      </c>
      <c r="H332">
        <v>25</v>
      </c>
      <c r="I332">
        <v>665.67000000000007</v>
      </c>
      <c r="J332">
        <v>32</v>
      </c>
      <c r="K332">
        <v>757.26</v>
      </c>
      <c r="L332">
        <v>3</v>
      </c>
      <c r="M332">
        <v>-91.589999999999975</v>
      </c>
      <c r="N332">
        <v>0.22946891610234926</v>
      </c>
    </row>
    <row r="333" spans="1:14" x14ac:dyDescent="0.25">
      <c r="A333" t="s">
        <v>369</v>
      </c>
      <c r="B333" t="s">
        <v>368</v>
      </c>
      <c r="C333">
        <v>524</v>
      </c>
      <c r="D333">
        <v>5677.1900000000005</v>
      </c>
      <c r="E333">
        <v>7</v>
      </c>
      <c r="F333">
        <v>76.300000000000011</v>
      </c>
      <c r="G333">
        <v>3.084211504957779E-2</v>
      </c>
      <c r="H333">
        <v>531</v>
      </c>
      <c r="I333">
        <v>5753.4900000000007</v>
      </c>
      <c r="J333">
        <v>3732</v>
      </c>
      <c r="K333">
        <v>30266.519999999997</v>
      </c>
      <c r="L333">
        <v>3</v>
      </c>
      <c r="M333">
        <v>-24513.03</v>
      </c>
      <c r="N333">
        <v>-2.4337755367687905</v>
      </c>
    </row>
    <row r="334" spans="1:14" x14ac:dyDescent="0.25">
      <c r="A334" t="s">
        <v>371</v>
      </c>
      <c r="B334" t="s">
        <v>370</v>
      </c>
      <c r="C334">
        <v>27</v>
      </c>
      <c r="D334">
        <v>873.08999999999992</v>
      </c>
      <c r="E334">
        <v>0</v>
      </c>
      <c r="F334">
        <v>0</v>
      </c>
      <c r="G334">
        <v>0</v>
      </c>
      <c r="H334">
        <v>27</v>
      </c>
      <c r="I334">
        <v>873.08999999999992</v>
      </c>
      <c r="J334">
        <v>72</v>
      </c>
      <c r="K334">
        <v>2354.4</v>
      </c>
      <c r="L334">
        <v>3</v>
      </c>
      <c r="M334">
        <v>-1481.3100000000002</v>
      </c>
      <c r="N334">
        <v>-1.6869245524296677</v>
      </c>
    </row>
    <row r="335" spans="1:14" x14ac:dyDescent="0.25">
      <c r="A335" t="s">
        <v>373</v>
      </c>
      <c r="B335" t="s">
        <v>372</v>
      </c>
      <c r="C335">
        <v>0</v>
      </c>
      <c r="D335">
        <v>0</v>
      </c>
      <c r="E335">
        <v>0</v>
      </c>
      <c r="F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</row>
    <row r="336" spans="1:14" x14ac:dyDescent="0.25">
      <c r="A336" t="s">
        <v>730</v>
      </c>
      <c r="B336" t="s">
        <v>731</v>
      </c>
      <c r="C336">
        <v>0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0</v>
      </c>
      <c r="K336">
        <v>0</v>
      </c>
      <c r="L336">
        <v>2</v>
      </c>
      <c r="M336">
        <v>0</v>
      </c>
    </row>
    <row r="337" spans="1:14" x14ac:dyDescent="0.25">
      <c r="A337" t="s">
        <v>375</v>
      </c>
      <c r="B337" t="s">
        <v>374</v>
      </c>
      <c r="C337">
        <v>23</v>
      </c>
      <c r="D337">
        <v>430.01</v>
      </c>
      <c r="E337">
        <v>0</v>
      </c>
      <c r="F337">
        <v>0</v>
      </c>
      <c r="G337">
        <v>0</v>
      </c>
      <c r="H337">
        <v>23</v>
      </c>
      <c r="I337">
        <v>430.01</v>
      </c>
      <c r="J337">
        <v>185</v>
      </c>
      <c r="K337">
        <v>3017.3500000000004</v>
      </c>
      <c r="L337">
        <v>3</v>
      </c>
      <c r="M337">
        <v>-2587.34</v>
      </c>
      <c r="N337">
        <v>-2.5731976406909096</v>
      </c>
    </row>
    <row r="338" spans="1:14" x14ac:dyDescent="0.25">
      <c r="A338" t="s">
        <v>377</v>
      </c>
      <c r="B338" t="s">
        <v>376</v>
      </c>
      <c r="C338">
        <v>18</v>
      </c>
      <c r="D338">
        <v>337.86</v>
      </c>
      <c r="E338">
        <v>0</v>
      </c>
      <c r="F338">
        <v>0</v>
      </c>
      <c r="G338">
        <v>0</v>
      </c>
      <c r="H338">
        <v>18</v>
      </c>
      <c r="I338">
        <v>337.86</v>
      </c>
      <c r="J338">
        <v>48</v>
      </c>
      <c r="K338">
        <v>782.88</v>
      </c>
      <c r="L338">
        <v>3</v>
      </c>
      <c r="M338">
        <v>-445.02000000000004</v>
      </c>
      <c r="N338">
        <v>-1.5876205339724656</v>
      </c>
    </row>
    <row r="339" spans="1:14" x14ac:dyDescent="0.25">
      <c r="A339" t="s">
        <v>379</v>
      </c>
      <c r="B339" t="s">
        <v>378</v>
      </c>
      <c r="C339">
        <v>24</v>
      </c>
      <c r="D339">
        <v>450.48</v>
      </c>
      <c r="E339">
        <v>45</v>
      </c>
      <c r="F339">
        <v>970.49999999999966</v>
      </c>
      <c r="G339">
        <v>1.7452467599423649</v>
      </c>
      <c r="H339">
        <v>69</v>
      </c>
      <c r="I339">
        <v>1420.9799999999996</v>
      </c>
      <c r="J339">
        <v>135</v>
      </c>
      <c r="K339">
        <v>2201.85</v>
      </c>
      <c r="L339">
        <v>3</v>
      </c>
      <c r="M339">
        <v>-780.87000000000035</v>
      </c>
      <c r="N339">
        <v>5.8316017629593988</v>
      </c>
    </row>
    <row r="340" spans="1:14" x14ac:dyDescent="0.25">
      <c r="A340" t="s">
        <v>381</v>
      </c>
      <c r="B340" t="s">
        <v>380</v>
      </c>
      <c r="C340">
        <v>11</v>
      </c>
      <c r="D340">
        <v>441.1</v>
      </c>
      <c r="E340">
        <v>0</v>
      </c>
      <c r="F340">
        <v>0</v>
      </c>
      <c r="G340">
        <v>0</v>
      </c>
      <c r="H340">
        <v>11</v>
      </c>
      <c r="I340">
        <v>441.1</v>
      </c>
      <c r="J340">
        <v>13</v>
      </c>
      <c r="K340">
        <v>518.32999999999993</v>
      </c>
      <c r="L340">
        <v>3</v>
      </c>
      <c r="M340">
        <v>-77.229999999999961</v>
      </c>
      <c r="N340">
        <v>1.2337902282734112</v>
      </c>
    </row>
    <row r="341" spans="1:14" x14ac:dyDescent="0.25">
      <c r="A341" t="s">
        <v>383</v>
      </c>
      <c r="B341" t="s">
        <v>382</v>
      </c>
      <c r="C341">
        <v>12</v>
      </c>
      <c r="D341">
        <v>157.54</v>
      </c>
      <c r="E341">
        <v>0</v>
      </c>
      <c r="F341">
        <v>0</v>
      </c>
      <c r="G341">
        <v>0</v>
      </c>
      <c r="H341">
        <v>12</v>
      </c>
      <c r="I341">
        <v>157.54</v>
      </c>
      <c r="J341">
        <v>10</v>
      </c>
      <c r="K341">
        <v>163.1</v>
      </c>
      <c r="L341">
        <v>3</v>
      </c>
      <c r="M341">
        <v>-5.5599999999999952</v>
      </c>
      <c r="N341">
        <v>-4.9662783568362887E-2</v>
      </c>
    </row>
    <row r="342" spans="1:14" x14ac:dyDescent="0.25">
      <c r="A342" t="s">
        <v>385</v>
      </c>
      <c r="B342" t="s">
        <v>384</v>
      </c>
      <c r="C342">
        <v>288</v>
      </c>
      <c r="D342">
        <v>4681.28</v>
      </c>
      <c r="E342">
        <v>34</v>
      </c>
      <c r="F342">
        <v>819.1099999999999</v>
      </c>
      <c r="G342">
        <v>0.43726375252250338</v>
      </c>
      <c r="H342">
        <v>322</v>
      </c>
      <c r="I342">
        <v>5500.39</v>
      </c>
      <c r="J342">
        <v>1695</v>
      </c>
      <c r="K342">
        <v>27645.45</v>
      </c>
      <c r="L342">
        <v>3</v>
      </c>
      <c r="M342">
        <v>-22145.06</v>
      </c>
      <c r="N342">
        <v>-0.59756361898791299</v>
      </c>
    </row>
    <row r="343" spans="1:14" x14ac:dyDescent="0.25">
      <c r="A343" t="s">
        <v>387</v>
      </c>
      <c r="B343" t="s">
        <v>386</v>
      </c>
      <c r="C343">
        <v>4</v>
      </c>
      <c r="D343">
        <v>180</v>
      </c>
      <c r="E343">
        <v>0</v>
      </c>
      <c r="F343">
        <v>0</v>
      </c>
      <c r="G343">
        <v>0</v>
      </c>
      <c r="H343">
        <v>4</v>
      </c>
      <c r="I343">
        <v>180</v>
      </c>
      <c r="J343">
        <v>4</v>
      </c>
      <c r="K343">
        <v>162.91</v>
      </c>
      <c r="L343">
        <v>3</v>
      </c>
      <c r="M343">
        <v>17.089999999999996</v>
      </c>
      <c r="N343">
        <v>-2</v>
      </c>
    </row>
    <row r="344" spans="1:14" x14ac:dyDescent="0.25">
      <c r="A344" t="s">
        <v>389</v>
      </c>
      <c r="B344" t="s">
        <v>388</v>
      </c>
      <c r="C344">
        <v>27</v>
      </c>
      <c r="D344">
        <v>218.96999999999997</v>
      </c>
      <c r="E344">
        <v>0</v>
      </c>
      <c r="F344">
        <v>0</v>
      </c>
      <c r="G344">
        <v>0</v>
      </c>
      <c r="H344">
        <v>27</v>
      </c>
      <c r="I344">
        <v>218.96999999999997</v>
      </c>
      <c r="J344">
        <v>78</v>
      </c>
      <c r="K344">
        <v>632.57999999999993</v>
      </c>
      <c r="L344">
        <v>3</v>
      </c>
      <c r="M344">
        <v>-413.61</v>
      </c>
      <c r="N344">
        <v>-1.9380952380952383</v>
      </c>
    </row>
    <row r="345" spans="1:14" x14ac:dyDescent="0.25">
      <c r="A345" t="s">
        <v>391</v>
      </c>
      <c r="B345" t="s">
        <v>390</v>
      </c>
      <c r="C345">
        <v>197</v>
      </c>
      <c r="D345">
        <v>17192.650000000001</v>
      </c>
      <c r="E345">
        <v>0</v>
      </c>
      <c r="F345">
        <v>0</v>
      </c>
      <c r="G345">
        <v>0</v>
      </c>
      <c r="H345">
        <v>197</v>
      </c>
      <c r="I345">
        <v>17192.650000000001</v>
      </c>
      <c r="J345">
        <v>60</v>
      </c>
      <c r="K345">
        <v>5181.68</v>
      </c>
      <c r="L345">
        <v>3</v>
      </c>
      <c r="M345">
        <v>12010.970000000001</v>
      </c>
      <c r="N345">
        <v>11.398204487932786</v>
      </c>
    </row>
    <row r="346" spans="1:14" x14ac:dyDescent="0.25">
      <c r="A346" t="s">
        <v>393</v>
      </c>
      <c r="B346" t="s">
        <v>392</v>
      </c>
      <c r="C346">
        <v>17</v>
      </c>
      <c r="D346">
        <v>1651.17</v>
      </c>
      <c r="E346">
        <v>0</v>
      </c>
      <c r="F346">
        <v>0</v>
      </c>
      <c r="G346">
        <v>0</v>
      </c>
      <c r="H346">
        <v>17</v>
      </c>
      <c r="I346">
        <v>1651.17</v>
      </c>
      <c r="J346">
        <v>90</v>
      </c>
      <c r="K346">
        <v>7370.1</v>
      </c>
      <c r="L346">
        <v>3</v>
      </c>
      <c r="M346">
        <v>-5718.9299999999994</v>
      </c>
      <c r="N346">
        <v>-1.7960824753969522</v>
      </c>
    </row>
    <row r="347" spans="1:14" x14ac:dyDescent="0.25">
      <c r="A347" t="s">
        <v>395</v>
      </c>
      <c r="B347" t="s">
        <v>394</v>
      </c>
      <c r="C347">
        <v>213</v>
      </c>
      <c r="D347">
        <v>2362.7399999999998</v>
      </c>
      <c r="E347">
        <v>0</v>
      </c>
      <c r="F347">
        <v>0</v>
      </c>
      <c r="G347">
        <v>0</v>
      </c>
      <c r="H347">
        <v>213</v>
      </c>
      <c r="I347">
        <v>2362.7399999999998</v>
      </c>
      <c r="J347">
        <v>601</v>
      </c>
      <c r="K347">
        <v>6352.57</v>
      </c>
      <c r="L347">
        <v>3</v>
      </c>
      <c r="M347">
        <v>-3989.8300000000008</v>
      </c>
      <c r="N347">
        <v>-1.8510142686710886</v>
      </c>
    </row>
    <row r="348" spans="1:14" x14ac:dyDescent="0.25">
      <c r="A348" t="s">
        <v>397</v>
      </c>
      <c r="B348" t="s">
        <v>396</v>
      </c>
      <c r="C348">
        <v>0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2</v>
      </c>
      <c r="K348">
        <v>114.6</v>
      </c>
      <c r="L348">
        <v>2</v>
      </c>
      <c r="M348">
        <v>-114.6</v>
      </c>
      <c r="N348">
        <v>-1</v>
      </c>
    </row>
    <row r="349" spans="1:14" x14ac:dyDescent="0.25">
      <c r="A349" t="s">
        <v>399</v>
      </c>
      <c r="B349" t="s">
        <v>398</v>
      </c>
      <c r="C349">
        <v>8</v>
      </c>
      <c r="D349">
        <v>340.28</v>
      </c>
      <c r="E349">
        <v>0</v>
      </c>
      <c r="F349">
        <v>0</v>
      </c>
      <c r="G349">
        <v>0</v>
      </c>
      <c r="H349">
        <v>8</v>
      </c>
      <c r="I349">
        <v>340.28</v>
      </c>
      <c r="J349">
        <v>21</v>
      </c>
      <c r="K349">
        <v>772.8</v>
      </c>
      <c r="L349">
        <v>3</v>
      </c>
      <c r="M349">
        <v>-432.52</v>
      </c>
      <c r="N349">
        <v>-1.4707246376811594</v>
      </c>
    </row>
    <row r="350" spans="1:14" x14ac:dyDescent="0.25">
      <c r="A350" t="s">
        <v>732</v>
      </c>
      <c r="B350" t="s">
        <v>733</v>
      </c>
      <c r="C350">
        <v>0</v>
      </c>
      <c r="D350">
        <v>0</v>
      </c>
      <c r="E350">
        <v>0</v>
      </c>
      <c r="F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</row>
    <row r="351" spans="1:14" x14ac:dyDescent="0.25">
      <c r="A351" t="s">
        <v>401</v>
      </c>
      <c r="B351" t="s">
        <v>400</v>
      </c>
      <c r="C351">
        <v>1307</v>
      </c>
      <c r="D351">
        <v>21264.89</v>
      </c>
      <c r="E351">
        <v>0</v>
      </c>
      <c r="F351">
        <v>0</v>
      </c>
      <c r="G351">
        <v>0</v>
      </c>
      <c r="H351">
        <v>1307</v>
      </c>
      <c r="I351">
        <v>21264.89</v>
      </c>
      <c r="J351">
        <v>920</v>
      </c>
      <c r="K351">
        <v>15005.199999999999</v>
      </c>
      <c r="L351">
        <v>3</v>
      </c>
      <c r="M351">
        <v>6259.6900000000023</v>
      </c>
      <c r="N351">
        <v>-96.894690852796487</v>
      </c>
    </row>
    <row r="352" spans="1:14" x14ac:dyDescent="0.25">
      <c r="A352" t="s">
        <v>403</v>
      </c>
      <c r="B352" t="s">
        <v>402</v>
      </c>
      <c r="C352">
        <v>8</v>
      </c>
      <c r="D352">
        <v>350.79</v>
      </c>
      <c r="E352">
        <v>0</v>
      </c>
      <c r="F352">
        <v>0</v>
      </c>
      <c r="G352">
        <v>0</v>
      </c>
      <c r="H352">
        <v>8</v>
      </c>
      <c r="I352">
        <v>350.79</v>
      </c>
      <c r="J352">
        <v>10</v>
      </c>
      <c r="K352">
        <v>297.52</v>
      </c>
      <c r="L352">
        <v>3</v>
      </c>
      <c r="M352">
        <v>53.270000000000024</v>
      </c>
      <c r="N352">
        <v>-0.86805639965965709</v>
      </c>
    </row>
    <row r="353" spans="1:14" x14ac:dyDescent="0.25">
      <c r="A353" t="s">
        <v>405</v>
      </c>
      <c r="B353" t="s">
        <v>404</v>
      </c>
      <c r="C353">
        <v>5</v>
      </c>
      <c r="D353">
        <v>760.35</v>
      </c>
      <c r="E353">
        <v>0</v>
      </c>
      <c r="F353">
        <v>0</v>
      </c>
      <c r="G353">
        <v>0</v>
      </c>
      <c r="H353">
        <v>5</v>
      </c>
      <c r="I353">
        <v>760.35</v>
      </c>
      <c r="J353">
        <v>3</v>
      </c>
      <c r="K353">
        <v>367.40999999999997</v>
      </c>
      <c r="L353">
        <v>3</v>
      </c>
      <c r="M353">
        <v>392.94000000000005</v>
      </c>
      <c r="N353">
        <v>1.8167716006540868</v>
      </c>
    </row>
    <row r="354" spans="1:14" x14ac:dyDescent="0.25">
      <c r="A354" t="s">
        <v>407</v>
      </c>
      <c r="B354" t="s">
        <v>406</v>
      </c>
      <c r="C354">
        <v>1316</v>
      </c>
      <c r="D354">
        <v>6459.9599999999991</v>
      </c>
      <c r="E354">
        <v>0</v>
      </c>
      <c r="F354">
        <v>0</v>
      </c>
      <c r="G354">
        <v>0</v>
      </c>
      <c r="H354">
        <v>1316</v>
      </c>
      <c r="I354">
        <v>6459.9599999999991</v>
      </c>
      <c r="J354">
        <v>1786</v>
      </c>
      <c r="K354">
        <v>7304.09</v>
      </c>
      <c r="L354">
        <v>3</v>
      </c>
      <c r="M354">
        <v>-844.12999999999988</v>
      </c>
      <c r="N354">
        <v>-7.3967867474624138E-2</v>
      </c>
    </row>
    <row r="355" spans="1:14" x14ac:dyDescent="0.25">
      <c r="A355" t="s">
        <v>409</v>
      </c>
      <c r="B355" t="s">
        <v>408</v>
      </c>
      <c r="C355">
        <v>91</v>
      </c>
      <c r="D355">
        <v>517.52</v>
      </c>
      <c r="E355">
        <v>0</v>
      </c>
      <c r="F355">
        <v>0</v>
      </c>
      <c r="G355">
        <v>0</v>
      </c>
      <c r="H355">
        <v>91</v>
      </c>
      <c r="I355">
        <v>517.52</v>
      </c>
      <c r="J355">
        <v>2450</v>
      </c>
      <c r="K355">
        <v>9849</v>
      </c>
      <c r="L355">
        <v>3</v>
      </c>
      <c r="M355">
        <v>-9331.4799999999977</v>
      </c>
      <c r="N355">
        <v>2.7660955543643704</v>
      </c>
    </row>
    <row r="356" spans="1:14" x14ac:dyDescent="0.25">
      <c r="A356" t="s">
        <v>411</v>
      </c>
      <c r="B356" t="s">
        <v>410</v>
      </c>
      <c r="C356">
        <v>28</v>
      </c>
      <c r="D356">
        <v>115.10999999999999</v>
      </c>
      <c r="E356">
        <v>0</v>
      </c>
      <c r="F356">
        <v>0</v>
      </c>
      <c r="G356">
        <v>0</v>
      </c>
      <c r="H356">
        <v>28</v>
      </c>
      <c r="I356">
        <v>115.10999999999999</v>
      </c>
      <c r="J356">
        <v>19</v>
      </c>
      <c r="K356">
        <v>124.44999999999999</v>
      </c>
      <c r="L356">
        <v>3</v>
      </c>
      <c r="M356">
        <v>-9.3399999999999963</v>
      </c>
      <c r="N356">
        <v>-0.53346055979643769</v>
      </c>
    </row>
    <row r="357" spans="1:14" x14ac:dyDescent="0.25">
      <c r="A357" t="s">
        <v>413</v>
      </c>
      <c r="B357" t="s">
        <v>412</v>
      </c>
      <c r="C357">
        <v>0</v>
      </c>
      <c r="D357">
        <v>0</v>
      </c>
      <c r="E357">
        <v>0</v>
      </c>
      <c r="F357">
        <v>0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</row>
    <row r="358" spans="1:14" x14ac:dyDescent="0.25">
      <c r="A358" t="s">
        <v>415</v>
      </c>
      <c r="B358" t="s">
        <v>414</v>
      </c>
      <c r="C358">
        <v>363</v>
      </c>
      <c r="D358">
        <v>4029.0400000000004</v>
      </c>
      <c r="E358">
        <v>0</v>
      </c>
      <c r="F358">
        <v>0</v>
      </c>
      <c r="G358">
        <v>0</v>
      </c>
      <c r="H358">
        <v>363</v>
      </c>
      <c r="I358">
        <v>4029.0400000000004</v>
      </c>
      <c r="J358">
        <v>46</v>
      </c>
      <c r="K358">
        <v>486.22</v>
      </c>
      <c r="L358">
        <v>3</v>
      </c>
      <c r="M358">
        <v>3542.82</v>
      </c>
      <c r="N358">
        <v>2.7755337090206078</v>
      </c>
    </row>
    <row r="359" spans="1:14" x14ac:dyDescent="0.25">
      <c r="A359" t="s">
        <v>417</v>
      </c>
      <c r="B359" t="s">
        <v>416</v>
      </c>
      <c r="C359">
        <v>0</v>
      </c>
      <c r="D359">
        <v>0</v>
      </c>
      <c r="E359">
        <v>0</v>
      </c>
      <c r="F359">
        <v>0</v>
      </c>
      <c r="H359">
        <v>0</v>
      </c>
      <c r="I359">
        <v>0</v>
      </c>
      <c r="J359">
        <v>0</v>
      </c>
      <c r="K359">
        <v>0</v>
      </c>
      <c r="L359">
        <v>3</v>
      </c>
      <c r="M359">
        <v>0</v>
      </c>
    </row>
    <row r="360" spans="1:14" x14ac:dyDescent="0.25">
      <c r="A360" t="s">
        <v>734</v>
      </c>
      <c r="B360" t="s">
        <v>735</v>
      </c>
      <c r="C360">
        <v>0</v>
      </c>
      <c r="D360">
        <v>0</v>
      </c>
      <c r="E360">
        <v>0</v>
      </c>
      <c r="F360">
        <v>0</v>
      </c>
      <c r="H360">
        <v>0</v>
      </c>
      <c r="I360">
        <v>0</v>
      </c>
      <c r="J360">
        <v>153</v>
      </c>
      <c r="K360">
        <v>615.06000000000006</v>
      </c>
      <c r="L360">
        <v>3</v>
      </c>
      <c r="M360">
        <v>-615.06000000000006</v>
      </c>
      <c r="N360">
        <v>-3</v>
      </c>
    </row>
    <row r="361" spans="1:14" x14ac:dyDescent="0.25">
      <c r="A361" t="s">
        <v>419</v>
      </c>
      <c r="B361" t="s">
        <v>418</v>
      </c>
      <c r="C361">
        <v>524</v>
      </c>
      <c r="D361">
        <v>4729.78</v>
      </c>
      <c r="E361">
        <v>0</v>
      </c>
      <c r="F361">
        <v>0</v>
      </c>
      <c r="G361">
        <v>0</v>
      </c>
      <c r="H361">
        <v>524</v>
      </c>
      <c r="I361">
        <v>4729.78</v>
      </c>
      <c r="J361">
        <v>36</v>
      </c>
      <c r="K361">
        <v>304.26</v>
      </c>
      <c r="L361">
        <v>3</v>
      </c>
      <c r="M361">
        <v>4425.5199999999995</v>
      </c>
      <c r="N361">
        <v>3.9088937093275486</v>
      </c>
    </row>
    <row r="362" spans="1:14" x14ac:dyDescent="0.25">
      <c r="A362" t="s">
        <v>421</v>
      </c>
      <c r="B362" t="s">
        <v>420</v>
      </c>
      <c r="C362">
        <v>14</v>
      </c>
      <c r="D362">
        <v>572.6</v>
      </c>
      <c r="E362">
        <v>0</v>
      </c>
      <c r="F362">
        <v>0</v>
      </c>
      <c r="G362">
        <v>0</v>
      </c>
      <c r="H362">
        <v>14</v>
      </c>
      <c r="I362">
        <v>572.6</v>
      </c>
      <c r="J362">
        <v>0</v>
      </c>
      <c r="K362">
        <v>0</v>
      </c>
      <c r="L362">
        <v>3</v>
      </c>
      <c r="M362">
        <v>572.6</v>
      </c>
    </row>
    <row r="363" spans="1:14" x14ac:dyDescent="0.25">
      <c r="A363" t="s">
        <v>736</v>
      </c>
      <c r="B363" t="s">
        <v>737</v>
      </c>
      <c r="C363">
        <v>0</v>
      </c>
      <c r="D363">
        <v>0</v>
      </c>
      <c r="E363">
        <v>0</v>
      </c>
      <c r="F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</row>
    <row r="364" spans="1:14" x14ac:dyDescent="0.25">
      <c r="A364" t="s">
        <v>423</v>
      </c>
      <c r="B364" t="s">
        <v>422</v>
      </c>
      <c r="C364">
        <v>65</v>
      </c>
      <c r="D364">
        <v>2595.4700000000003</v>
      </c>
      <c r="E364">
        <v>0</v>
      </c>
      <c r="F364">
        <v>0</v>
      </c>
      <c r="G364">
        <v>0</v>
      </c>
      <c r="H364">
        <v>65</v>
      </c>
      <c r="I364">
        <v>2595.4700000000003</v>
      </c>
      <c r="J364">
        <v>0</v>
      </c>
      <c r="K364">
        <v>0</v>
      </c>
      <c r="L364">
        <v>3</v>
      </c>
      <c r="M364">
        <v>2595.4700000000003</v>
      </c>
    </row>
    <row r="365" spans="1:14" x14ac:dyDescent="0.25">
      <c r="A365" t="s">
        <v>738</v>
      </c>
      <c r="B365" t="s">
        <v>739</v>
      </c>
      <c r="C365">
        <v>0</v>
      </c>
      <c r="D365">
        <v>0</v>
      </c>
      <c r="E365">
        <v>0</v>
      </c>
      <c r="F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</row>
    <row r="366" spans="1:14" x14ac:dyDescent="0.25">
      <c r="A366" t="s">
        <v>425</v>
      </c>
      <c r="B366" t="s">
        <v>424</v>
      </c>
      <c r="C366">
        <v>5</v>
      </c>
      <c r="D366">
        <v>114.25</v>
      </c>
      <c r="E366">
        <v>0</v>
      </c>
      <c r="F366">
        <v>0</v>
      </c>
      <c r="G366">
        <v>0</v>
      </c>
      <c r="H366">
        <v>5</v>
      </c>
      <c r="I366">
        <v>114.25</v>
      </c>
      <c r="J366">
        <v>0</v>
      </c>
      <c r="K366">
        <v>0</v>
      </c>
      <c r="L366">
        <v>3</v>
      </c>
      <c r="M366">
        <v>114.25</v>
      </c>
    </row>
    <row r="367" spans="1:14" x14ac:dyDescent="0.25">
      <c r="A367" t="s">
        <v>427</v>
      </c>
      <c r="B367" t="s">
        <v>426</v>
      </c>
      <c r="C367">
        <v>14</v>
      </c>
      <c r="D367">
        <v>428.26</v>
      </c>
      <c r="E367">
        <v>0</v>
      </c>
      <c r="F367">
        <v>0</v>
      </c>
      <c r="G367">
        <v>0</v>
      </c>
      <c r="H367">
        <v>14</v>
      </c>
      <c r="I367">
        <v>428.26</v>
      </c>
      <c r="J367">
        <v>0</v>
      </c>
      <c r="K367">
        <v>0</v>
      </c>
      <c r="L367">
        <v>3</v>
      </c>
      <c r="M367">
        <v>428.26</v>
      </c>
    </row>
    <row r="368" spans="1:14" x14ac:dyDescent="0.25">
      <c r="A368" t="s">
        <v>429</v>
      </c>
      <c r="B368" t="s">
        <v>428</v>
      </c>
      <c r="C368">
        <v>0</v>
      </c>
      <c r="D368">
        <v>0</v>
      </c>
      <c r="E368">
        <v>0</v>
      </c>
      <c r="F368">
        <v>0</v>
      </c>
      <c r="H368">
        <v>0</v>
      </c>
      <c r="I368">
        <v>0</v>
      </c>
      <c r="J368">
        <v>0</v>
      </c>
      <c r="K368">
        <v>0</v>
      </c>
      <c r="L368">
        <v>2</v>
      </c>
      <c r="M368">
        <v>0</v>
      </c>
    </row>
    <row r="369" spans="1:13" x14ac:dyDescent="0.25">
      <c r="A369" t="s">
        <v>431</v>
      </c>
      <c r="B369" t="s">
        <v>430</v>
      </c>
      <c r="C369">
        <v>14</v>
      </c>
      <c r="D369">
        <v>400.54</v>
      </c>
      <c r="E369">
        <v>0</v>
      </c>
      <c r="F369">
        <v>0</v>
      </c>
      <c r="G369">
        <v>0</v>
      </c>
      <c r="H369">
        <v>14</v>
      </c>
      <c r="I369">
        <v>400.54</v>
      </c>
      <c r="J369">
        <v>0</v>
      </c>
      <c r="K369">
        <v>0</v>
      </c>
      <c r="L369">
        <v>3</v>
      </c>
      <c r="M369">
        <v>400.54</v>
      </c>
    </row>
    <row r="370" spans="1:13" x14ac:dyDescent="0.25">
      <c r="A370" t="s">
        <v>433</v>
      </c>
      <c r="B370" t="s">
        <v>432</v>
      </c>
      <c r="C370">
        <v>0</v>
      </c>
      <c r="D370">
        <v>0</v>
      </c>
      <c r="E370">
        <v>0</v>
      </c>
      <c r="F370">
        <v>0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0</v>
      </c>
    </row>
    <row r="371" spans="1:13" x14ac:dyDescent="0.25">
      <c r="A371" t="s">
        <v>435</v>
      </c>
      <c r="B371" t="s">
        <v>434</v>
      </c>
      <c r="C371">
        <v>0</v>
      </c>
      <c r="D371">
        <v>0</v>
      </c>
      <c r="E371">
        <v>0</v>
      </c>
      <c r="F371">
        <v>0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</row>
    <row r="372" spans="1:13" x14ac:dyDescent="0.25">
      <c r="A372" t="s">
        <v>437</v>
      </c>
      <c r="B372" t="s">
        <v>436</v>
      </c>
      <c r="C372">
        <v>26</v>
      </c>
      <c r="D372">
        <v>452.14</v>
      </c>
      <c r="E372">
        <v>0</v>
      </c>
      <c r="F372">
        <v>0</v>
      </c>
      <c r="G372">
        <v>0</v>
      </c>
      <c r="H372">
        <v>26</v>
      </c>
      <c r="I372">
        <v>452.14</v>
      </c>
      <c r="J372">
        <v>0</v>
      </c>
      <c r="K372">
        <v>0</v>
      </c>
      <c r="L372">
        <v>3</v>
      </c>
      <c r="M372">
        <v>452.14</v>
      </c>
    </row>
    <row r="373" spans="1:13" x14ac:dyDescent="0.25">
      <c r="A373" t="s">
        <v>740</v>
      </c>
      <c r="B373" t="s">
        <v>741</v>
      </c>
      <c r="C373">
        <v>0</v>
      </c>
      <c r="D373">
        <v>0</v>
      </c>
      <c r="E373">
        <v>0</v>
      </c>
      <c r="F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</row>
    <row r="374" spans="1:13" x14ac:dyDescent="0.25">
      <c r="A374" t="s">
        <v>439</v>
      </c>
      <c r="B374" t="s">
        <v>438</v>
      </c>
      <c r="C374">
        <v>3</v>
      </c>
      <c r="D374">
        <v>46.36</v>
      </c>
      <c r="E374">
        <v>0</v>
      </c>
      <c r="F374">
        <v>0</v>
      </c>
      <c r="G374">
        <v>0</v>
      </c>
      <c r="H374">
        <v>3</v>
      </c>
      <c r="I374">
        <v>46.36</v>
      </c>
      <c r="J374">
        <v>0</v>
      </c>
      <c r="K374">
        <v>0</v>
      </c>
      <c r="L374">
        <v>3</v>
      </c>
      <c r="M374">
        <v>46.36</v>
      </c>
    </row>
    <row r="375" spans="1:13" x14ac:dyDescent="0.25">
      <c r="A375" t="s">
        <v>742</v>
      </c>
      <c r="B375" t="s">
        <v>743</v>
      </c>
      <c r="C375">
        <v>0</v>
      </c>
      <c r="D375">
        <v>0</v>
      </c>
      <c r="E375">
        <v>0</v>
      </c>
      <c r="F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</row>
    <row r="376" spans="1:13" x14ac:dyDescent="0.25">
      <c r="A376" t="s">
        <v>441</v>
      </c>
      <c r="B376" t="s">
        <v>440</v>
      </c>
      <c r="C376">
        <v>0</v>
      </c>
      <c r="D376">
        <v>0</v>
      </c>
      <c r="E376">
        <v>0</v>
      </c>
      <c r="F376">
        <v>0</v>
      </c>
      <c r="H376">
        <v>0</v>
      </c>
      <c r="I376">
        <v>0</v>
      </c>
      <c r="J376">
        <v>0</v>
      </c>
      <c r="K376">
        <v>0</v>
      </c>
      <c r="L376">
        <v>3</v>
      </c>
      <c r="M376">
        <v>0</v>
      </c>
    </row>
    <row r="377" spans="1:13" x14ac:dyDescent="0.25">
      <c r="A377" t="s">
        <v>443</v>
      </c>
      <c r="B377" t="s">
        <v>442</v>
      </c>
      <c r="C377">
        <v>0</v>
      </c>
      <c r="D377">
        <v>0</v>
      </c>
      <c r="E377">
        <v>0</v>
      </c>
      <c r="F377">
        <v>0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</row>
    <row r="378" spans="1:13" x14ac:dyDescent="0.25">
      <c r="A378" t="s">
        <v>445</v>
      </c>
      <c r="B378" t="s">
        <v>444</v>
      </c>
      <c r="C378">
        <v>245</v>
      </c>
      <c r="D378">
        <v>5030.05</v>
      </c>
      <c r="E378">
        <v>0</v>
      </c>
      <c r="F378">
        <v>0</v>
      </c>
      <c r="G378">
        <v>0</v>
      </c>
      <c r="H378">
        <v>245</v>
      </c>
      <c r="I378">
        <v>5030.05</v>
      </c>
      <c r="J378">
        <v>0</v>
      </c>
      <c r="K378">
        <v>0</v>
      </c>
      <c r="L378">
        <v>3</v>
      </c>
      <c r="M378">
        <v>5030.05</v>
      </c>
    </row>
    <row r="379" spans="1:13" x14ac:dyDescent="0.25">
      <c r="A379" t="s">
        <v>447</v>
      </c>
      <c r="B379" t="s">
        <v>446</v>
      </c>
      <c r="C379">
        <v>74</v>
      </c>
      <c r="D379">
        <v>381.96</v>
      </c>
      <c r="E379">
        <v>0</v>
      </c>
      <c r="F379">
        <v>0</v>
      </c>
      <c r="G379">
        <v>0</v>
      </c>
      <c r="H379">
        <v>74</v>
      </c>
      <c r="I379">
        <v>381.96</v>
      </c>
      <c r="J379">
        <v>0</v>
      </c>
      <c r="K379">
        <v>0</v>
      </c>
      <c r="L379">
        <v>3</v>
      </c>
      <c r="M379">
        <v>381.96</v>
      </c>
    </row>
    <row r="380" spans="1:13" x14ac:dyDescent="0.25">
      <c r="A380" t="s">
        <v>449</v>
      </c>
      <c r="B380" t="s">
        <v>448</v>
      </c>
      <c r="C380">
        <v>25</v>
      </c>
      <c r="D380">
        <v>163.75000000000003</v>
      </c>
      <c r="E380">
        <v>0</v>
      </c>
      <c r="F380">
        <v>0</v>
      </c>
      <c r="G380">
        <v>0</v>
      </c>
      <c r="H380">
        <v>25</v>
      </c>
      <c r="I380">
        <v>163.75000000000003</v>
      </c>
      <c r="J380">
        <v>0</v>
      </c>
      <c r="K380">
        <v>0</v>
      </c>
      <c r="L380">
        <v>3</v>
      </c>
      <c r="M380">
        <v>163.75000000000003</v>
      </c>
    </row>
    <row r="381" spans="1:13" x14ac:dyDescent="0.25">
      <c r="A381" t="s">
        <v>451</v>
      </c>
      <c r="B381" t="s">
        <v>450</v>
      </c>
      <c r="C381">
        <v>675</v>
      </c>
      <c r="D381">
        <v>3835.0699999999997</v>
      </c>
      <c r="E381">
        <v>0</v>
      </c>
      <c r="F381">
        <v>0</v>
      </c>
      <c r="G381">
        <v>0</v>
      </c>
      <c r="H381">
        <v>675</v>
      </c>
      <c r="I381">
        <v>3835.0699999999997</v>
      </c>
      <c r="J381">
        <v>0</v>
      </c>
      <c r="K381">
        <v>0</v>
      </c>
      <c r="L381">
        <v>3</v>
      </c>
      <c r="M381">
        <v>3835.0699999999997</v>
      </c>
    </row>
    <row r="382" spans="1:13" x14ac:dyDescent="0.25">
      <c r="A382" t="s">
        <v>453</v>
      </c>
      <c r="B382" t="s">
        <v>452</v>
      </c>
      <c r="C382">
        <v>355</v>
      </c>
      <c r="D382">
        <v>9699.85</v>
      </c>
      <c r="E382">
        <v>0</v>
      </c>
      <c r="F382">
        <v>0</v>
      </c>
      <c r="G382">
        <v>0</v>
      </c>
      <c r="H382">
        <v>355</v>
      </c>
      <c r="I382">
        <v>9699.85</v>
      </c>
      <c r="J382">
        <v>0</v>
      </c>
      <c r="K382">
        <v>0</v>
      </c>
      <c r="L382">
        <v>3</v>
      </c>
      <c r="M382">
        <v>9699.85</v>
      </c>
    </row>
    <row r="383" spans="1:13" x14ac:dyDescent="0.25">
      <c r="A383" t="s">
        <v>455</v>
      </c>
      <c r="B383" t="s">
        <v>454</v>
      </c>
      <c r="C383">
        <v>524</v>
      </c>
      <c r="D383">
        <v>7588.119999999999</v>
      </c>
      <c r="E383">
        <v>0</v>
      </c>
      <c r="F383">
        <v>0</v>
      </c>
      <c r="G383">
        <v>0</v>
      </c>
      <c r="H383">
        <v>524</v>
      </c>
      <c r="I383">
        <v>7588.119999999999</v>
      </c>
      <c r="J383">
        <v>0</v>
      </c>
      <c r="K383">
        <v>0</v>
      </c>
      <c r="L383">
        <v>3</v>
      </c>
      <c r="M383">
        <v>7588.119999999999</v>
      </c>
    </row>
    <row r="384" spans="1:13" x14ac:dyDescent="0.25">
      <c r="A384" t="s">
        <v>457</v>
      </c>
      <c r="B384" t="s">
        <v>456</v>
      </c>
      <c r="C384">
        <v>3</v>
      </c>
      <c r="D384">
        <v>185.15</v>
      </c>
      <c r="E384">
        <v>0</v>
      </c>
      <c r="F384">
        <v>0</v>
      </c>
      <c r="G384">
        <v>0</v>
      </c>
      <c r="H384">
        <v>3</v>
      </c>
      <c r="I384">
        <v>185.15</v>
      </c>
      <c r="J384">
        <v>0</v>
      </c>
      <c r="K384">
        <v>0</v>
      </c>
      <c r="L384">
        <v>3</v>
      </c>
      <c r="M384">
        <v>185.15</v>
      </c>
    </row>
    <row r="385" spans="1:14" x14ac:dyDescent="0.25">
      <c r="A385" t="s">
        <v>459</v>
      </c>
      <c r="B385" t="s">
        <v>458</v>
      </c>
      <c r="C385">
        <v>13</v>
      </c>
      <c r="D385">
        <v>531.70000000000005</v>
      </c>
      <c r="E385">
        <v>0</v>
      </c>
      <c r="F385">
        <v>0</v>
      </c>
      <c r="G385">
        <v>0</v>
      </c>
      <c r="H385">
        <v>13</v>
      </c>
      <c r="I385">
        <v>531.70000000000005</v>
      </c>
      <c r="J385">
        <v>0</v>
      </c>
      <c r="K385">
        <v>0</v>
      </c>
      <c r="L385">
        <v>3</v>
      </c>
      <c r="M385">
        <v>531.70000000000005</v>
      </c>
    </row>
    <row r="386" spans="1:14" x14ac:dyDescent="0.25">
      <c r="A386" t="s">
        <v>744</v>
      </c>
      <c r="B386" t="s">
        <v>745</v>
      </c>
      <c r="C386">
        <v>4</v>
      </c>
      <c r="D386">
        <v>228.9</v>
      </c>
      <c r="E386">
        <v>0</v>
      </c>
      <c r="F386">
        <v>0</v>
      </c>
      <c r="G386">
        <v>0</v>
      </c>
      <c r="H386">
        <v>4</v>
      </c>
      <c r="I386">
        <v>228.9</v>
      </c>
      <c r="J386">
        <v>0</v>
      </c>
      <c r="K386">
        <v>0</v>
      </c>
      <c r="L386">
        <v>1</v>
      </c>
      <c r="M386">
        <v>228.9</v>
      </c>
    </row>
    <row r="387" spans="1:14" x14ac:dyDescent="0.25">
      <c r="A387" t="s">
        <v>461</v>
      </c>
      <c r="B387" t="s">
        <v>460</v>
      </c>
      <c r="C387">
        <v>190</v>
      </c>
      <c r="D387">
        <v>3098.9</v>
      </c>
      <c r="E387">
        <v>30</v>
      </c>
      <c r="F387">
        <v>662</v>
      </c>
      <c r="G387">
        <v>1.074374981331581</v>
      </c>
      <c r="H387">
        <v>220</v>
      </c>
      <c r="I387">
        <v>3760.8999999999996</v>
      </c>
      <c r="J387">
        <v>0</v>
      </c>
      <c r="K387">
        <v>0</v>
      </c>
      <c r="L387">
        <v>3</v>
      </c>
      <c r="M387">
        <v>3760.8999999999996</v>
      </c>
    </row>
    <row r="388" spans="1:14" x14ac:dyDescent="0.25">
      <c r="A388" t="s">
        <v>463</v>
      </c>
      <c r="B388" t="s">
        <v>462</v>
      </c>
      <c r="C388">
        <v>698</v>
      </c>
      <c r="D388">
        <v>11384.38</v>
      </c>
      <c r="E388">
        <v>85</v>
      </c>
      <c r="F388">
        <v>1745.6799999999992</v>
      </c>
      <c r="G388">
        <v>0.62300722846193601</v>
      </c>
      <c r="H388">
        <v>783</v>
      </c>
      <c r="I388">
        <v>13130.059999999998</v>
      </c>
      <c r="J388">
        <v>0</v>
      </c>
      <c r="K388">
        <v>0</v>
      </c>
      <c r="L388">
        <v>3</v>
      </c>
      <c r="M388">
        <v>13130.059999999998</v>
      </c>
    </row>
    <row r="389" spans="1:14" x14ac:dyDescent="0.25">
      <c r="A389" t="s">
        <v>465</v>
      </c>
      <c r="B389" t="s">
        <v>464</v>
      </c>
      <c r="C389">
        <v>271</v>
      </c>
      <c r="D389">
        <v>4420.01</v>
      </c>
      <c r="E389">
        <v>163</v>
      </c>
      <c r="F389">
        <v>3963.7000000000025</v>
      </c>
      <c r="G389">
        <v>1.5830005040402857</v>
      </c>
      <c r="H389">
        <v>434</v>
      </c>
      <c r="I389">
        <v>8383.7100000000028</v>
      </c>
      <c r="J389">
        <v>0</v>
      </c>
      <c r="K389">
        <v>0</v>
      </c>
      <c r="L389">
        <v>3</v>
      </c>
      <c r="M389">
        <v>8383.7100000000028</v>
      </c>
    </row>
    <row r="390" spans="1:14" x14ac:dyDescent="0.25">
      <c r="A390" t="s">
        <v>467</v>
      </c>
      <c r="B390" t="s">
        <v>466</v>
      </c>
      <c r="C390">
        <v>48</v>
      </c>
      <c r="D390">
        <v>2356.8000000000002</v>
      </c>
      <c r="E390">
        <v>0</v>
      </c>
      <c r="F390">
        <v>0</v>
      </c>
      <c r="G390">
        <v>0</v>
      </c>
      <c r="H390">
        <v>48</v>
      </c>
      <c r="I390">
        <v>2356.8000000000002</v>
      </c>
      <c r="J390">
        <v>0</v>
      </c>
      <c r="K390">
        <v>0</v>
      </c>
      <c r="L390">
        <v>3</v>
      </c>
      <c r="M390">
        <v>2356.8000000000002</v>
      </c>
    </row>
    <row r="391" spans="1:14" x14ac:dyDescent="0.25">
      <c r="A391" t="s">
        <v>469</v>
      </c>
      <c r="B391" t="s">
        <v>468</v>
      </c>
      <c r="C391">
        <v>462</v>
      </c>
      <c r="D391">
        <v>11885.85</v>
      </c>
      <c r="E391">
        <v>0</v>
      </c>
      <c r="F391">
        <v>0</v>
      </c>
      <c r="G391">
        <v>0</v>
      </c>
      <c r="H391">
        <v>462</v>
      </c>
      <c r="I391">
        <v>11885.85</v>
      </c>
      <c r="J391">
        <v>0</v>
      </c>
      <c r="K391">
        <v>0</v>
      </c>
      <c r="L391">
        <v>3</v>
      </c>
      <c r="M391">
        <v>11885.85</v>
      </c>
    </row>
    <row r="392" spans="1:14" x14ac:dyDescent="0.25">
      <c r="A392" t="s">
        <v>471</v>
      </c>
      <c r="B392" t="s">
        <v>470</v>
      </c>
      <c r="C392">
        <v>16</v>
      </c>
      <c r="D392">
        <v>234.72</v>
      </c>
      <c r="E392">
        <v>0</v>
      </c>
      <c r="F392">
        <v>0</v>
      </c>
      <c r="G392">
        <v>0</v>
      </c>
      <c r="H392">
        <v>16</v>
      </c>
      <c r="I392">
        <v>234.72</v>
      </c>
      <c r="J392">
        <v>0</v>
      </c>
      <c r="K392">
        <v>0</v>
      </c>
      <c r="L392">
        <v>2</v>
      </c>
      <c r="M392">
        <v>234.72</v>
      </c>
    </row>
    <row r="393" spans="1:14" x14ac:dyDescent="0.25">
      <c r="A393" t="s">
        <v>746</v>
      </c>
      <c r="B393" t="s">
        <v>746</v>
      </c>
    </row>
    <row r="394" spans="1:14" x14ac:dyDescent="0.25">
      <c r="A394" t="s">
        <v>571</v>
      </c>
      <c r="C394">
        <v>21015</v>
      </c>
      <c r="D394">
        <v>343649.55</v>
      </c>
      <c r="E394">
        <v>9852</v>
      </c>
      <c r="F394">
        <v>278651.12999999931</v>
      </c>
      <c r="G394">
        <v>91.249189224193358</v>
      </c>
      <c r="H394">
        <v>30867</v>
      </c>
      <c r="I394">
        <v>622300.67999999877</v>
      </c>
      <c r="J394">
        <v>74637</v>
      </c>
      <c r="K394">
        <v>1140144.2600000002</v>
      </c>
      <c r="L394" t="e">
        <v>#REF!</v>
      </c>
      <c r="M394">
        <v>-517843.58000000147</v>
      </c>
      <c r="N394">
        <v>-292.79165752131905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9CAC-7D21-4EC6-90BE-7E5508D0F9FC}">
  <dimension ref="A1:N3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1" sqref="A1:XFD2"/>
    </sheetView>
  </sheetViews>
  <sheetFormatPr defaultRowHeight="15" x14ac:dyDescent="0.25"/>
  <cols>
    <col min="1" max="1" width="18.28515625" style="3" bestFit="1" customWidth="1"/>
    <col min="2" max="2" width="15.85546875" style="3" bestFit="1" customWidth="1"/>
    <col min="3" max="3" width="16.140625" style="3" bestFit="1" customWidth="1"/>
    <col min="4" max="4" width="21.85546875" style="85" bestFit="1" customWidth="1"/>
    <col min="5" max="5" width="12.140625" style="3" bestFit="1" customWidth="1"/>
    <col min="6" max="6" width="17.85546875" style="85" bestFit="1" customWidth="1"/>
    <col min="7" max="7" width="26.140625" style="10" customWidth="1"/>
    <col min="8" max="8" width="20.42578125" style="3" bestFit="1" customWidth="1"/>
    <col min="9" max="9" width="26.140625" style="85" bestFit="1" customWidth="1"/>
    <col min="10" max="10" width="16.140625" style="3" bestFit="1" customWidth="1"/>
    <col min="11" max="11" width="21.85546875" style="85" bestFit="1" customWidth="1"/>
    <col min="12" max="12" width="20.7109375" style="3" customWidth="1"/>
    <col min="13" max="13" width="20.140625" style="85" customWidth="1"/>
    <col min="14" max="14" width="20.28515625" style="10" customWidth="1"/>
    <col min="15" max="16384" width="9.140625" style="3"/>
  </cols>
  <sheetData>
    <row r="1" spans="1:14" ht="15.75" thickBot="1" x14ac:dyDescent="0.3">
      <c r="A1" s="49" t="s">
        <v>1</v>
      </c>
      <c r="B1" s="66" t="s">
        <v>0</v>
      </c>
      <c r="C1" s="61" t="s">
        <v>789</v>
      </c>
      <c r="D1" s="50" t="s">
        <v>790</v>
      </c>
      <c r="E1" s="51" t="s">
        <v>791</v>
      </c>
      <c r="F1" s="50" t="s">
        <v>792</v>
      </c>
      <c r="G1" s="52" t="s">
        <v>799</v>
      </c>
      <c r="H1" s="51" t="s">
        <v>793</v>
      </c>
      <c r="I1" s="50" t="s">
        <v>794</v>
      </c>
      <c r="J1" s="72" t="s">
        <v>795</v>
      </c>
      <c r="K1" s="56" t="s">
        <v>796</v>
      </c>
      <c r="L1" s="73" t="s">
        <v>802</v>
      </c>
      <c r="M1" s="58" t="s">
        <v>803</v>
      </c>
      <c r="N1" s="59" t="s">
        <v>804</v>
      </c>
    </row>
    <row r="2" spans="1:14" x14ac:dyDescent="0.25">
      <c r="A2" s="96" t="s">
        <v>571</v>
      </c>
      <c r="B2" s="98"/>
      <c r="C2" s="96">
        <v>43016</v>
      </c>
      <c r="D2" s="100">
        <v>696455.17000000039</v>
      </c>
      <c r="E2" s="96">
        <v>10511</v>
      </c>
      <c r="F2" s="100">
        <v>307972.67999999988</v>
      </c>
      <c r="G2" s="102">
        <f t="shared" ref="G2:G22" si="0">F2/I2</f>
        <v>0.30661503461896211</v>
      </c>
      <c r="H2" s="96">
        <v>53527</v>
      </c>
      <c r="I2" s="100">
        <v>1004427.8500000007</v>
      </c>
      <c r="J2" s="96">
        <v>132134</v>
      </c>
      <c r="K2" s="100">
        <v>2052605.2199999986</v>
      </c>
      <c r="L2" s="96">
        <f t="shared" ref="L2:L65" si="1">H2-J2</f>
        <v>-78607</v>
      </c>
      <c r="M2" s="104">
        <f t="shared" ref="M2:M65" si="2">I2-K2</f>
        <v>-1048177.3699999979</v>
      </c>
      <c r="N2" s="106">
        <f>M2/K2</f>
        <v>-0.51065707121216353</v>
      </c>
    </row>
    <row r="3" spans="1:14" x14ac:dyDescent="0.25">
      <c r="A3" s="4" t="s">
        <v>301</v>
      </c>
      <c r="B3" s="5" t="s">
        <v>300</v>
      </c>
      <c r="C3" s="4">
        <v>1606</v>
      </c>
      <c r="D3" s="84">
        <v>20345.02</v>
      </c>
      <c r="E3" s="4">
        <v>219</v>
      </c>
      <c r="F3" s="84">
        <v>3261.1000000000045</v>
      </c>
      <c r="G3" s="6">
        <f t="shared" si="0"/>
        <v>0.13814637898985535</v>
      </c>
      <c r="H3" s="4">
        <v>1825</v>
      </c>
      <c r="I3" s="84">
        <v>23606.120000000003</v>
      </c>
      <c r="J3" s="4">
        <v>10541</v>
      </c>
      <c r="K3" s="84">
        <v>126524.63999999998</v>
      </c>
      <c r="L3" s="4">
        <f t="shared" si="1"/>
        <v>-8716</v>
      </c>
      <c r="M3" s="85">
        <f t="shared" si="2"/>
        <v>-102918.51999999999</v>
      </c>
      <c r="N3" s="7">
        <f t="shared" ref="N3:N66" si="3">M3/ABS(K3)</f>
        <v>-0.81342669696590331</v>
      </c>
    </row>
    <row r="4" spans="1:14" x14ac:dyDescent="0.25">
      <c r="A4" s="4" t="s">
        <v>139</v>
      </c>
      <c r="B4" s="5" t="s">
        <v>138</v>
      </c>
      <c r="C4" s="4">
        <v>930</v>
      </c>
      <c r="D4" s="84">
        <v>11755.71</v>
      </c>
      <c r="E4" s="4">
        <v>163</v>
      </c>
      <c r="F4" s="84">
        <v>2468.7000000000071</v>
      </c>
      <c r="G4" s="6">
        <f t="shared" si="0"/>
        <v>0.17355377129877486</v>
      </c>
      <c r="H4" s="4">
        <v>1093</v>
      </c>
      <c r="I4" s="84">
        <v>14224.410000000005</v>
      </c>
      <c r="J4" s="4">
        <v>9095</v>
      </c>
      <c r="K4" s="84">
        <v>111557.53</v>
      </c>
      <c r="L4" s="4">
        <f t="shared" si="1"/>
        <v>-8002</v>
      </c>
      <c r="M4" s="85">
        <f t="shared" si="2"/>
        <v>-97333.119999999995</v>
      </c>
      <c r="N4" s="7">
        <f t="shared" si="3"/>
        <v>-0.87249260538486284</v>
      </c>
    </row>
    <row r="5" spans="1:14" x14ac:dyDescent="0.25">
      <c r="A5" s="4" t="s">
        <v>43</v>
      </c>
      <c r="B5" s="5" t="s">
        <v>42</v>
      </c>
      <c r="C5" s="4">
        <v>50</v>
      </c>
      <c r="D5" s="85">
        <v>888.16000000000008</v>
      </c>
      <c r="E5" s="4">
        <v>2149</v>
      </c>
      <c r="F5" s="84">
        <v>42819.779999999948</v>
      </c>
      <c r="G5" s="6">
        <f t="shared" si="0"/>
        <v>0.97967966461013722</v>
      </c>
      <c r="H5" s="4">
        <v>2199</v>
      </c>
      <c r="I5" s="84">
        <v>43707.939999999944</v>
      </c>
      <c r="J5" s="4">
        <v>6680</v>
      </c>
      <c r="K5" s="84">
        <v>86551.74</v>
      </c>
      <c r="L5" s="4">
        <f t="shared" si="1"/>
        <v>-4481</v>
      </c>
      <c r="M5" s="85">
        <f t="shared" si="2"/>
        <v>-42843.800000000061</v>
      </c>
      <c r="N5" s="7">
        <f t="shared" si="3"/>
        <v>-0.49500795709017587</v>
      </c>
    </row>
    <row r="6" spans="1:14" x14ac:dyDescent="0.25">
      <c r="A6" s="4" t="s">
        <v>293</v>
      </c>
      <c r="B6" s="5" t="s">
        <v>292</v>
      </c>
      <c r="C6" s="4">
        <v>883</v>
      </c>
      <c r="D6" s="84">
        <v>9271.3900000000012</v>
      </c>
      <c r="E6" s="4">
        <v>0</v>
      </c>
      <c r="F6" s="84">
        <v>0</v>
      </c>
      <c r="G6" s="6">
        <f t="shared" si="0"/>
        <v>0</v>
      </c>
      <c r="H6" s="4">
        <v>883</v>
      </c>
      <c r="I6" s="84">
        <v>9271.3900000000012</v>
      </c>
      <c r="J6" s="4">
        <v>9708</v>
      </c>
      <c r="K6" s="84">
        <v>79572.34</v>
      </c>
      <c r="L6" s="4">
        <f t="shared" si="1"/>
        <v>-8825</v>
      </c>
      <c r="M6" s="85">
        <f t="shared" si="2"/>
        <v>-70300.95</v>
      </c>
      <c r="N6" s="7">
        <f t="shared" si="3"/>
        <v>-0.88348476367541784</v>
      </c>
    </row>
    <row r="7" spans="1:14" x14ac:dyDescent="0.25">
      <c r="A7" s="4" t="s">
        <v>267</v>
      </c>
      <c r="B7" s="5" t="s">
        <v>266</v>
      </c>
      <c r="C7" s="4">
        <v>1851</v>
      </c>
      <c r="D7" s="84">
        <v>19513.560000000001</v>
      </c>
      <c r="E7" s="4">
        <v>0</v>
      </c>
      <c r="F7" s="84">
        <v>0</v>
      </c>
      <c r="G7" s="6">
        <f t="shared" si="0"/>
        <v>0</v>
      </c>
      <c r="H7" s="4">
        <v>1851</v>
      </c>
      <c r="I7" s="84">
        <v>19513.560000000001</v>
      </c>
      <c r="J7" s="4">
        <v>9180</v>
      </c>
      <c r="K7" s="84">
        <v>75651.599999999991</v>
      </c>
      <c r="L7" s="4">
        <f t="shared" si="1"/>
        <v>-7329</v>
      </c>
      <c r="M7" s="85">
        <f t="shared" si="2"/>
        <v>-56138.039999999994</v>
      </c>
      <c r="N7" s="7">
        <f t="shared" si="3"/>
        <v>-0.74206018114620176</v>
      </c>
    </row>
    <row r="8" spans="1:14" x14ac:dyDescent="0.25">
      <c r="A8" s="4" t="s">
        <v>47</v>
      </c>
      <c r="B8" s="5" t="s">
        <v>46</v>
      </c>
      <c r="C8" s="4">
        <v>23</v>
      </c>
      <c r="D8" s="84">
        <v>681.31999999999994</v>
      </c>
      <c r="E8" s="4">
        <v>906</v>
      </c>
      <c r="F8" s="84">
        <v>33129.27999999981</v>
      </c>
      <c r="G8" s="6">
        <f t="shared" si="0"/>
        <v>0.97984892311878513</v>
      </c>
      <c r="H8" s="4">
        <v>929</v>
      </c>
      <c r="I8" s="84">
        <v>33810.599999999809</v>
      </c>
      <c r="J8" s="4">
        <v>2469</v>
      </c>
      <c r="K8" s="84">
        <v>75442.320000000007</v>
      </c>
      <c r="L8" s="4">
        <f t="shared" si="1"/>
        <v>-1540</v>
      </c>
      <c r="M8" s="85">
        <f t="shared" si="2"/>
        <v>-41631.720000000198</v>
      </c>
      <c r="N8" s="7">
        <f t="shared" si="3"/>
        <v>-0.55183509732998925</v>
      </c>
    </row>
    <row r="9" spans="1:14" x14ac:dyDescent="0.25">
      <c r="A9" s="4" t="s">
        <v>500</v>
      </c>
      <c r="B9" s="5" t="s">
        <v>499</v>
      </c>
      <c r="C9" s="4">
        <v>3</v>
      </c>
      <c r="D9" s="84">
        <v>78.86</v>
      </c>
      <c r="E9" s="4">
        <v>1505</v>
      </c>
      <c r="F9" s="84">
        <v>49753.939999999842</v>
      </c>
      <c r="G9" s="6">
        <f t="shared" si="0"/>
        <v>0.99841750814724439</v>
      </c>
      <c r="H9" s="4">
        <v>1508</v>
      </c>
      <c r="I9" s="84">
        <v>49832.799999999843</v>
      </c>
      <c r="J9" s="4">
        <v>2766</v>
      </c>
      <c r="K9" s="84">
        <v>72982.89</v>
      </c>
      <c r="L9" s="4">
        <f t="shared" si="1"/>
        <v>-1258</v>
      </c>
      <c r="M9" s="85">
        <f t="shared" si="2"/>
        <v>-23150.090000000157</v>
      </c>
      <c r="N9" s="7">
        <f t="shared" si="3"/>
        <v>-0.31719886674808517</v>
      </c>
    </row>
    <row r="10" spans="1:14" x14ac:dyDescent="0.25">
      <c r="A10" s="4" t="s">
        <v>217</v>
      </c>
      <c r="B10" s="5" t="s">
        <v>216</v>
      </c>
      <c r="C10" s="4">
        <v>710</v>
      </c>
      <c r="D10" s="84">
        <v>9911.82</v>
      </c>
      <c r="E10" s="4">
        <v>141</v>
      </c>
      <c r="F10" s="84">
        <v>3148.6700000000023</v>
      </c>
      <c r="G10" s="6">
        <f t="shared" si="0"/>
        <v>0.24108360406079726</v>
      </c>
      <c r="H10" s="4">
        <v>851</v>
      </c>
      <c r="I10" s="84">
        <v>13060.490000000002</v>
      </c>
      <c r="J10" s="4">
        <v>3558</v>
      </c>
      <c r="K10" s="84">
        <v>64252.1</v>
      </c>
      <c r="L10" s="4">
        <f t="shared" si="1"/>
        <v>-2707</v>
      </c>
      <c r="M10" s="85">
        <f t="shared" si="2"/>
        <v>-51191.61</v>
      </c>
      <c r="N10" s="7">
        <f t="shared" si="3"/>
        <v>-0.79673053487745926</v>
      </c>
    </row>
    <row r="11" spans="1:14" x14ac:dyDescent="0.25">
      <c r="A11" s="4" t="s">
        <v>143</v>
      </c>
      <c r="B11" s="5" t="s">
        <v>142</v>
      </c>
      <c r="C11" s="4">
        <v>2</v>
      </c>
      <c r="D11" s="84">
        <v>49.76</v>
      </c>
      <c r="E11" s="4">
        <v>188</v>
      </c>
      <c r="F11" s="84">
        <v>5758.440000000006</v>
      </c>
      <c r="G11" s="6">
        <f t="shared" si="0"/>
        <v>0.991432801900761</v>
      </c>
      <c r="H11" s="4">
        <v>190</v>
      </c>
      <c r="I11" s="84">
        <v>5808.2000000000062</v>
      </c>
      <c r="J11" s="4">
        <v>2158</v>
      </c>
      <c r="K11" s="84">
        <v>45873.94</v>
      </c>
      <c r="L11" s="4">
        <f t="shared" si="1"/>
        <v>-1968</v>
      </c>
      <c r="M11" s="85">
        <f t="shared" si="2"/>
        <v>-40065.74</v>
      </c>
      <c r="N11" s="7">
        <f t="shared" si="3"/>
        <v>-0.87338781015975508</v>
      </c>
    </row>
    <row r="12" spans="1:14" x14ac:dyDescent="0.25">
      <c r="A12" s="4" t="s">
        <v>163</v>
      </c>
      <c r="B12" s="5" t="s">
        <v>162</v>
      </c>
      <c r="C12" s="4">
        <v>254</v>
      </c>
      <c r="D12" s="84">
        <v>3406.79</v>
      </c>
      <c r="E12" s="4">
        <v>0</v>
      </c>
      <c r="F12" s="84">
        <v>0</v>
      </c>
      <c r="G12" s="6">
        <f t="shared" si="0"/>
        <v>0</v>
      </c>
      <c r="H12" s="4">
        <v>254</v>
      </c>
      <c r="I12" s="84">
        <v>3406.79</v>
      </c>
      <c r="J12" s="4">
        <v>3404</v>
      </c>
      <c r="K12" s="84">
        <v>43138.01</v>
      </c>
      <c r="L12" s="4">
        <f t="shared" si="1"/>
        <v>-3150</v>
      </c>
      <c r="M12" s="85">
        <f t="shared" si="2"/>
        <v>-39731.22</v>
      </c>
      <c r="N12" s="7">
        <f t="shared" si="3"/>
        <v>-0.92102579604390655</v>
      </c>
    </row>
    <row r="13" spans="1:14" x14ac:dyDescent="0.25">
      <c r="A13" s="4" t="s">
        <v>369</v>
      </c>
      <c r="B13" s="5" t="s">
        <v>368</v>
      </c>
      <c r="C13" s="4">
        <v>1246</v>
      </c>
      <c r="D13" s="84">
        <v>13451.380000000001</v>
      </c>
      <c r="E13" s="4">
        <v>7</v>
      </c>
      <c r="F13" s="84">
        <v>76.300000000000011</v>
      </c>
      <c r="G13" s="6">
        <f t="shared" si="0"/>
        <v>5.6402871741495966E-3</v>
      </c>
      <c r="H13" s="4">
        <v>1253</v>
      </c>
      <c r="I13" s="84">
        <v>13527.68</v>
      </c>
      <c r="J13" s="4">
        <v>4836</v>
      </c>
      <c r="K13" s="84">
        <v>39357.899999999994</v>
      </c>
      <c r="L13" s="4">
        <f t="shared" si="1"/>
        <v>-3583</v>
      </c>
      <c r="M13" s="85">
        <f t="shared" si="2"/>
        <v>-25830.219999999994</v>
      </c>
      <c r="N13" s="7">
        <f t="shared" si="3"/>
        <v>-0.65629060493573077</v>
      </c>
    </row>
    <row r="14" spans="1:14" x14ac:dyDescent="0.25">
      <c r="A14" s="4" t="s">
        <v>385</v>
      </c>
      <c r="B14" s="5" t="s">
        <v>384</v>
      </c>
      <c r="C14" s="4">
        <v>333</v>
      </c>
      <c r="D14" s="84">
        <v>5400.5</v>
      </c>
      <c r="E14" s="4">
        <v>34</v>
      </c>
      <c r="F14" s="84">
        <v>819.1099999999999</v>
      </c>
      <c r="G14" s="6">
        <f t="shared" si="0"/>
        <v>0.1316979682005785</v>
      </c>
      <c r="H14" s="4">
        <v>367</v>
      </c>
      <c r="I14" s="84">
        <v>6219.61</v>
      </c>
      <c r="J14" s="4">
        <v>2227</v>
      </c>
      <c r="K14" s="84">
        <v>36815.570000000007</v>
      </c>
      <c r="L14" s="4">
        <f t="shared" si="1"/>
        <v>-1860</v>
      </c>
      <c r="M14" s="85">
        <f t="shared" si="2"/>
        <v>-30595.960000000006</v>
      </c>
      <c r="N14" s="7">
        <f t="shared" si="3"/>
        <v>-0.83106033669993429</v>
      </c>
    </row>
    <row r="15" spans="1:14" x14ac:dyDescent="0.25">
      <c r="A15" s="4" t="s">
        <v>33</v>
      </c>
      <c r="B15" s="5" t="s">
        <v>32</v>
      </c>
      <c r="C15" s="4">
        <v>323</v>
      </c>
      <c r="D15" s="84">
        <v>5198.5299999999988</v>
      </c>
      <c r="E15" s="4">
        <v>144</v>
      </c>
      <c r="F15" s="84">
        <v>2878.3200000000065</v>
      </c>
      <c r="G15" s="6">
        <f t="shared" si="0"/>
        <v>0.35636665284114533</v>
      </c>
      <c r="H15" s="4">
        <v>467</v>
      </c>
      <c r="I15" s="84">
        <v>8076.8500000000049</v>
      </c>
      <c r="J15" s="4">
        <v>2500</v>
      </c>
      <c r="K15" s="84">
        <v>34670.159999999996</v>
      </c>
      <c r="L15" s="4">
        <f t="shared" si="1"/>
        <v>-2033</v>
      </c>
      <c r="M15" s="85">
        <f t="shared" si="2"/>
        <v>-26593.30999999999</v>
      </c>
      <c r="N15" s="7">
        <f t="shared" si="3"/>
        <v>-0.76703741776790169</v>
      </c>
    </row>
    <row r="16" spans="1:14" x14ac:dyDescent="0.25">
      <c r="A16" s="4" t="s">
        <v>297</v>
      </c>
      <c r="B16" s="5" t="s">
        <v>296</v>
      </c>
      <c r="C16" s="4">
        <v>3</v>
      </c>
      <c r="D16" s="84">
        <v>35.47</v>
      </c>
      <c r="E16" s="4">
        <v>0</v>
      </c>
      <c r="F16" s="84">
        <v>0</v>
      </c>
      <c r="G16" s="6">
        <f t="shared" si="0"/>
        <v>0</v>
      </c>
      <c r="H16" s="4">
        <v>3</v>
      </c>
      <c r="I16" s="84">
        <v>35.47</v>
      </c>
      <c r="J16" s="4">
        <v>2578</v>
      </c>
      <c r="K16" s="84">
        <v>34563.21</v>
      </c>
      <c r="L16" s="4">
        <f t="shared" si="1"/>
        <v>-2575</v>
      </c>
      <c r="M16" s="85">
        <f t="shared" si="2"/>
        <v>-34527.74</v>
      </c>
      <c r="N16" s="7">
        <f t="shared" si="3"/>
        <v>-0.99897376430024865</v>
      </c>
    </row>
    <row r="17" spans="1:14" x14ac:dyDescent="0.25">
      <c r="A17" s="4" t="s">
        <v>81</v>
      </c>
      <c r="B17" s="5" t="s">
        <v>80</v>
      </c>
      <c r="C17" s="4">
        <v>32</v>
      </c>
      <c r="D17" s="84">
        <v>1433.2600000000002</v>
      </c>
      <c r="E17" s="4">
        <v>0</v>
      </c>
      <c r="F17" s="84">
        <v>0</v>
      </c>
      <c r="G17" s="6">
        <f t="shared" si="0"/>
        <v>0</v>
      </c>
      <c r="H17" s="4">
        <v>32</v>
      </c>
      <c r="I17" s="84">
        <v>1433.2600000000002</v>
      </c>
      <c r="J17" s="4">
        <v>1008</v>
      </c>
      <c r="K17" s="84">
        <v>33136.15</v>
      </c>
      <c r="L17" s="4">
        <f t="shared" si="1"/>
        <v>-976</v>
      </c>
      <c r="M17" s="85">
        <f t="shared" si="2"/>
        <v>-31702.89</v>
      </c>
      <c r="N17" s="7">
        <f t="shared" si="3"/>
        <v>-0.95674633293246192</v>
      </c>
    </row>
    <row r="18" spans="1:14" x14ac:dyDescent="0.25">
      <c r="A18" s="4" t="s">
        <v>239</v>
      </c>
      <c r="B18" s="5" t="s">
        <v>238</v>
      </c>
      <c r="C18" s="4">
        <v>19</v>
      </c>
      <c r="D18" s="84">
        <v>1111.9099999999999</v>
      </c>
      <c r="E18" s="4">
        <v>75</v>
      </c>
      <c r="F18" s="84">
        <v>5997.0000000000018</v>
      </c>
      <c r="G18" s="6">
        <f t="shared" si="0"/>
        <v>0.84358924223263487</v>
      </c>
      <c r="H18" s="4">
        <v>94</v>
      </c>
      <c r="I18" s="84">
        <v>7108.9100000000017</v>
      </c>
      <c r="J18" s="4">
        <v>458</v>
      </c>
      <c r="K18" s="84">
        <v>31513.489999999998</v>
      </c>
      <c r="L18" s="4">
        <f t="shared" si="1"/>
        <v>-364</v>
      </c>
      <c r="M18" s="85">
        <f t="shared" si="2"/>
        <v>-24404.579999999994</v>
      </c>
      <c r="N18" s="7">
        <f t="shared" si="3"/>
        <v>-0.77441692430765352</v>
      </c>
    </row>
    <row r="19" spans="1:14" x14ac:dyDescent="0.25">
      <c r="A19" s="4" t="s">
        <v>477</v>
      </c>
      <c r="B19" s="5" t="s">
        <v>476</v>
      </c>
      <c r="C19" s="4">
        <v>170</v>
      </c>
      <c r="D19" s="84">
        <v>4732.2700000000004</v>
      </c>
      <c r="E19" s="4">
        <v>1787</v>
      </c>
      <c r="F19" s="84">
        <v>57767.230000000243</v>
      </c>
      <c r="G19" s="6">
        <f t="shared" si="0"/>
        <v>0.92428307426459433</v>
      </c>
      <c r="H19" s="4">
        <v>1957</v>
      </c>
      <c r="I19" s="84">
        <v>62499.500000000247</v>
      </c>
      <c r="J19" s="4">
        <v>983</v>
      </c>
      <c r="K19" s="84">
        <v>30243.43</v>
      </c>
      <c r="L19" s="4">
        <f t="shared" si="1"/>
        <v>974</v>
      </c>
      <c r="M19" s="85">
        <f t="shared" si="2"/>
        <v>32256.070000000247</v>
      </c>
      <c r="N19" s="7">
        <f t="shared" si="3"/>
        <v>1.0665480072862188</v>
      </c>
    </row>
    <row r="20" spans="1:14" x14ac:dyDescent="0.25">
      <c r="A20" s="4" t="s">
        <v>518</v>
      </c>
      <c r="B20" s="5" t="s">
        <v>517</v>
      </c>
      <c r="C20" s="4">
        <v>15</v>
      </c>
      <c r="D20" s="84">
        <v>309.32</v>
      </c>
      <c r="E20" s="4">
        <v>288</v>
      </c>
      <c r="F20" s="84">
        <v>7305.4900000000125</v>
      </c>
      <c r="G20" s="6">
        <f t="shared" si="0"/>
        <v>0.95937915719499223</v>
      </c>
      <c r="H20" s="4">
        <v>303</v>
      </c>
      <c r="I20" s="84">
        <v>7614.810000000014</v>
      </c>
      <c r="J20" s="4">
        <v>1459</v>
      </c>
      <c r="K20" s="84">
        <v>29574.25</v>
      </c>
      <c r="L20" s="4">
        <f t="shared" si="1"/>
        <v>-1156</v>
      </c>
      <c r="M20" s="85">
        <f t="shared" si="2"/>
        <v>-21959.439999999988</v>
      </c>
      <c r="N20" s="7">
        <f t="shared" si="3"/>
        <v>-0.74251891425818028</v>
      </c>
    </row>
    <row r="21" spans="1:14" x14ac:dyDescent="0.25">
      <c r="A21" s="4" t="s">
        <v>25</v>
      </c>
      <c r="B21" s="5" t="s">
        <v>24</v>
      </c>
      <c r="C21" s="4">
        <v>3</v>
      </c>
      <c r="D21" s="84">
        <v>67.849999999999994</v>
      </c>
      <c r="E21" s="4">
        <v>193</v>
      </c>
      <c r="F21" s="84">
        <v>5934.7000000000071</v>
      </c>
      <c r="G21" s="6">
        <f t="shared" si="0"/>
        <v>0.98869647066663335</v>
      </c>
      <c r="H21" s="4">
        <v>196</v>
      </c>
      <c r="I21" s="84">
        <v>6002.5500000000075</v>
      </c>
      <c r="J21" s="4">
        <v>1432</v>
      </c>
      <c r="K21" s="84">
        <v>29378.350000000002</v>
      </c>
      <c r="L21" s="4">
        <f t="shared" si="1"/>
        <v>-1236</v>
      </c>
      <c r="M21" s="85">
        <f t="shared" si="2"/>
        <v>-23375.799999999996</v>
      </c>
      <c r="N21" s="7">
        <f t="shared" si="3"/>
        <v>-0.79568117338107802</v>
      </c>
    </row>
    <row r="22" spans="1:14" x14ac:dyDescent="0.25">
      <c r="A22" s="4" t="s">
        <v>401</v>
      </c>
      <c r="B22" s="5" t="s">
        <v>400</v>
      </c>
      <c r="C22" s="4">
        <v>1479</v>
      </c>
      <c r="D22" s="84">
        <v>25090.480000000003</v>
      </c>
      <c r="E22" s="4">
        <v>0</v>
      </c>
      <c r="F22" s="84">
        <v>0</v>
      </c>
      <c r="G22" s="6">
        <f t="shared" si="0"/>
        <v>0</v>
      </c>
      <c r="H22" s="4">
        <v>1479</v>
      </c>
      <c r="I22" s="84">
        <v>25090.480000000003</v>
      </c>
      <c r="J22" s="4">
        <v>1726</v>
      </c>
      <c r="K22" s="84">
        <v>28375.360000000001</v>
      </c>
      <c r="L22" s="4">
        <f t="shared" si="1"/>
        <v>-247</v>
      </c>
      <c r="M22" s="85">
        <f t="shared" si="2"/>
        <v>-3284.8799999999974</v>
      </c>
      <c r="N22" s="7">
        <f t="shared" si="3"/>
        <v>-0.11576522729579457</v>
      </c>
    </row>
    <row r="23" spans="1:14" x14ac:dyDescent="0.25">
      <c r="A23" s="4" t="s">
        <v>125</v>
      </c>
      <c r="B23" s="5" t="s">
        <v>124</v>
      </c>
      <c r="C23" s="4">
        <v>0</v>
      </c>
      <c r="D23" s="84">
        <v>0</v>
      </c>
      <c r="E23" s="4">
        <v>0</v>
      </c>
      <c r="F23" s="84">
        <v>0</v>
      </c>
      <c r="G23" s="6"/>
      <c r="H23" s="4">
        <v>0</v>
      </c>
      <c r="I23" s="84">
        <v>0</v>
      </c>
      <c r="J23" s="4">
        <v>2263</v>
      </c>
      <c r="K23" s="84">
        <v>28020.379999999997</v>
      </c>
      <c r="L23" s="4">
        <f t="shared" si="1"/>
        <v>-2263</v>
      </c>
      <c r="M23" s="85">
        <f t="shared" si="2"/>
        <v>-28020.379999999997</v>
      </c>
      <c r="N23" s="7">
        <f t="shared" si="3"/>
        <v>-1</v>
      </c>
    </row>
    <row r="24" spans="1:14" x14ac:dyDescent="0.25">
      <c r="A24" s="4" t="s">
        <v>127</v>
      </c>
      <c r="B24" s="5" t="s">
        <v>126</v>
      </c>
      <c r="C24" s="4">
        <v>374</v>
      </c>
      <c r="D24" s="84">
        <v>9044.630000000001</v>
      </c>
      <c r="E24" s="4">
        <v>405</v>
      </c>
      <c r="F24" s="84">
        <v>11862.500000000002</v>
      </c>
      <c r="G24" s="6">
        <f>F24/I24</f>
        <v>0.5673901678518285</v>
      </c>
      <c r="H24" s="4">
        <v>779</v>
      </c>
      <c r="I24" s="84">
        <v>20907.130000000005</v>
      </c>
      <c r="J24" s="4">
        <v>1192</v>
      </c>
      <c r="K24" s="84">
        <v>27291.01</v>
      </c>
      <c r="L24" s="4">
        <f t="shared" si="1"/>
        <v>-413</v>
      </c>
      <c r="M24" s="85">
        <f t="shared" si="2"/>
        <v>-6383.8799999999937</v>
      </c>
      <c r="N24" s="7">
        <f t="shared" si="3"/>
        <v>-0.23391878864138754</v>
      </c>
    </row>
    <row r="25" spans="1:14" x14ac:dyDescent="0.25">
      <c r="A25" s="4" t="s">
        <v>544</v>
      </c>
      <c r="B25" s="5" t="s">
        <v>543</v>
      </c>
      <c r="C25" s="4">
        <v>428</v>
      </c>
      <c r="D25" s="84">
        <v>8726.7000000000007</v>
      </c>
      <c r="E25" s="4">
        <v>0</v>
      </c>
      <c r="F25" s="84">
        <v>0</v>
      </c>
      <c r="G25" s="6">
        <f>F25/I25</f>
        <v>0</v>
      </c>
      <c r="H25" s="4">
        <v>428</v>
      </c>
      <c r="I25" s="84">
        <v>8726.7000000000007</v>
      </c>
      <c r="J25" s="4">
        <v>1261</v>
      </c>
      <c r="K25" s="84">
        <v>25922.35</v>
      </c>
      <c r="L25" s="4">
        <f t="shared" si="1"/>
        <v>-833</v>
      </c>
      <c r="M25" s="85">
        <f t="shared" si="2"/>
        <v>-17195.649999999998</v>
      </c>
      <c r="N25" s="7">
        <f t="shared" si="3"/>
        <v>-0.66335228094675058</v>
      </c>
    </row>
    <row r="26" spans="1:14" x14ac:dyDescent="0.25">
      <c r="A26" s="4" t="s">
        <v>185</v>
      </c>
      <c r="B26" s="5" t="s">
        <v>184</v>
      </c>
      <c r="C26" s="4">
        <v>0</v>
      </c>
      <c r="D26" s="84">
        <v>0</v>
      </c>
      <c r="E26" s="4">
        <v>0</v>
      </c>
      <c r="F26" s="84">
        <v>0</v>
      </c>
      <c r="G26" s="6"/>
      <c r="H26" s="4">
        <v>0</v>
      </c>
      <c r="I26" s="84">
        <v>0</v>
      </c>
      <c r="J26" s="4">
        <v>2083</v>
      </c>
      <c r="K26" s="84">
        <v>25723.119999999999</v>
      </c>
      <c r="L26" s="4">
        <f t="shared" si="1"/>
        <v>-2083</v>
      </c>
      <c r="M26" s="85">
        <f t="shared" si="2"/>
        <v>-25723.119999999999</v>
      </c>
      <c r="N26" s="7">
        <f t="shared" si="3"/>
        <v>-1</v>
      </c>
    </row>
    <row r="27" spans="1:14" x14ac:dyDescent="0.25">
      <c r="A27" s="4" t="s">
        <v>231</v>
      </c>
      <c r="B27" s="5" t="s">
        <v>230</v>
      </c>
      <c r="C27" s="4">
        <v>32</v>
      </c>
      <c r="D27" s="84">
        <v>1369.06</v>
      </c>
      <c r="E27" s="4">
        <v>0</v>
      </c>
      <c r="F27" s="84">
        <v>0</v>
      </c>
      <c r="G27" s="6">
        <f t="shared" ref="G27:G58" si="4">F27/I27</f>
        <v>0</v>
      </c>
      <c r="H27" s="4">
        <v>32</v>
      </c>
      <c r="I27" s="84">
        <v>1369.06</v>
      </c>
      <c r="J27" s="4">
        <v>559</v>
      </c>
      <c r="K27" s="84">
        <v>24846.35</v>
      </c>
      <c r="L27" s="4">
        <f t="shared" si="1"/>
        <v>-527</v>
      </c>
      <c r="M27" s="85">
        <f t="shared" si="2"/>
        <v>-23477.289999999997</v>
      </c>
      <c r="N27" s="7">
        <f t="shared" si="3"/>
        <v>-0.94489894894018633</v>
      </c>
    </row>
    <row r="28" spans="1:14" x14ac:dyDescent="0.25">
      <c r="A28" s="4" t="s">
        <v>490</v>
      </c>
      <c r="B28" s="5" t="s">
        <v>489</v>
      </c>
      <c r="C28" s="4">
        <v>20</v>
      </c>
      <c r="D28" s="84">
        <v>779.36</v>
      </c>
      <c r="E28" s="4">
        <v>41</v>
      </c>
      <c r="F28" s="84">
        <v>1979.7999999999997</v>
      </c>
      <c r="G28" s="6">
        <f t="shared" si="4"/>
        <v>0.71753722147320209</v>
      </c>
      <c r="H28" s="4">
        <v>61</v>
      </c>
      <c r="I28" s="84">
        <v>2759.1599999999994</v>
      </c>
      <c r="J28" s="4">
        <v>635</v>
      </c>
      <c r="K28" s="84">
        <v>24006.82</v>
      </c>
      <c r="L28" s="4">
        <f t="shared" si="1"/>
        <v>-574</v>
      </c>
      <c r="M28" s="85">
        <f t="shared" si="2"/>
        <v>-21247.66</v>
      </c>
      <c r="N28" s="7">
        <f t="shared" si="3"/>
        <v>-0.88506765993996706</v>
      </c>
    </row>
    <row r="29" spans="1:14" x14ac:dyDescent="0.25">
      <c r="A29" s="4" t="s">
        <v>55</v>
      </c>
      <c r="B29" s="5" t="s">
        <v>54</v>
      </c>
      <c r="C29" s="4">
        <v>297</v>
      </c>
      <c r="D29" s="84">
        <v>8360.39</v>
      </c>
      <c r="E29" s="4">
        <v>5</v>
      </c>
      <c r="F29" s="84">
        <v>89.8</v>
      </c>
      <c r="G29" s="6">
        <f t="shared" si="4"/>
        <v>1.0626979985065427E-2</v>
      </c>
      <c r="H29" s="4">
        <v>302</v>
      </c>
      <c r="I29" s="84">
        <v>8450.1899999999987</v>
      </c>
      <c r="J29" s="4">
        <v>912</v>
      </c>
      <c r="K29" s="84">
        <v>23754.15</v>
      </c>
      <c r="L29" s="4">
        <f t="shared" si="1"/>
        <v>-610</v>
      </c>
      <c r="M29" s="85">
        <f t="shared" si="2"/>
        <v>-15303.960000000003</v>
      </c>
      <c r="N29" s="7">
        <f t="shared" si="3"/>
        <v>-0.64426468638111667</v>
      </c>
    </row>
    <row r="30" spans="1:14" x14ac:dyDescent="0.25">
      <c r="A30" s="4" t="s">
        <v>528</v>
      </c>
      <c r="B30" s="5" t="s">
        <v>527</v>
      </c>
      <c r="C30" s="4">
        <v>102</v>
      </c>
      <c r="D30" s="84">
        <v>4459.33</v>
      </c>
      <c r="E30" s="4">
        <v>45</v>
      </c>
      <c r="F30" s="84">
        <v>2180.4999999999995</v>
      </c>
      <c r="G30" s="6">
        <f t="shared" si="4"/>
        <v>0.32839696197041185</v>
      </c>
      <c r="H30" s="4">
        <v>147</v>
      </c>
      <c r="I30" s="84">
        <v>6639.83</v>
      </c>
      <c r="J30" s="4">
        <v>543</v>
      </c>
      <c r="K30" s="84">
        <v>22346.940000000002</v>
      </c>
      <c r="L30" s="4">
        <f t="shared" si="1"/>
        <v>-396</v>
      </c>
      <c r="M30" s="85">
        <f t="shared" si="2"/>
        <v>-15707.110000000002</v>
      </c>
      <c r="N30" s="7">
        <f t="shared" si="3"/>
        <v>-0.70287520349542265</v>
      </c>
    </row>
    <row r="31" spans="1:14" x14ac:dyDescent="0.25">
      <c r="A31" s="4" t="s">
        <v>171</v>
      </c>
      <c r="B31" s="5" t="s">
        <v>170</v>
      </c>
      <c r="C31" s="4">
        <v>440</v>
      </c>
      <c r="D31" s="84">
        <v>6875.06</v>
      </c>
      <c r="E31" s="4">
        <v>4</v>
      </c>
      <c r="F31" s="84">
        <v>91.6</v>
      </c>
      <c r="G31" s="6">
        <f t="shared" si="4"/>
        <v>1.3148337940993245E-2</v>
      </c>
      <c r="H31" s="4">
        <v>444</v>
      </c>
      <c r="I31" s="84">
        <v>6966.66</v>
      </c>
      <c r="J31" s="4">
        <v>1436</v>
      </c>
      <c r="K31" s="84">
        <v>22243.050000000003</v>
      </c>
      <c r="L31" s="4">
        <f t="shared" si="1"/>
        <v>-992</v>
      </c>
      <c r="M31" s="85">
        <f t="shared" si="2"/>
        <v>-15276.390000000003</v>
      </c>
      <c r="N31" s="7">
        <f t="shared" si="3"/>
        <v>-0.68679385246178026</v>
      </c>
    </row>
    <row r="32" spans="1:14" x14ac:dyDescent="0.25">
      <c r="A32" s="4" t="s">
        <v>520</v>
      </c>
      <c r="B32" s="5" t="s">
        <v>519</v>
      </c>
      <c r="C32" s="4">
        <v>-14</v>
      </c>
      <c r="D32" s="84">
        <v>-837.39</v>
      </c>
      <c r="E32" s="4">
        <v>0</v>
      </c>
      <c r="F32" s="84">
        <v>0</v>
      </c>
      <c r="G32" s="6">
        <f t="shared" si="4"/>
        <v>0</v>
      </c>
      <c r="H32" s="4">
        <v>-14</v>
      </c>
      <c r="I32" s="84">
        <v>-837.39</v>
      </c>
      <c r="J32" s="4">
        <v>357</v>
      </c>
      <c r="K32" s="84">
        <v>21964.890000000003</v>
      </c>
      <c r="L32" s="4">
        <f t="shared" si="1"/>
        <v>-371</v>
      </c>
      <c r="M32" s="85">
        <f t="shared" si="2"/>
        <v>-22802.280000000002</v>
      </c>
      <c r="N32" s="7">
        <f t="shared" si="3"/>
        <v>-1.0381240242951364</v>
      </c>
    </row>
    <row r="33" spans="1:14" x14ac:dyDescent="0.25">
      <c r="A33" s="4" t="s">
        <v>311</v>
      </c>
      <c r="B33" s="5" t="s">
        <v>310</v>
      </c>
      <c r="C33" s="4">
        <v>88</v>
      </c>
      <c r="D33" s="84">
        <v>2632.7599999999998</v>
      </c>
      <c r="E33" s="4">
        <v>15</v>
      </c>
      <c r="F33" s="84">
        <v>556.5</v>
      </c>
      <c r="G33" s="6">
        <f t="shared" si="4"/>
        <v>0.17449188840044397</v>
      </c>
      <c r="H33" s="4">
        <v>103</v>
      </c>
      <c r="I33" s="84">
        <v>3189.26</v>
      </c>
      <c r="J33" s="4">
        <v>648</v>
      </c>
      <c r="K33" s="84">
        <v>20257.650000000001</v>
      </c>
      <c r="L33" s="4">
        <f t="shared" si="1"/>
        <v>-545</v>
      </c>
      <c r="M33" s="85">
        <f t="shared" si="2"/>
        <v>-17068.39</v>
      </c>
      <c r="N33" s="7">
        <f t="shared" si="3"/>
        <v>-0.84256515439846169</v>
      </c>
    </row>
    <row r="34" spans="1:14" x14ac:dyDescent="0.25">
      <c r="A34" s="4" t="s">
        <v>225</v>
      </c>
      <c r="B34" s="5" t="s">
        <v>224</v>
      </c>
      <c r="C34" s="4">
        <v>517</v>
      </c>
      <c r="D34" s="84">
        <v>4472.41</v>
      </c>
      <c r="E34" s="4">
        <v>0</v>
      </c>
      <c r="F34" s="84">
        <v>0</v>
      </c>
      <c r="G34" s="6">
        <f t="shared" si="4"/>
        <v>0</v>
      </c>
      <c r="H34" s="4">
        <v>517</v>
      </c>
      <c r="I34" s="84">
        <v>4472.41</v>
      </c>
      <c r="J34" s="4">
        <v>2512</v>
      </c>
      <c r="K34" s="84">
        <v>19703.879999999997</v>
      </c>
      <c r="L34" s="4">
        <f t="shared" si="1"/>
        <v>-1995</v>
      </c>
      <c r="M34" s="85">
        <f t="shared" si="2"/>
        <v>-15231.469999999998</v>
      </c>
      <c r="N34" s="7">
        <f t="shared" si="3"/>
        <v>-0.7730188165985582</v>
      </c>
    </row>
    <row r="35" spans="1:14" x14ac:dyDescent="0.25">
      <c r="A35" s="4" t="s">
        <v>59</v>
      </c>
      <c r="B35" s="5" t="s">
        <v>58</v>
      </c>
      <c r="C35" s="4">
        <v>87</v>
      </c>
      <c r="D35" s="84">
        <v>6623.05</v>
      </c>
      <c r="E35" s="4">
        <v>0</v>
      </c>
      <c r="F35" s="84">
        <v>0</v>
      </c>
      <c r="G35" s="6">
        <f t="shared" si="4"/>
        <v>0</v>
      </c>
      <c r="H35" s="4">
        <v>87</v>
      </c>
      <c r="I35" s="84">
        <v>6623.05</v>
      </c>
      <c r="J35" s="4">
        <v>274</v>
      </c>
      <c r="K35" s="84">
        <v>19270.309999999998</v>
      </c>
      <c r="L35" s="4">
        <f t="shared" si="1"/>
        <v>-187</v>
      </c>
      <c r="M35" s="85">
        <f t="shared" si="2"/>
        <v>-12647.259999999998</v>
      </c>
      <c r="N35" s="7">
        <f t="shared" si="3"/>
        <v>-0.65630807184731332</v>
      </c>
    </row>
    <row r="36" spans="1:14" x14ac:dyDescent="0.25">
      <c r="A36" s="4" t="s">
        <v>395</v>
      </c>
      <c r="B36" s="5" t="s">
        <v>394</v>
      </c>
      <c r="C36" s="4">
        <v>567</v>
      </c>
      <c r="D36" s="84">
        <v>6441.43</v>
      </c>
      <c r="E36" s="4">
        <v>0</v>
      </c>
      <c r="F36" s="84">
        <v>0</v>
      </c>
      <c r="G36" s="6">
        <f t="shared" si="4"/>
        <v>0</v>
      </c>
      <c r="H36" s="4">
        <v>567</v>
      </c>
      <c r="I36" s="84">
        <v>6441.43</v>
      </c>
      <c r="J36" s="4">
        <v>1767</v>
      </c>
      <c r="K36" s="84">
        <v>18901.990000000002</v>
      </c>
      <c r="L36" s="4">
        <f t="shared" si="1"/>
        <v>-1200</v>
      </c>
      <c r="M36" s="85">
        <f t="shared" si="2"/>
        <v>-12460.560000000001</v>
      </c>
      <c r="N36" s="7">
        <f t="shared" si="3"/>
        <v>-0.65921947900723676</v>
      </c>
    </row>
    <row r="37" spans="1:14" x14ac:dyDescent="0.25">
      <c r="A37" s="4" t="s">
        <v>492</v>
      </c>
      <c r="B37" s="5" t="s">
        <v>491</v>
      </c>
      <c r="C37" s="4">
        <v>0</v>
      </c>
      <c r="D37" s="84">
        <v>0</v>
      </c>
      <c r="E37" s="4">
        <v>70</v>
      </c>
      <c r="F37" s="84">
        <v>3322.6000000000013</v>
      </c>
      <c r="G37" s="6">
        <f t="shared" si="4"/>
        <v>1</v>
      </c>
      <c r="H37" s="4">
        <v>70</v>
      </c>
      <c r="I37" s="84">
        <v>3322.6000000000013</v>
      </c>
      <c r="J37" s="4">
        <v>653</v>
      </c>
      <c r="K37" s="84">
        <v>18703.620000000003</v>
      </c>
      <c r="L37" s="4">
        <f t="shared" si="1"/>
        <v>-583</v>
      </c>
      <c r="M37" s="85">
        <f t="shared" si="2"/>
        <v>-15381.02</v>
      </c>
      <c r="N37" s="7">
        <f t="shared" si="3"/>
        <v>-0.82235524459970843</v>
      </c>
    </row>
    <row r="38" spans="1:14" x14ac:dyDescent="0.25">
      <c r="A38" s="4" t="s">
        <v>233</v>
      </c>
      <c r="B38" s="5" t="s">
        <v>232</v>
      </c>
      <c r="C38" s="4">
        <v>145</v>
      </c>
      <c r="D38" s="84">
        <v>8610.82</v>
      </c>
      <c r="E38" s="4">
        <v>5</v>
      </c>
      <c r="F38" s="84">
        <v>349.5</v>
      </c>
      <c r="G38" s="6">
        <f t="shared" si="4"/>
        <v>3.9005303382022072E-2</v>
      </c>
      <c r="H38" s="4">
        <v>150</v>
      </c>
      <c r="I38" s="84">
        <v>8960.32</v>
      </c>
      <c r="J38" s="4">
        <v>358</v>
      </c>
      <c r="K38" s="84">
        <v>18411.899999999998</v>
      </c>
      <c r="L38" s="4">
        <f t="shared" si="1"/>
        <v>-208</v>
      </c>
      <c r="M38" s="85">
        <f t="shared" si="2"/>
        <v>-9451.5799999999981</v>
      </c>
      <c r="N38" s="7">
        <f t="shared" si="3"/>
        <v>-0.51334082848592477</v>
      </c>
    </row>
    <row r="39" spans="1:14" x14ac:dyDescent="0.25">
      <c r="A39" s="4" t="s">
        <v>211</v>
      </c>
      <c r="B39" s="5" t="s">
        <v>210</v>
      </c>
      <c r="C39" s="4">
        <v>336</v>
      </c>
      <c r="D39" s="84">
        <v>5543.09</v>
      </c>
      <c r="E39" s="4">
        <v>28</v>
      </c>
      <c r="F39" s="84">
        <v>583.24999999999966</v>
      </c>
      <c r="G39" s="6">
        <f t="shared" si="4"/>
        <v>9.5203661566285847E-2</v>
      </c>
      <c r="H39" s="4">
        <v>364</v>
      </c>
      <c r="I39" s="84">
        <v>6126.34</v>
      </c>
      <c r="J39" s="4">
        <v>1004</v>
      </c>
      <c r="K39" s="84">
        <v>17405.59</v>
      </c>
      <c r="L39" s="4">
        <f t="shared" si="1"/>
        <v>-640</v>
      </c>
      <c r="M39" s="85">
        <f t="shared" si="2"/>
        <v>-11279.25</v>
      </c>
      <c r="N39" s="7">
        <f t="shared" si="3"/>
        <v>-0.64802457141642422</v>
      </c>
    </row>
    <row r="40" spans="1:14" x14ac:dyDescent="0.25">
      <c r="A40" s="4" t="s">
        <v>223</v>
      </c>
      <c r="B40" s="5" t="s">
        <v>222</v>
      </c>
      <c r="C40" s="4">
        <v>6</v>
      </c>
      <c r="D40" s="84">
        <v>66.88</v>
      </c>
      <c r="E40" s="4">
        <v>401</v>
      </c>
      <c r="F40" s="84">
        <v>6578.7700000000077</v>
      </c>
      <c r="G40" s="6">
        <f t="shared" si="4"/>
        <v>0.98993627410411333</v>
      </c>
      <c r="H40" s="4">
        <v>407</v>
      </c>
      <c r="I40" s="84">
        <v>6645.6500000000069</v>
      </c>
      <c r="J40" s="4">
        <v>1825</v>
      </c>
      <c r="K40" s="84">
        <v>17285.160000000003</v>
      </c>
      <c r="L40" s="4">
        <f t="shared" si="1"/>
        <v>-1418</v>
      </c>
      <c r="M40" s="85">
        <f t="shared" si="2"/>
        <v>-10639.509999999997</v>
      </c>
      <c r="N40" s="7">
        <f t="shared" si="3"/>
        <v>-0.61552858058588955</v>
      </c>
    </row>
    <row r="41" spans="1:14" x14ac:dyDescent="0.25">
      <c r="A41" s="4" t="s">
        <v>287</v>
      </c>
      <c r="B41" s="5" t="s">
        <v>286</v>
      </c>
      <c r="C41" s="4">
        <v>64</v>
      </c>
      <c r="D41" s="84">
        <v>1048.1699999999998</v>
      </c>
      <c r="E41" s="4">
        <v>0</v>
      </c>
      <c r="F41" s="84">
        <v>0</v>
      </c>
      <c r="G41" s="6">
        <f t="shared" si="4"/>
        <v>0</v>
      </c>
      <c r="H41" s="4">
        <v>64</v>
      </c>
      <c r="I41" s="84">
        <v>1048.1699999999998</v>
      </c>
      <c r="J41" s="4">
        <v>1081</v>
      </c>
      <c r="K41" s="84">
        <v>17197.47</v>
      </c>
      <c r="L41" s="4">
        <f t="shared" si="1"/>
        <v>-1017</v>
      </c>
      <c r="M41" s="85">
        <f t="shared" si="2"/>
        <v>-16149.300000000001</v>
      </c>
      <c r="N41" s="7">
        <f t="shared" si="3"/>
        <v>-0.93905091853627309</v>
      </c>
    </row>
    <row r="42" spans="1:14" x14ac:dyDescent="0.25">
      <c r="A42" s="4" t="s">
        <v>361</v>
      </c>
      <c r="B42" s="5" t="s">
        <v>360</v>
      </c>
      <c r="C42" s="4">
        <v>280</v>
      </c>
      <c r="D42" s="84">
        <v>3888.5100000000007</v>
      </c>
      <c r="E42" s="4">
        <v>10</v>
      </c>
      <c r="F42" s="84">
        <v>249</v>
      </c>
      <c r="G42" s="6">
        <f t="shared" si="4"/>
        <v>6.0181123429308932E-2</v>
      </c>
      <c r="H42" s="4">
        <v>290</v>
      </c>
      <c r="I42" s="84">
        <v>4137.51</v>
      </c>
      <c r="J42" s="4">
        <v>1222</v>
      </c>
      <c r="K42" s="84">
        <v>17134.02</v>
      </c>
      <c r="L42" s="4">
        <f t="shared" si="1"/>
        <v>-932</v>
      </c>
      <c r="M42" s="85">
        <f t="shared" si="2"/>
        <v>-12996.51</v>
      </c>
      <c r="N42" s="7">
        <f t="shared" si="3"/>
        <v>-0.75852076745562336</v>
      </c>
    </row>
    <row r="43" spans="1:14" x14ac:dyDescent="0.25">
      <c r="A43" s="4" t="s">
        <v>145</v>
      </c>
      <c r="B43" s="5" t="s">
        <v>144</v>
      </c>
      <c r="C43" s="4">
        <v>73</v>
      </c>
      <c r="D43" s="84">
        <v>1781.4</v>
      </c>
      <c r="E43" s="4">
        <v>0</v>
      </c>
      <c r="F43" s="84">
        <v>0</v>
      </c>
      <c r="G43" s="6">
        <f t="shared" si="4"/>
        <v>0</v>
      </c>
      <c r="H43" s="4">
        <v>73</v>
      </c>
      <c r="I43" s="84">
        <v>1781.4</v>
      </c>
      <c r="J43" s="4">
        <v>693</v>
      </c>
      <c r="K43" s="84">
        <v>17109.259999999998</v>
      </c>
      <c r="L43" s="4">
        <f t="shared" si="1"/>
        <v>-620</v>
      </c>
      <c r="M43" s="85">
        <f t="shared" si="2"/>
        <v>-15327.859999999999</v>
      </c>
      <c r="N43" s="7">
        <f t="shared" si="3"/>
        <v>-0.89588094400342277</v>
      </c>
    </row>
    <row r="44" spans="1:14" x14ac:dyDescent="0.25">
      <c r="A44" s="4" t="s">
        <v>23</v>
      </c>
      <c r="B44" s="5" t="s">
        <v>22</v>
      </c>
      <c r="C44" s="4">
        <v>974</v>
      </c>
      <c r="D44" s="84">
        <v>17624.53</v>
      </c>
      <c r="E44" s="4">
        <v>0</v>
      </c>
      <c r="F44" s="84">
        <v>0</v>
      </c>
      <c r="G44" s="6">
        <f t="shared" si="4"/>
        <v>0</v>
      </c>
      <c r="H44" s="4">
        <v>974</v>
      </c>
      <c r="I44" s="84">
        <v>17624.53</v>
      </c>
      <c r="J44" s="4">
        <v>1005</v>
      </c>
      <c r="K44" s="84">
        <v>16858.7</v>
      </c>
      <c r="L44" s="4">
        <f t="shared" si="1"/>
        <v>-31</v>
      </c>
      <c r="M44" s="85">
        <f t="shared" si="2"/>
        <v>765.82999999999811</v>
      </c>
      <c r="N44" s="7">
        <f t="shared" si="3"/>
        <v>4.5426397053153447E-2</v>
      </c>
    </row>
    <row r="45" spans="1:14" x14ac:dyDescent="0.25">
      <c r="A45" s="4" t="s">
        <v>339</v>
      </c>
      <c r="B45" s="5" t="s">
        <v>338</v>
      </c>
      <c r="C45" s="4">
        <v>101</v>
      </c>
      <c r="D45" s="84">
        <v>2494.5600000000004</v>
      </c>
      <c r="E45" s="4">
        <v>0</v>
      </c>
      <c r="F45" s="84">
        <v>0</v>
      </c>
      <c r="G45" s="6">
        <f t="shared" si="4"/>
        <v>0</v>
      </c>
      <c r="H45" s="4">
        <v>101</v>
      </c>
      <c r="I45" s="84">
        <v>2494.5600000000004</v>
      </c>
      <c r="J45" s="4">
        <v>764</v>
      </c>
      <c r="K45" s="84">
        <v>15501.259999999998</v>
      </c>
      <c r="L45" s="4">
        <f t="shared" si="1"/>
        <v>-663</v>
      </c>
      <c r="M45" s="85">
        <f t="shared" si="2"/>
        <v>-13006.699999999997</v>
      </c>
      <c r="N45" s="7">
        <f t="shared" si="3"/>
        <v>-0.83907372690994142</v>
      </c>
    </row>
    <row r="46" spans="1:14" x14ac:dyDescent="0.25">
      <c r="A46" s="4" t="s">
        <v>271</v>
      </c>
      <c r="B46" s="5" t="s">
        <v>270</v>
      </c>
      <c r="C46" s="4">
        <v>25</v>
      </c>
      <c r="D46" s="84">
        <v>1487.25</v>
      </c>
      <c r="E46" s="4">
        <v>0</v>
      </c>
      <c r="F46" s="84">
        <v>0</v>
      </c>
      <c r="G46" s="6">
        <f t="shared" si="4"/>
        <v>0</v>
      </c>
      <c r="H46" s="4">
        <v>25</v>
      </c>
      <c r="I46" s="84">
        <v>1487.25</v>
      </c>
      <c r="J46" s="4">
        <v>235</v>
      </c>
      <c r="K46" s="84">
        <v>15313.699999999999</v>
      </c>
      <c r="L46" s="4">
        <f t="shared" si="1"/>
        <v>-210</v>
      </c>
      <c r="M46" s="85">
        <f t="shared" si="2"/>
        <v>-13826.449999999999</v>
      </c>
      <c r="N46" s="7">
        <f t="shared" si="3"/>
        <v>-0.90288108033982639</v>
      </c>
    </row>
    <row r="47" spans="1:14" x14ac:dyDescent="0.25">
      <c r="A47" s="4" t="s">
        <v>325</v>
      </c>
      <c r="B47" s="5" t="s">
        <v>324</v>
      </c>
      <c r="C47" s="4">
        <v>264</v>
      </c>
      <c r="D47" s="84">
        <v>7715.02</v>
      </c>
      <c r="E47" s="4">
        <v>0</v>
      </c>
      <c r="F47" s="84">
        <v>0</v>
      </c>
      <c r="G47" s="6">
        <f t="shared" si="4"/>
        <v>0</v>
      </c>
      <c r="H47" s="4">
        <v>264</v>
      </c>
      <c r="I47" s="84">
        <v>7715.02</v>
      </c>
      <c r="J47" s="4">
        <v>484</v>
      </c>
      <c r="K47" s="84">
        <v>14042.189999999999</v>
      </c>
      <c r="L47" s="4">
        <f t="shared" si="1"/>
        <v>-220</v>
      </c>
      <c r="M47" s="85">
        <f t="shared" si="2"/>
        <v>-6327.1699999999983</v>
      </c>
      <c r="N47" s="7">
        <f t="shared" si="3"/>
        <v>-0.45058285068069859</v>
      </c>
    </row>
    <row r="48" spans="1:14" x14ac:dyDescent="0.25">
      <c r="A48" s="4" t="s">
        <v>141</v>
      </c>
      <c r="B48" s="5" t="s">
        <v>140</v>
      </c>
      <c r="C48" s="4">
        <v>2</v>
      </c>
      <c r="D48" s="84">
        <v>93.86</v>
      </c>
      <c r="E48" s="4">
        <v>187</v>
      </c>
      <c r="F48" s="84">
        <v>11966.299999999997</v>
      </c>
      <c r="G48" s="6">
        <f t="shared" si="4"/>
        <v>0.99221735035024405</v>
      </c>
      <c r="H48" s="4">
        <v>189</v>
      </c>
      <c r="I48" s="84">
        <v>12060.159999999998</v>
      </c>
      <c r="J48" s="4">
        <v>238</v>
      </c>
      <c r="K48" s="84">
        <v>12865.279999999999</v>
      </c>
      <c r="L48" s="4">
        <f t="shared" si="1"/>
        <v>-49</v>
      </c>
      <c r="M48" s="85">
        <f t="shared" si="2"/>
        <v>-805.1200000000008</v>
      </c>
      <c r="N48" s="7">
        <f t="shared" si="3"/>
        <v>-6.2580837727589364E-2</v>
      </c>
    </row>
    <row r="49" spans="1:14" x14ac:dyDescent="0.25">
      <c r="A49" s="4" t="s">
        <v>538</v>
      </c>
      <c r="B49" s="5" t="s">
        <v>537</v>
      </c>
      <c r="C49" s="4">
        <v>63</v>
      </c>
      <c r="D49" s="84">
        <v>3802.75</v>
      </c>
      <c r="E49" s="4">
        <v>2</v>
      </c>
      <c r="F49" s="84">
        <v>159.80000000000001</v>
      </c>
      <c r="G49" s="6">
        <f t="shared" si="4"/>
        <v>4.0327566844582406E-2</v>
      </c>
      <c r="H49" s="4">
        <v>65</v>
      </c>
      <c r="I49" s="84">
        <v>3962.55</v>
      </c>
      <c r="J49" s="4">
        <v>196</v>
      </c>
      <c r="K49" s="84">
        <v>11336.880000000001</v>
      </c>
      <c r="L49" s="4">
        <f t="shared" si="1"/>
        <v>-131</v>
      </c>
      <c r="M49" s="85">
        <f t="shared" si="2"/>
        <v>-7374.3300000000008</v>
      </c>
      <c r="N49" s="7">
        <f t="shared" si="3"/>
        <v>-0.65047261680462354</v>
      </c>
    </row>
    <row r="50" spans="1:14" x14ac:dyDescent="0.25">
      <c r="A50" s="4" t="s">
        <v>201</v>
      </c>
      <c r="B50" s="5" t="s">
        <v>200</v>
      </c>
      <c r="C50" s="4">
        <v>230</v>
      </c>
      <c r="D50" s="84">
        <v>6567.33</v>
      </c>
      <c r="E50" s="4">
        <v>6</v>
      </c>
      <c r="F50" s="84">
        <v>214.39999999999998</v>
      </c>
      <c r="G50" s="6">
        <f t="shared" si="4"/>
        <v>3.1614352090100904E-2</v>
      </c>
      <c r="H50" s="4">
        <v>236</v>
      </c>
      <c r="I50" s="84">
        <v>6781.73</v>
      </c>
      <c r="J50" s="4">
        <v>362</v>
      </c>
      <c r="K50" s="84">
        <v>10947.130000000001</v>
      </c>
      <c r="L50" s="4">
        <f t="shared" si="1"/>
        <v>-126</v>
      </c>
      <c r="M50" s="85">
        <f t="shared" si="2"/>
        <v>-4165.4000000000015</v>
      </c>
      <c r="N50" s="7">
        <f t="shared" si="3"/>
        <v>-0.38050155611562125</v>
      </c>
    </row>
    <row r="51" spans="1:14" x14ac:dyDescent="0.25">
      <c r="A51" s="4" t="s">
        <v>574</v>
      </c>
      <c r="B51" s="5" t="s">
        <v>575</v>
      </c>
      <c r="C51" s="4">
        <v>0</v>
      </c>
      <c r="D51" s="84">
        <v>0</v>
      </c>
      <c r="E51" s="4">
        <v>65</v>
      </c>
      <c r="F51" s="84">
        <v>2054.0099999999998</v>
      </c>
      <c r="G51" s="6">
        <f t="shared" si="4"/>
        <v>1</v>
      </c>
      <c r="H51" s="4">
        <v>65</v>
      </c>
      <c r="I51" s="84">
        <v>2054.0099999999998</v>
      </c>
      <c r="J51" s="4">
        <v>497</v>
      </c>
      <c r="K51" s="84">
        <v>10783.54</v>
      </c>
      <c r="L51" s="4">
        <f t="shared" si="1"/>
        <v>-432</v>
      </c>
      <c r="M51" s="85">
        <f t="shared" si="2"/>
        <v>-8729.5300000000007</v>
      </c>
      <c r="N51" s="7">
        <f t="shared" si="3"/>
        <v>-0.80952358872874774</v>
      </c>
    </row>
    <row r="52" spans="1:14" x14ac:dyDescent="0.25">
      <c r="A52" s="4" t="s">
        <v>207</v>
      </c>
      <c r="B52" s="5" t="s">
        <v>206</v>
      </c>
      <c r="C52" s="4">
        <v>249</v>
      </c>
      <c r="D52" s="84">
        <v>4287.12</v>
      </c>
      <c r="E52" s="4">
        <v>0</v>
      </c>
      <c r="F52" s="84">
        <v>0</v>
      </c>
      <c r="G52" s="6">
        <f t="shared" si="4"/>
        <v>0</v>
      </c>
      <c r="H52" s="4">
        <v>249</v>
      </c>
      <c r="I52" s="84">
        <v>4287.12</v>
      </c>
      <c r="J52" s="4">
        <v>552</v>
      </c>
      <c r="K52" s="84">
        <v>10324.75</v>
      </c>
      <c r="L52" s="4">
        <f t="shared" si="1"/>
        <v>-303</v>
      </c>
      <c r="M52" s="85">
        <f t="shared" si="2"/>
        <v>-6037.63</v>
      </c>
      <c r="N52" s="7">
        <f t="shared" si="3"/>
        <v>-0.5847725126516381</v>
      </c>
    </row>
    <row r="53" spans="1:14" x14ac:dyDescent="0.25">
      <c r="A53" s="4" t="s">
        <v>343</v>
      </c>
      <c r="B53" s="5" t="s">
        <v>342</v>
      </c>
      <c r="C53" s="4">
        <v>287</v>
      </c>
      <c r="D53" s="84">
        <v>5575.2999999999993</v>
      </c>
      <c r="E53" s="4">
        <v>2</v>
      </c>
      <c r="F53" s="84">
        <v>70.210000000000008</v>
      </c>
      <c r="G53" s="6">
        <f t="shared" si="4"/>
        <v>1.2436431783842385E-2</v>
      </c>
      <c r="H53" s="4">
        <v>289</v>
      </c>
      <c r="I53" s="84">
        <v>5645.5099999999993</v>
      </c>
      <c r="J53" s="4">
        <v>597</v>
      </c>
      <c r="K53" s="84">
        <v>10000.220000000001</v>
      </c>
      <c r="L53" s="4">
        <f t="shared" si="1"/>
        <v>-308</v>
      </c>
      <c r="M53" s="85">
        <f t="shared" si="2"/>
        <v>-4354.7100000000019</v>
      </c>
      <c r="N53" s="7">
        <f t="shared" si="3"/>
        <v>-0.43546141984876346</v>
      </c>
    </row>
    <row r="54" spans="1:14" x14ac:dyDescent="0.25">
      <c r="A54" s="4" t="s">
        <v>409</v>
      </c>
      <c r="B54" s="5" t="s">
        <v>408</v>
      </c>
      <c r="C54" s="4">
        <v>443</v>
      </c>
      <c r="D54" s="84">
        <v>2855.73</v>
      </c>
      <c r="E54" s="4">
        <v>0</v>
      </c>
      <c r="F54" s="84">
        <v>0</v>
      </c>
      <c r="G54" s="6">
        <f t="shared" si="4"/>
        <v>0</v>
      </c>
      <c r="H54" s="4">
        <v>443</v>
      </c>
      <c r="I54" s="84">
        <v>2855.73</v>
      </c>
      <c r="J54" s="4">
        <v>2474</v>
      </c>
      <c r="K54" s="84">
        <v>9986.4299999999985</v>
      </c>
      <c r="L54" s="4">
        <f t="shared" si="1"/>
        <v>-2031</v>
      </c>
      <c r="M54" s="85">
        <f t="shared" si="2"/>
        <v>-7130.6999999999989</v>
      </c>
      <c r="N54" s="7">
        <f t="shared" si="3"/>
        <v>-0.71403895085631197</v>
      </c>
    </row>
    <row r="55" spans="1:14" x14ac:dyDescent="0.25">
      <c r="A55" s="4" t="s">
        <v>407</v>
      </c>
      <c r="B55" s="5" t="s">
        <v>406</v>
      </c>
      <c r="C55" s="4">
        <v>1589</v>
      </c>
      <c r="D55" s="84">
        <v>7864.57</v>
      </c>
      <c r="E55" s="4">
        <v>0</v>
      </c>
      <c r="F55" s="84">
        <v>0</v>
      </c>
      <c r="G55" s="6">
        <f t="shared" si="4"/>
        <v>0</v>
      </c>
      <c r="H55" s="4">
        <v>1589</v>
      </c>
      <c r="I55" s="84">
        <v>7864.57</v>
      </c>
      <c r="J55" s="4">
        <v>2354</v>
      </c>
      <c r="K55" s="84">
        <v>9939.36</v>
      </c>
      <c r="L55" s="4">
        <f t="shared" si="1"/>
        <v>-765</v>
      </c>
      <c r="M55" s="85">
        <f t="shared" si="2"/>
        <v>-2074.7900000000009</v>
      </c>
      <c r="N55" s="7">
        <f t="shared" si="3"/>
        <v>-0.20874482864087837</v>
      </c>
    </row>
    <row r="56" spans="1:14" x14ac:dyDescent="0.25">
      <c r="A56" s="4" t="s">
        <v>480</v>
      </c>
      <c r="B56" s="5" t="s">
        <v>478</v>
      </c>
      <c r="C56" s="4">
        <v>-10</v>
      </c>
      <c r="D56" s="84">
        <v>-117.10000000000001</v>
      </c>
      <c r="E56" s="4">
        <v>489</v>
      </c>
      <c r="F56" s="84">
        <v>7328.0300000000243</v>
      </c>
      <c r="G56" s="6">
        <f t="shared" si="4"/>
        <v>1.0162392368252084</v>
      </c>
      <c r="H56" s="4">
        <v>479</v>
      </c>
      <c r="I56" s="84">
        <v>7210.9300000000239</v>
      </c>
      <c r="J56" s="4">
        <v>931</v>
      </c>
      <c r="K56" s="84">
        <v>9586.9700000000012</v>
      </c>
      <c r="L56" s="4">
        <f t="shared" si="1"/>
        <v>-452</v>
      </c>
      <c r="M56" s="85">
        <f t="shared" si="2"/>
        <v>-2376.0399999999772</v>
      </c>
      <c r="N56" s="7">
        <f t="shared" si="3"/>
        <v>-0.24784055859150253</v>
      </c>
    </row>
    <row r="57" spans="1:14" x14ac:dyDescent="0.25">
      <c r="A57" s="4" t="s">
        <v>552</v>
      </c>
      <c r="B57" s="5" t="s">
        <v>551</v>
      </c>
      <c r="C57" s="4">
        <v>121</v>
      </c>
      <c r="D57" s="84">
        <v>2998.58</v>
      </c>
      <c r="E57" s="4">
        <v>1</v>
      </c>
      <c r="F57" s="84">
        <v>29.9</v>
      </c>
      <c r="G57" s="6">
        <f t="shared" si="4"/>
        <v>9.8729395604395601E-3</v>
      </c>
      <c r="H57" s="4">
        <v>122</v>
      </c>
      <c r="I57" s="84">
        <v>3028.48</v>
      </c>
      <c r="J57" s="4">
        <v>381</v>
      </c>
      <c r="K57" s="84">
        <v>9023.1499999999978</v>
      </c>
      <c r="L57" s="4">
        <f t="shared" si="1"/>
        <v>-259</v>
      </c>
      <c r="M57" s="85">
        <f t="shared" si="2"/>
        <v>-5994.6699999999983</v>
      </c>
      <c r="N57" s="7">
        <f t="shared" si="3"/>
        <v>-0.6643655486166139</v>
      </c>
    </row>
    <row r="58" spans="1:14" x14ac:dyDescent="0.25">
      <c r="A58" s="4" t="s">
        <v>522</v>
      </c>
      <c r="B58" s="5" t="s">
        <v>521</v>
      </c>
      <c r="C58" s="4">
        <v>156</v>
      </c>
      <c r="D58" s="84">
        <v>6610.09</v>
      </c>
      <c r="E58" s="4">
        <v>45</v>
      </c>
      <c r="F58" s="84">
        <v>2695.4999999999995</v>
      </c>
      <c r="G58" s="6">
        <f t="shared" si="4"/>
        <v>0.28966459945043788</v>
      </c>
      <c r="H58" s="4">
        <v>201</v>
      </c>
      <c r="I58" s="84">
        <v>9305.5899999999983</v>
      </c>
      <c r="J58" s="4">
        <v>192</v>
      </c>
      <c r="K58" s="84">
        <v>8727.82</v>
      </c>
      <c r="L58" s="4">
        <f t="shared" si="1"/>
        <v>9</v>
      </c>
      <c r="M58" s="85">
        <f t="shared" si="2"/>
        <v>577.76999999999862</v>
      </c>
      <c r="N58" s="7">
        <f t="shared" si="3"/>
        <v>6.6198661292281302E-2</v>
      </c>
    </row>
    <row r="59" spans="1:14" x14ac:dyDescent="0.25">
      <c r="A59" s="4" t="s">
        <v>79</v>
      </c>
      <c r="B59" s="5" t="s">
        <v>78</v>
      </c>
      <c r="C59" s="4">
        <v>189</v>
      </c>
      <c r="D59" s="84">
        <v>2718.02</v>
      </c>
      <c r="E59" s="4">
        <v>0</v>
      </c>
      <c r="F59" s="84">
        <v>0</v>
      </c>
      <c r="G59" s="6">
        <f t="shared" ref="G59:G90" si="5">F59/I59</f>
        <v>0</v>
      </c>
      <c r="H59" s="4">
        <v>189</v>
      </c>
      <c r="I59" s="84">
        <v>2718.02</v>
      </c>
      <c r="J59" s="4">
        <v>593</v>
      </c>
      <c r="K59" s="84">
        <v>8580.82</v>
      </c>
      <c r="L59" s="4">
        <f t="shared" si="1"/>
        <v>-404</v>
      </c>
      <c r="M59" s="85">
        <f t="shared" si="2"/>
        <v>-5862.7999999999993</v>
      </c>
      <c r="N59" s="7">
        <f t="shared" si="3"/>
        <v>-0.68324472486312493</v>
      </c>
    </row>
    <row r="60" spans="1:14" x14ac:dyDescent="0.25">
      <c r="A60" s="4" t="s">
        <v>111</v>
      </c>
      <c r="B60" s="5" t="s">
        <v>110</v>
      </c>
      <c r="C60" s="4">
        <v>1031</v>
      </c>
      <c r="D60" s="84">
        <v>13137.439999999999</v>
      </c>
      <c r="E60" s="4">
        <v>0</v>
      </c>
      <c r="F60" s="84">
        <v>0</v>
      </c>
      <c r="G60" s="6">
        <f t="shared" si="5"/>
        <v>0</v>
      </c>
      <c r="H60" s="4">
        <v>1031</v>
      </c>
      <c r="I60" s="84">
        <v>13137.439999999999</v>
      </c>
      <c r="J60" s="4">
        <v>670</v>
      </c>
      <c r="K60" s="84">
        <v>8261.76</v>
      </c>
      <c r="L60" s="4">
        <f t="shared" si="1"/>
        <v>361</v>
      </c>
      <c r="M60" s="85">
        <f t="shared" si="2"/>
        <v>4875.6799999999985</v>
      </c>
      <c r="N60" s="7">
        <f t="shared" si="3"/>
        <v>0.59015028274846981</v>
      </c>
    </row>
    <row r="61" spans="1:14" x14ac:dyDescent="0.25">
      <c r="A61" s="4" t="s">
        <v>365</v>
      </c>
      <c r="B61" s="5" t="s">
        <v>364</v>
      </c>
      <c r="C61" s="4">
        <v>136</v>
      </c>
      <c r="D61" s="84">
        <v>5050.18</v>
      </c>
      <c r="E61" s="4">
        <v>0</v>
      </c>
      <c r="F61" s="84">
        <v>0</v>
      </c>
      <c r="G61" s="6">
        <f t="shared" si="5"/>
        <v>0</v>
      </c>
      <c r="H61" s="4">
        <v>136</v>
      </c>
      <c r="I61" s="84">
        <v>5050.18</v>
      </c>
      <c r="J61" s="4">
        <v>204</v>
      </c>
      <c r="K61" s="84">
        <v>7901.08</v>
      </c>
      <c r="L61" s="4">
        <f t="shared" si="1"/>
        <v>-68</v>
      </c>
      <c r="M61" s="85">
        <f t="shared" si="2"/>
        <v>-2850.8999999999996</v>
      </c>
      <c r="N61" s="7">
        <f t="shared" si="3"/>
        <v>-0.36082408987125808</v>
      </c>
    </row>
    <row r="62" spans="1:14" x14ac:dyDescent="0.25">
      <c r="A62" s="4" t="s">
        <v>393</v>
      </c>
      <c r="B62" s="5" t="s">
        <v>392</v>
      </c>
      <c r="C62" s="4">
        <v>17</v>
      </c>
      <c r="D62" s="84">
        <v>1651.17</v>
      </c>
      <c r="E62" s="4">
        <v>0</v>
      </c>
      <c r="F62" s="84">
        <v>0</v>
      </c>
      <c r="G62" s="6">
        <f t="shared" si="5"/>
        <v>0</v>
      </c>
      <c r="H62" s="4">
        <v>17</v>
      </c>
      <c r="I62" s="84">
        <v>1651.17</v>
      </c>
      <c r="J62" s="4">
        <v>94</v>
      </c>
      <c r="K62" s="84">
        <v>7734.92</v>
      </c>
      <c r="L62" s="4">
        <f t="shared" si="1"/>
        <v>-77</v>
      </c>
      <c r="M62" s="85">
        <f t="shared" si="2"/>
        <v>-6083.75</v>
      </c>
      <c r="N62" s="7">
        <f t="shared" si="3"/>
        <v>-0.78653043599675243</v>
      </c>
    </row>
    <row r="63" spans="1:14" x14ac:dyDescent="0.25">
      <c r="A63" s="4" t="s">
        <v>133</v>
      </c>
      <c r="B63" s="5" t="s">
        <v>132</v>
      </c>
      <c r="C63" s="4">
        <v>37</v>
      </c>
      <c r="D63" s="84">
        <v>1572.85</v>
      </c>
      <c r="E63" s="4">
        <v>4</v>
      </c>
      <c r="F63" s="84">
        <v>199.6</v>
      </c>
      <c r="G63" s="6">
        <f t="shared" si="5"/>
        <v>0.11261248554261052</v>
      </c>
      <c r="H63" s="4">
        <v>41</v>
      </c>
      <c r="I63" s="84">
        <v>1772.4499999999998</v>
      </c>
      <c r="J63" s="4">
        <v>168</v>
      </c>
      <c r="K63" s="84">
        <v>7227.86</v>
      </c>
      <c r="L63" s="4">
        <f t="shared" si="1"/>
        <v>-127</v>
      </c>
      <c r="M63" s="85">
        <f t="shared" si="2"/>
        <v>-5455.41</v>
      </c>
      <c r="N63" s="7">
        <f t="shared" si="3"/>
        <v>-0.75477527234893871</v>
      </c>
    </row>
    <row r="64" spans="1:14" x14ac:dyDescent="0.25">
      <c r="A64" s="4" t="s">
        <v>333</v>
      </c>
      <c r="B64" s="5" t="s">
        <v>332</v>
      </c>
      <c r="C64" s="4">
        <v>49</v>
      </c>
      <c r="D64" s="84">
        <v>5232.0599999999995</v>
      </c>
      <c r="E64" s="4">
        <v>1</v>
      </c>
      <c r="F64" s="84">
        <v>129</v>
      </c>
      <c r="G64" s="6">
        <f t="shared" si="5"/>
        <v>2.4062405569047915E-2</v>
      </c>
      <c r="H64" s="4">
        <v>50</v>
      </c>
      <c r="I64" s="84">
        <v>5361.0599999999995</v>
      </c>
      <c r="J64" s="4">
        <v>75</v>
      </c>
      <c r="K64" s="84">
        <v>7030.94</v>
      </c>
      <c r="L64" s="4">
        <f t="shared" si="1"/>
        <v>-25</v>
      </c>
      <c r="M64" s="85">
        <f t="shared" si="2"/>
        <v>-1669.88</v>
      </c>
      <c r="N64" s="7">
        <f t="shared" si="3"/>
        <v>-0.2375045157546502</v>
      </c>
    </row>
    <row r="65" spans="1:14" x14ac:dyDescent="0.25">
      <c r="A65" s="4" t="s">
        <v>329</v>
      </c>
      <c r="B65" s="5" t="s">
        <v>328</v>
      </c>
      <c r="C65" s="4">
        <v>488</v>
      </c>
      <c r="D65" s="84">
        <v>6122.8599999999988</v>
      </c>
      <c r="E65" s="4">
        <v>0</v>
      </c>
      <c r="F65" s="84">
        <v>0</v>
      </c>
      <c r="G65" s="6">
        <f t="shared" si="5"/>
        <v>0</v>
      </c>
      <c r="H65" s="4">
        <v>488</v>
      </c>
      <c r="I65" s="84">
        <v>6122.8599999999988</v>
      </c>
      <c r="J65" s="4">
        <v>598</v>
      </c>
      <c r="K65" s="84">
        <v>6965.6999999999989</v>
      </c>
      <c r="L65" s="4">
        <f t="shared" si="1"/>
        <v>-110</v>
      </c>
      <c r="M65" s="85">
        <f t="shared" si="2"/>
        <v>-842.84000000000015</v>
      </c>
      <c r="N65" s="7">
        <f t="shared" si="3"/>
        <v>-0.1209986074622795</v>
      </c>
    </row>
    <row r="66" spans="1:14" x14ac:dyDescent="0.25">
      <c r="A66" s="4" t="s">
        <v>57</v>
      </c>
      <c r="B66" s="5" t="s">
        <v>56</v>
      </c>
      <c r="C66" s="4">
        <v>6</v>
      </c>
      <c r="D66" s="84">
        <v>197.85000000000002</v>
      </c>
      <c r="E66" s="4">
        <v>68</v>
      </c>
      <c r="F66" s="84">
        <v>3423.2000000000003</v>
      </c>
      <c r="G66" s="6">
        <f t="shared" si="5"/>
        <v>0.94536115215200012</v>
      </c>
      <c r="H66" s="4">
        <v>74</v>
      </c>
      <c r="I66" s="84">
        <v>3621.05</v>
      </c>
      <c r="J66" s="4">
        <v>164</v>
      </c>
      <c r="K66" s="84">
        <v>6841.07</v>
      </c>
      <c r="L66" s="4">
        <f t="shared" ref="L66:L129" si="6">H66-J66</f>
        <v>-90</v>
      </c>
      <c r="M66" s="85">
        <f t="shared" ref="M66:M129" si="7">I66-K66</f>
        <v>-3220.0199999999995</v>
      </c>
      <c r="N66" s="7">
        <f t="shared" si="3"/>
        <v>-0.47068952663837671</v>
      </c>
    </row>
    <row r="67" spans="1:14" x14ac:dyDescent="0.25">
      <c r="A67" s="4" t="s">
        <v>379</v>
      </c>
      <c r="B67" s="5" t="s">
        <v>378</v>
      </c>
      <c r="C67" s="4">
        <v>96</v>
      </c>
      <c r="D67" s="84">
        <v>1828.94</v>
      </c>
      <c r="E67" s="4">
        <v>45</v>
      </c>
      <c r="F67" s="84">
        <v>970.49999999999966</v>
      </c>
      <c r="G67" s="6">
        <f t="shared" si="5"/>
        <v>0.34667647815277336</v>
      </c>
      <c r="H67" s="4">
        <v>141</v>
      </c>
      <c r="I67" s="84">
        <v>2799.4399999999996</v>
      </c>
      <c r="J67" s="4">
        <v>413</v>
      </c>
      <c r="K67" s="84">
        <v>6819.4600000000009</v>
      </c>
      <c r="L67" s="4">
        <f t="shared" si="6"/>
        <v>-272</v>
      </c>
      <c r="M67" s="85">
        <f t="shared" si="7"/>
        <v>-4020.0200000000013</v>
      </c>
      <c r="N67" s="7">
        <f t="shared" ref="N67:N130" si="8">M67/ABS(K67)</f>
        <v>-0.58949242315373951</v>
      </c>
    </row>
    <row r="68" spans="1:14" x14ac:dyDescent="0.25">
      <c r="A68" s="4" t="s">
        <v>494</v>
      </c>
      <c r="B68" s="5" t="s">
        <v>493</v>
      </c>
      <c r="C68" s="4">
        <v>97</v>
      </c>
      <c r="D68" s="84">
        <v>2912.6399999999994</v>
      </c>
      <c r="E68" s="4">
        <v>28</v>
      </c>
      <c r="F68" s="84">
        <v>1245.3999999999996</v>
      </c>
      <c r="G68" s="6">
        <f t="shared" si="5"/>
        <v>0.29951611817106127</v>
      </c>
      <c r="H68" s="4">
        <v>125</v>
      </c>
      <c r="I68" s="84">
        <v>4158.04</v>
      </c>
      <c r="J68" s="4">
        <v>230</v>
      </c>
      <c r="K68" s="84">
        <v>6806.46</v>
      </c>
      <c r="L68" s="4">
        <f t="shared" si="6"/>
        <v>-105</v>
      </c>
      <c r="M68" s="85">
        <f t="shared" si="7"/>
        <v>-2648.42</v>
      </c>
      <c r="N68" s="7">
        <f t="shared" si="8"/>
        <v>-0.3891038807250759</v>
      </c>
    </row>
    <row r="69" spans="1:14" x14ac:dyDescent="0.25">
      <c r="A69" s="4" t="s">
        <v>31</v>
      </c>
      <c r="B69" s="5" t="s">
        <v>30</v>
      </c>
      <c r="C69" s="4">
        <v>62</v>
      </c>
      <c r="D69" s="84">
        <v>2157.1800000000003</v>
      </c>
      <c r="E69" s="4">
        <v>0</v>
      </c>
      <c r="F69" s="84">
        <v>0</v>
      </c>
      <c r="G69" s="6">
        <f t="shared" si="5"/>
        <v>0</v>
      </c>
      <c r="H69" s="4">
        <v>62</v>
      </c>
      <c r="I69" s="84">
        <v>2157.1800000000003</v>
      </c>
      <c r="J69" s="4">
        <v>218</v>
      </c>
      <c r="K69" s="84">
        <v>6369.61</v>
      </c>
      <c r="L69" s="4">
        <f t="shared" si="6"/>
        <v>-156</v>
      </c>
      <c r="M69" s="85">
        <f t="shared" si="7"/>
        <v>-4212.4299999999994</v>
      </c>
      <c r="N69" s="7">
        <f t="shared" si="8"/>
        <v>-0.66133248346445062</v>
      </c>
    </row>
    <row r="70" spans="1:14" x14ac:dyDescent="0.25">
      <c r="A70" s="4" t="s">
        <v>137</v>
      </c>
      <c r="B70" s="5" t="s">
        <v>136</v>
      </c>
      <c r="C70" s="4">
        <v>165</v>
      </c>
      <c r="D70" s="84">
        <v>8989.5</v>
      </c>
      <c r="E70" s="4">
        <v>0</v>
      </c>
      <c r="F70" s="84">
        <v>0</v>
      </c>
      <c r="G70" s="6">
        <f t="shared" si="5"/>
        <v>0</v>
      </c>
      <c r="H70" s="4">
        <v>165</v>
      </c>
      <c r="I70" s="84">
        <v>8989.5</v>
      </c>
      <c r="J70" s="4">
        <v>105</v>
      </c>
      <c r="K70" s="84">
        <v>6092.1799999999994</v>
      </c>
      <c r="L70" s="4">
        <f t="shared" si="6"/>
        <v>60</v>
      </c>
      <c r="M70" s="85">
        <f t="shared" si="7"/>
        <v>2897.3200000000006</v>
      </c>
      <c r="N70" s="7">
        <f t="shared" si="8"/>
        <v>0.47558016998841152</v>
      </c>
    </row>
    <row r="71" spans="1:14" x14ac:dyDescent="0.25">
      <c r="A71" s="4" t="s">
        <v>103</v>
      </c>
      <c r="B71" s="5" t="s">
        <v>102</v>
      </c>
      <c r="C71" s="4">
        <v>20</v>
      </c>
      <c r="D71" s="84">
        <v>507.84</v>
      </c>
      <c r="E71" s="4">
        <v>40</v>
      </c>
      <c r="F71" s="84">
        <v>1210.6899999999996</v>
      </c>
      <c r="G71" s="6">
        <f t="shared" si="5"/>
        <v>0.70449162947402721</v>
      </c>
      <c r="H71" s="4">
        <v>60</v>
      </c>
      <c r="I71" s="84">
        <v>1718.5299999999995</v>
      </c>
      <c r="J71" s="4">
        <v>245</v>
      </c>
      <c r="K71" s="84">
        <v>5707.38</v>
      </c>
      <c r="L71" s="4">
        <f t="shared" si="6"/>
        <v>-185</v>
      </c>
      <c r="M71" s="85">
        <f t="shared" si="7"/>
        <v>-3988.8500000000004</v>
      </c>
      <c r="N71" s="7">
        <f t="shared" si="8"/>
        <v>-0.69889336262873691</v>
      </c>
    </row>
    <row r="72" spans="1:14" x14ac:dyDescent="0.25">
      <c r="A72" s="4" t="s">
        <v>479</v>
      </c>
      <c r="B72" s="5" t="s">
        <v>478</v>
      </c>
      <c r="C72" s="4">
        <v>82</v>
      </c>
      <c r="D72" s="84">
        <v>1827.2600000000002</v>
      </c>
      <c r="E72" s="4">
        <v>0</v>
      </c>
      <c r="F72" s="84">
        <v>0</v>
      </c>
      <c r="G72" s="6">
        <f t="shared" si="5"/>
        <v>0</v>
      </c>
      <c r="H72" s="4">
        <v>82</v>
      </c>
      <c r="I72" s="84">
        <v>1827.2600000000002</v>
      </c>
      <c r="J72" s="4">
        <v>280</v>
      </c>
      <c r="K72" s="84">
        <v>5669.34</v>
      </c>
      <c r="L72" s="4">
        <f t="shared" si="6"/>
        <v>-198</v>
      </c>
      <c r="M72" s="85">
        <f t="shared" si="7"/>
        <v>-3842.08</v>
      </c>
      <c r="N72" s="7">
        <f t="shared" si="8"/>
        <v>-0.67769440534524295</v>
      </c>
    </row>
    <row r="73" spans="1:14" x14ac:dyDescent="0.25">
      <c r="A73" s="4" t="s">
        <v>123</v>
      </c>
      <c r="B73" s="5" t="s">
        <v>122</v>
      </c>
      <c r="C73" s="4">
        <v>80</v>
      </c>
      <c r="D73" s="84">
        <v>2117.61</v>
      </c>
      <c r="E73" s="4">
        <v>29</v>
      </c>
      <c r="F73" s="84">
        <v>1218.1899999999998</v>
      </c>
      <c r="G73" s="6">
        <f t="shared" si="5"/>
        <v>0.36518676179627069</v>
      </c>
      <c r="H73" s="4">
        <v>109</v>
      </c>
      <c r="I73" s="84">
        <v>3335.8</v>
      </c>
      <c r="J73" s="4">
        <v>223</v>
      </c>
      <c r="K73" s="84">
        <v>5497.5300000000007</v>
      </c>
      <c r="L73" s="4">
        <f t="shared" si="6"/>
        <v>-114</v>
      </c>
      <c r="M73" s="85">
        <f t="shared" si="7"/>
        <v>-2161.7300000000005</v>
      </c>
      <c r="N73" s="7">
        <f t="shared" si="8"/>
        <v>-0.39321840899458488</v>
      </c>
    </row>
    <row r="74" spans="1:14" x14ac:dyDescent="0.25">
      <c r="A74" s="4" t="s">
        <v>391</v>
      </c>
      <c r="B74" s="5" t="s">
        <v>390</v>
      </c>
      <c r="C74" s="4">
        <v>250</v>
      </c>
      <c r="D74" s="84">
        <v>22069.530000000002</v>
      </c>
      <c r="E74" s="4">
        <v>0</v>
      </c>
      <c r="F74" s="84">
        <v>0</v>
      </c>
      <c r="G74" s="6">
        <f t="shared" si="5"/>
        <v>0</v>
      </c>
      <c r="H74" s="4">
        <v>250</v>
      </c>
      <c r="I74" s="84">
        <v>22069.530000000002</v>
      </c>
      <c r="J74" s="4">
        <v>62</v>
      </c>
      <c r="K74" s="84">
        <v>5415.82</v>
      </c>
      <c r="L74" s="4">
        <f t="shared" si="6"/>
        <v>188</v>
      </c>
      <c r="M74" s="85">
        <f t="shared" si="7"/>
        <v>16653.710000000003</v>
      </c>
      <c r="N74" s="7">
        <f t="shared" si="8"/>
        <v>3.0750117249096172</v>
      </c>
    </row>
    <row r="75" spans="1:14" x14ac:dyDescent="0.25">
      <c r="A75" s="4" t="s">
        <v>181</v>
      </c>
      <c r="B75" s="5" t="s">
        <v>180</v>
      </c>
      <c r="C75" s="4">
        <v>113</v>
      </c>
      <c r="D75" s="84">
        <v>1381.5500000000002</v>
      </c>
      <c r="E75" s="4">
        <v>0</v>
      </c>
      <c r="F75" s="84">
        <v>0</v>
      </c>
      <c r="G75" s="6">
        <f t="shared" si="5"/>
        <v>0</v>
      </c>
      <c r="H75" s="4">
        <v>113</v>
      </c>
      <c r="I75" s="84">
        <v>1381.5500000000002</v>
      </c>
      <c r="J75" s="4">
        <v>492</v>
      </c>
      <c r="K75" s="84">
        <v>5298.5700000000006</v>
      </c>
      <c r="L75" s="4">
        <f t="shared" si="6"/>
        <v>-379</v>
      </c>
      <c r="M75" s="85">
        <f t="shared" si="7"/>
        <v>-3917.0200000000004</v>
      </c>
      <c r="N75" s="7">
        <f t="shared" si="8"/>
        <v>-0.73925983803177087</v>
      </c>
    </row>
    <row r="76" spans="1:14" x14ac:dyDescent="0.25">
      <c r="A76" s="4" t="s">
        <v>85</v>
      </c>
      <c r="B76" s="5" t="s">
        <v>84</v>
      </c>
      <c r="C76" s="4">
        <v>120</v>
      </c>
      <c r="D76" s="84">
        <v>6784.1</v>
      </c>
      <c r="E76" s="4">
        <v>0</v>
      </c>
      <c r="F76" s="84">
        <v>0</v>
      </c>
      <c r="G76" s="6">
        <f t="shared" si="5"/>
        <v>0</v>
      </c>
      <c r="H76" s="4">
        <v>120</v>
      </c>
      <c r="I76" s="84">
        <v>6784.1</v>
      </c>
      <c r="J76" s="4">
        <v>105</v>
      </c>
      <c r="K76" s="84">
        <v>5264.46</v>
      </c>
      <c r="L76" s="4">
        <f t="shared" si="6"/>
        <v>15</v>
      </c>
      <c r="M76" s="85">
        <f t="shared" si="7"/>
        <v>1519.6400000000003</v>
      </c>
      <c r="N76" s="7">
        <f t="shared" si="8"/>
        <v>0.28866018547011474</v>
      </c>
    </row>
    <row r="77" spans="1:14" x14ac:dyDescent="0.25">
      <c r="A77" s="4" t="s">
        <v>371</v>
      </c>
      <c r="B77" s="5" t="s">
        <v>370</v>
      </c>
      <c r="C77" s="4">
        <v>55</v>
      </c>
      <c r="D77" s="84">
        <v>1790.04</v>
      </c>
      <c r="E77" s="4">
        <v>0</v>
      </c>
      <c r="F77" s="84">
        <v>0</v>
      </c>
      <c r="G77" s="6">
        <f t="shared" si="5"/>
        <v>0</v>
      </c>
      <c r="H77" s="4">
        <v>55</v>
      </c>
      <c r="I77" s="84">
        <v>1790.04</v>
      </c>
      <c r="J77" s="4">
        <v>153</v>
      </c>
      <c r="K77" s="84">
        <v>5017.4400000000005</v>
      </c>
      <c r="L77" s="4">
        <f t="shared" si="6"/>
        <v>-98</v>
      </c>
      <c r="M77" s="85">
        <f t="shared" si="7"/>
        <v>-3227.4000000000005</v>
      </c>
      <c r="N77" s="7">
        <f t="shared" si="8"/>
        <v>-0.64323639146656464</v>
      </c>
    </row>
    <row r="78" spans="1:14" x14ac:dyDescent="0.25">
      <c r="A78" s="4" t="s">
        <v>712</v>
      </c>
      <c r="B78" s="5" t="s">
        <v>713</v>
      </c>
      <c r="C78" s="4">
        <v>0</v>
      </c>
      <c r="D78" s="84">
        <v>0</v>
      </c>
      <c r="E78" s="4">
        <v>191</v>
      </c>
      <c r="F78" s="84">
        <v>7725.8999999999851</v>
      </c>
      <c r="G78" s="6">
        <f t="shared" si="5"/>
        <v>1</v>
      </c>
      <c r="H78" s="4">
        <v>191</v>
      </c>
      <c r="I78" s="84">
        <v>7725.8999999999851</v>
      </c>
      <c r="J78" s="4">
        <v>173</v>
      </c>
      <c r="K78" s="84">
        <v>5008.51</v>
      </c>
      <c r="L78" s="4">
        <f t="shared" si="6"/>
        <v>18</v>
      </c>
      <c r="M78" s="85">
        <f t="shared" si="7"/>
        <v>2717.3899999999849</v>
      </c>
      <c r="N78" s="7">
        <f t="shared" si="8"/>
        <v>0.54255457211825164</v>
      </c>
    </row>
    <row r="79" spans="1:14" x14ac:dyDescent="0.25">
      <c r="A79" s="4" t="s">
        <v>289</v>
      </c>
      <c r="B79" s="5" t="s">
        <v>288</v>
      </c>
      <c r="C79" s="4">
        <v>102</v>
      </c>
      <c r="D79" s="84">
        <v>1419.95</v>
      </c>
      <c r="E79" s="4">
        <v>0</v>
      </c>
      <c r="F79" s="84">
        <v>0</v>
      </c>
      <c r="G79" s="6">
        <f t="shared" si="5"/>
        <v>0</v>
      </c>
      <c r="H79" s="4">
        <v>102</v>
      </c>
      <c r="I79" s="84">
        <v>1419.95</v>
      </c>
      <c r="J79" s="4">
        <v>410</v>
      </c>
      <c r="K79" s="84">
        <v>4971.7299999999996</v>
      </c>
      <c r="L79" s="4">
        <f t="shared" si="6"/>
        <v>-308</v>
      </c>
      <c r="M79" s="85">
        <f t="shared" si="7"/>
        <v>-3551.7799999999997</v>
      </c>
      <c r="N79" s="7">
        <f t="shared" si="8"/>
        <v>-0.71439519040655874</v>
      </c>
    </row>
    <row r="80" spans="1:14" x14ac:dyDescent="0.25">
      <c r="A80" s="4" t="s">
        <v>516</v>
      </c>
      <c r="B80" s="5" t="s">
        <v>515</v>
      </c>
      <c r="C80" s="4">
        <v>1107</v>
      </c>
      <c r="D80" s="84">
        <v>15709.4</v>
      </c>
      <c r="E80" s="4">
        <v>0</v>
      </c>
      <c r="F80" s="84">
        <v>0</v>
      </c>
      <c r="G80" s="6">
        <f t="shared" si="5"/>
        <v>0</v>
      </c>
      <c r="H80" s="4">
        <v>1107</v>
      </c>
      <c r="I80" s="84">
        <v>15709.4</v>
      </c>
      <c r="J80" s="4">
        <v>336</v>
      </c>
      <c r="K80" s="84">
        <v>4925.92</v>
      </c>
      <c r="L80" s="4">
        <f t="shared" si="6"/>
        <v>771</v>
      </c>
      <c r="M80" s="85">
        <f t="shared" si="7"/>
        <v>10783.48</v>
      </c>
      <c r="N80" s="7">
        <f t="shared" si="8"/>
        <v>2.1891301523370252</v>
      </c>
    </row>
    <row r="81" spans="1:14" x14ac:dyDescent="0.25">
      <c r="A81" s="4" t="s">
        <v>229</v>
      </c>
      <c r="B81" s="5" t="s">
        <v>228</v>
      </c>
      <c r="C81" s="4">
        <v>1</v>
      </c>
      <c r="D81" s="84">
        <v>31.37</v>
      </c>
      <c r="E81" s="4">
        <v>46</v>
      </c>
      <c r="F81" s="84">
        <v>1855.3999999999996</v>
      </c>
      <c r="G81" s="6">
        <f t="shared" si="5"/>
        <v>0.98337370214705555</v>
      </c>
      <c r="H81" s="4">
        <v>47</v>
      </c>
      <c r="I81" s="84">
        <v>1886.7699999999995</v>
      </c>
      <c r="J81" s="4">
        <v>179</v>
      </c>
      <c r="K81" s="84">
        <v>4873.7</v>
      </c>
      <c r="L81" s="4">
        <f t="shared" si="6"/>
        <v>-132</v>
      </c>
      <c r="M81" s="85">
        <f t="shared" si="7"/>
        <v>-2986.9300000000003</v>
      </c>
      <c r="N81" s="7">
        <f t="shared" si="8"/>
        <v>-0.61286702094917622</v>
      </c>
    </row>
    <row r="82" spans="1:14" x14ac:dyDescent="0.25">
      <c r="A82" s="4" t="s">
        <v>243</v>
      </c>
      <c r="B82" s="5" t="s">
        <v>242</v>
      </c>
      <c r="C82" s="4">
        <v>103</v>
      </c>
      <c r="D82" s="84">
        <v>1175.1499999999996</v>
      </c>
      <c r="E82" s="4">
        <v>0</v>
      </c>
      <c r="F82" s="84">
        <v>0</v>
      </c>
      <c r="G82" s="6">
        <f t="shared" si="5"/>
        <v>0</v>
      </c>
      <c r="H82" s="4">
        <v>103</v>
      </c>
      <c r="I82" s="84">
        <v>1175.1499999999996</v>
      </c>
      <c r="J82" s="4">
        <v>395</v>
      </c>
      <c r="K82" s="84">
        <v>4838.2299999999996</v>
      </c>
      <c r="L82" s="4">
        <f t="shared" si="6"/>
        <v>-292</v>
      </c>
      <c r="M82" s="85">
        <f t="shared" si="7"/>
        <v>-3663.08</v>
      </c>
      <c r="N82" s="7">
        <f t="shared" si="8"/>
        <v>-0.75711158832878966</v>
      </c>
    </row>
    <row r="83" spans="1:14" x14ac:dyDescent="0.25">
      <c r="A83" s="4" t="s">
        <v>219</v>
      </c>
      <c r="B83" s="5" t="s">
        <v>218</v>
      </c>
      <c r="C83" s="4">
        <v>135</v>
      </c>
      <c r="D83" s="84">
        <v>1436.96</v>
      </c>
      <c r="E83" s="4">
        <v>0</v>
      </c>
      <c r="F83" s="84">
        <v>0</v>
      </c>
      <c r="G83" s="6">
        <f t="shared" si="5"/>
        <v>0</v>
      </c>
      <c r="H83" s="4">
        <v>135</v>
      </c>
      <c r="I83" s="84">
        <v>1436.96</v>
      </c>
      <c r="J83" s="4">
        <v>330</v>
      </c>
      <c r="K83" s="84">
        <v>4737.3899999999994</v>
      </c>
      <c r="L83" s="4">
        <f t="shared" si="6"/>
        <v>-195</v>
      </c>
      <c r="M83" s="85">
        <f t="shared" si="7"/>
        <v>-3300.4299999999994</v>
      </c>
      <c r="N83" s="7">
        <f t="shared" si="8"/>
        <v>-0.69667686215405522</v>
      </c>
    </row>
    <row r="84" spans="1:14" x14ac:dyDescent="0.25">
      <c r="A84" s="4" t="s">
        <v>698</v>
      </c>
      <c r="B84" s="5" t="s">
        <v>699</v>
      </c>
      <c r="C84" s="4">
        <v>0</v>
      </c>
      <c r="D84" s="84">
        <v>0</v>
      </c>
      <c r="E84" s="4">
        <v>0</v>
      </c>
      <c r="F84" s="84">
        <v>0</v>
      </c>
      <c r="G84" s="6"/>
      <c r="H84" s="4">
        <v>0</v>
      </c>
      <c r="I84" s="84">
        <v>0</v>
      </c>
      <c r="J84" s="4">
        <v>151</v>
      </c>
      <c r="K84" s="84">
        <v>4711.0099999999993</v>
      </c>
      <c r="L84" s="4">
        <f t="shared" si="6"/>
        <v>-151</v>
      </c>
      <c r="M84" s="85">
        <f t="shared" si="7"/>
        <v>-4711.0099999999993</v>
      </c>
      <c r="N84" s="7">
        <f t="shared" si="8"/>
        <v>-1</v>
      </c>
    </row>
    <row r="85" spans="1:14" x14ac:dyDescent="0.25">
      <c r="A85" s="4" t="s">
        <v>512</v>
      </c>
      <c r="B85" s="5" t="s">
        <v>511</v>
      </c>
      <c r="C85" s="4">
        <v>201</v>
      </c>
      <c r="D85" s="84">
        <v>4131.8500000000004</v>
      </c>
      <c r="E85" s="4">
        <v>0</v>
      </c>
      <c r="F85" s="84">
        <v>0</v>
      </c>
      <c r="G85" s="6">
        <f>F85/I85</f>
        <v>0</v>
      </c>
      <c r="H85" s="4">
        <v>201</v>
      </c>
      <c r="I85" s="84">
        <v>4131.8500000000004</v>
      </c>
      <c r="J85" s="4">
        <v>200</v>
      </c>
      <c r="K85" s="84">
        <v>4404.7299999999996</v>
      </c>
      <c r="L85" s="4">
        <f t="shared" si="6"/>
        <v>1</v>
      </c>
      <c r="M85" s="85">
        <f t="shared" si="7"/>
        <v>-272.8799999999992</v>
      </c>
      <c r="N85" s="7">
        <f t="shared" si="8"/>
        <v>-6.1951583865526204E-2</v>
      </c>
    </row>
    <row r="86" spans="1:14" x14ac:dyDescent="0.25">
      <c r="A86" s="4" t="s">
        <v>11</v>
      </c>
      <c r="B86" s="5" t="s">
        <v>10</v>
      </c>
      <c r="C86" s="4">
        <v>3483</v>
      </c>
      <c r="D86" s="84">
        <v>50055.28</v>
      </c>
      <c r="E86" s="4">
        <v>4</v>
      </c>
      <c r="F86" s="84">
        <v>80.599999999999994</v>
      </c>
      <c r="G86" s="6">
        <f>F86/I86</f>
        <v>1.6076311017179713E-3</v>
      </c>
      <c r="H86" s="4">
        <v>3487</v>
      </c>
      <c r="I86" s="84">
        <v>50135.88</v>
      </c>
      <c r="J86" s="4">
        <v>332</v>
      </c>
      <c r="K86" s="84">
        <v>4319.3599999999997</v>
      </c>
      <c r="L86" s="4">
        <f t="shared" si="6"/>
        <v>3155</v>
      </c>
      <c r="M86" s="85">
        <f t="shared" si="7"/>
        <v>45816.52</v>
      </c>
      <c r="N86" s="7">
        <f t="shared" si="8"/>
        <v>10.607247369980739</v>
      </c>
    </row>
    <row r="87" spans="1:14" x14ac:dyDescent="0.25">
      <c r="A87" s="4" t="s">
        <v>73</v>
      </c>
      <c r="B87" s="5" t="s">
        <v>72</v>
      </c>
      <c r="C87" s="4">
        <v>59</v>
      </c>
      <c r="D87" s="84">
        <v>2870.5</v>
      </c>
      <c r="E87" s="4">
        <v>0</v>
      </c>
      <c r="F87" s="84">
        <v>0</v>
      </c>
      <c r="G87" s="6">
        <f>F87/I87</f>
        <v>0</v>
      </c>
      <c r="H87" s="4">
        <v>59</v>
      </c>
      <c r="I87" s="84">
        <v>2870.5</v>
      </c>
      <c r="J87" s="4">
        <v>67</v>
      </c>
      <c r="K87" s="84">
        <v>3905.01</v>
      </c>
      <c r="L87" s="4">
        <f t="shared" si="6"/>
        <v>-8</v>
      </c>
      <c r="M87" s="85">
        <f t="shared" si="7"/>
        <v>-1034.5100000000002</v>
      </c>
      <c r="N87" s="7">
        <f t="shared" si="8"/>
        <v>-0.26491865577809026</v>
      </c>
    </row>
    <row r="88" spans="1:14" x14ac:dyDescent="0.25">
      <c r="A88" s="4" t="s">
        <v>295</v>
      </c>
      <c r="B88" s="5" t="s">
        <v>294</v>
      </c>
      <c r="C88" s="4">
        <v>93</v>
      </c>
      <c r="D88" s="84">
        <v>768.85000000000014</v>
      </c>
      <c r="E88" s="4">
        <v>0</v>
      </c>
      <c r="F88" s="84">
        <v>0</v>
      </c>
      <c r="G88" s="6">
        <f>F88/I88</f>
        <v>0</v>
      </c>
      <c r="H88" s="4">
        <v>93</v>
      </c>
      <c r="I88" s="84">
        <v>768.85000000000014</v>
      </c>
      <c r="J88" s="4">
        <v>519</v>
      </c>
      <c r="K88" s="84">
        <v>3896.72</v>
      </c>
      <c r="L88" s="4">
        <f t="shared" si="6"/>
        <v>-426</v>
      </c>
      <c r="M88" s="85">
        <f t="shared" si="7"/>
        <v>-3127.87</v>
      </c>
      <c r="N88" s="7">
        <f t="shared" si="8"/>
        <v>-0.80269303414153448</v>
      </c>
    </row>
    <row r="89" spans="1:14" x14ac:dyDescent="0.25">
      <c r="A89" s="4" t="s">
        <v>227</v>
      </c>
      <c r="B89" s="5" t="s">
        <v>226</v>
      </c>
      <c r="C89" s="4">
        <v>0</v>
      </c>
      <c r="D89" s="84">
        <v>0</v>
      </c>
      <c r="E89" s="4">
        <v>0</v>
      </c>
      <c r="F89" s="84">
        <v>0</v>
      </c>
      <c r="G89" s="6"/>
      <c r="H89" s="4">
        <v>0</v>
      </c>
      <c r="I89" s="84">
        <v>0</v>
      </c>
      <c r="J89" s="4">
        <v>429</v>
      </c>
      <c r="K89" s="84">
        <v>3765.7000000000003</v>
      </c>
      <c r="L89" s="4">
        <f t="shared" si="6"/>
        <v>-429</v>
      </c>
      <c r="M89" s="85">
        <f t="shared" si="7"/>
        <v>-3765.7000000000003</v>
      </c>
      <c r="N89" s="7">
        <f t="shared" si="8"/>
        <v>-1</v>
      </c>
    </row>
    <row r="90" spans="1:14" x14ac:dyDescent="0.25">
      <c r="A90" s="4" t="s">
        <v>526</v>
      </c>
      <c r="B90" s="5" t="s">
        <v>525</v>
      </c>
      <c r="C90" s="4">
        <v>29</v>
      </c>
      <c r="D90" s="84">
        <v>644.85</v>
      </c>
      <c r="E90" s="4">
        <v>3</v>
      </c>
      <c r="F90" s="84">
        <v>104.69999999999999</v>
      </c>
      <c r="G90" s="6">
        <f t="shared" ref="G90:G105" si="9">F90/I90</f>
        <v>0.13968381028617169</v>
      </c>
      <c r="H90" s="4">
        <v>32</v>
      </c>
      <c r="I90" s="84">
        <v>749.55</v>
      </c>
      <c r="J90" s="4">
        <v>179</v>
      </c>
      <c r="K90" s="84">
        <v>3753.4700000000003</v>
      </c>
      <c r="L90" s="4">
        <f t="shared" si="6"/>
        <v>-147</v>
      </c>
      <c r="M90" s="85">
        <f t="shared" si="7"/>
        <v>-3003.92</v>
      </c>
      <c r="N90" s="7">
        <f t="shared" si="8"/>
        <v>-0.80030478463928045</v>
      </c>
    </row>
    <row r="91" spans="1:14" x14ac:dyDescent="0.25">
      <c r="A91" s="4" t="s">
        <v>151</v>
      </c>
      <c r="B91" s="5" t="s">
        <v>150</v>
      </c>
      <c r="C91" s="4">
        <v>234</v>
      </c>
      <c r="D91" s="84">
        <v>1546.8000000000002</v>
      </c>
      <c r="E91" s="4">
        <v>0</v>
      </c>
      <c r="F91" s="84">
        <v>0</v>
      </c>
      <c r="G91" s="6">
        <f t="shared" si="9"/>
        <v>0</v>
      </c>
      <c r="H91" s="4">
        <v>234</v>
      </c>
      <c r="I91" s="84">
        <v>1546.8000000000002</v>
      </c>
      <c r="J91" s="4">
        <v>887</v>
      </c>
      <c r="K91" s="84">
        <v>3712.94</v>
      </c>
      <c r="L91" s="4">
        <f t="shared" si="6"/>
        <v>-653</v>
      </c>
      <c r="M91" s="85">
        <f t="shared" si="7"/>
        <v>-2166.14</v>
      </c>
      <c r="N91" s="7">
        <f t="shared" si="8"/>
        <v>-0.5834029098234822</v>
      </c>
    </row>
    <row r="92" spans="1:14" x14ac:dyDescent="0.25">
      <c r="A92" s="4" t="s">
        <v>357</v>
      </c>
      <c r="B92" s="5" t="s">
        <v>356</v>
      </c>
      <c r="C92" s="4">
        <v>17</v>
      </c>
      <c r="D92" s="84">
        <v>1481.2600000000002</v>
      </c>
      <c r="E92" s="4">
        <v>0</v>
      </c>
      <c r="F92" s="84">
        <v>0</v>
      </c>
      <c r="G92" s="6">
        <f t="shared" si="9"/>
        <v>0</v>
      </c>
      <c r="H92" s="4">
        <v>17</v>
      </c>
      <c r="I92" s="84">
        <v>1481.2600000000002</v>
      </c>
      <c r="J92" s="4">
        <v>48</v>
      </c>
      <c r="K92" s="84">
        <v>3703.5</v>
      </c>
      <c r="L92" s="4">
        <f t="shared" si="6"/>
        <v>-31</v>
      </c>
      <c r="M92" s="85">
        <f t="shared" si="7"/>
        <v>-2222.2399999999998</v>
      </c>
      <c r="N92" s="7">
        <f t="shared" si="8"/>
        <v>-0.60003780207911428</v>
      </c>
    </row>
    <row r="93" spans="1:14" x14ac:dyDescent="0.25">
      <c r="A93" s="4" t="s">
        <v>161</v>
      </c>
      <c r="B93" s="5" t="s">
        <v>160</v>
      </c>
      <c r="C93" s="4">
        <v>208</v>
      </c>
      <c r="D93" s="84">
        <v>1352.59</v>
      </c>
      <c r="E93" s="4">
        <v>0</v>
      </c>
      <c r="F93" s="84">
        <v>0</v>
      </c>
      <c r="G93" s="6">
        <f t="shared" si="9"/>
        <v>0</v>
      </c>
      <c r="H93" s="4">
        <v>208</v>
      </c>
      <c r="I93" s="84">
        <v>1352.59</v>
      </c>
      <c r="J93" s="4">
        <v>488</v>
      </c>
      <c r="K93" s="84">
        <v>3434.71</v>
      </c>
      <c r="L93" s="4">
        <f t="shared" si="6"/>
        <v>-280</v>
      </c>
      <c r="M93" s="85">
        <f t="shared" si="7"/>
        <v>-2082.12</v>
      </c>
      <c r="N93" s="7">
        <f t="shared" si="8"/>
        <v>-0.60619965004323506</v>
      </c>
    </row>
    <row r="94" spans="1:14" x14ac:dyDescent="0.25">
      <c r="A94" s="4" t="s">
        <v>285</v>
      </c>
      <c r="B94" s="5" t="s">
        <v>284</v>
      </c>
      <c r="C94" s="4">
        <v>113</v>
      </c>
      <c r="D94" s="84">
        <v>1652.2199999999998</v>
      </c>
      <c r="E94" s="4">
        <v>0</v>
      </c>
      <c r="F94" s="84">
        <v>0</v>
      </c>
      <c r="G94" s="6">
        <f t="shared" si="9"/>
        <v>0</v>
      </c>
      <c r="H94" s="4">
        <v>113</v>
      </c>
      <c r="I94" s="84">
        <v>1652.2199999999998</v>
      </c>
      <c r="J94" s="4">
        <v>223</v>
      </c>
      <c r="K94" s="84">
        <v>3396.24</v>
      </c>
      <c r="L94" s="4">
        <f t="shared" si="6"/>
        <v>-110</v>
      </c>
      <c r="M94" s="85">
        <f t="shared" si="7"/>
        <v>-1744.02</v>
      </c>
      <c r="N94" s="7">
        <f t="shared" si="8"/>
        <v>-0.51351494594021629</v>
      </c>
    </row>
    <row r="95" spans="1:14" x14ac:dyDescent="0.25">
      <c r="A95" s="4" t="s">
        <v>375</v>
      </c>
      <c r="B95" s="5" t="s">
        <v>374</v>
      </c>
      <c r="C95" s="4">
        <v>35</v>
      </c>
      <c r="D95" s="84">
        <v>681.51</v>
      </c>
      <c r="E95" s="4">
        <v>0</v>
      </c>
      <c r="F95" s="84">
        <v>0</v>
      </c>
      <c r="G95" s="6">
        <f t="shared" si="9"/>
        <v>0</v>
      </c>
      <c r="H95" s="4">
        <v>35</v>
      </c>
      <c r="I95" s="84">
        <v>681.51</v>
      </c>
      <c r="J95" s="4">
        <v>194</v>
      </c>
      <c r="K95" s="84">
        <v>3218.87</v>
      </c>
      <c r="L95" s="4">
        <f t="shared" si="6"/>
        <v>-159</v>
      </c>
      <c r="M95" s="85">
        <f t="shared" si="7"/>
        <v>-2537.3599999999997</v>
      </c>
      <c r="N95" s="7">
        <f t="shared" si="8"/>
        <v>-0.78827663124015568</v>
      </c>
    </row>
    <row r="96" spans="1:14" x14ac:dyDescent="0.25">
      <c r="A96" s="4" t="s">
        <v>153</v>
      </c>
      <c r="B96" s="5" t="s">
        <v>152</v>
      </c>
      <c r="C96" s="4">
        <v>372</v>
      </c>
      <c r="D96" s="84">
        <v>2339.19</v>
      </c>
      <c r="E96" s="4">
        <v>0</v>
      </c>
      <c r="F96" s="84">
        <v>0</v>
      </c>
      <c r="G96" s="6">
        <f t="shared" si="9"/>
        <v>0</v>
      </c>
      <c r="H96" s="4">
        <v>372</v>
      </c>
      <c r="I96" s="84">
        <v>2339.19</v>
      </c>
      <c r="J96" s="4">
        <v>716</v>
      </c>
      <c r="K96" s="84">
        <v>3068.8500000000004</v>
      </c>
      <c r="L96" s="4">
        <f t="shared" si="6"/>
        <v>-344</v>
      </c>
      <c r="M96" s="85">
        <f t="shared" si="7"/>
        <v>-729.66000000000031</v>
      </c>
      <c r="N96" s="7">
        <f t="shared" si="8"/>
        <v>-0.23776333154113111</v>
      </c>
    </row>
    <row r="97" spans="1:14" x14ac:dyDescent="0.25">
      <c r="A97" s="4" t="s">
        <v>317</v>
      </c>
      <c r="B97" s="5" t="s">
        <v>316</v>
      </c>
      <c r="C97" s="4">
        <v>12</v>
      </c>
      <c r="D97" s="84">
        <v>501.78</v>
      </c>
      <c r="E97" s="4">
        <v>0</v>
      </c>
      <c r="F97" s="84">
        <v>0</v>
      </c>
      <c r="G97" s="6">
        <f t="shared" si="9"/>
        <v>0</v>
      </c>
      <c r="H97" s="4">
        <v>12</v>
      </c>
      <c r="I97" s="84">
        <v>501.78</v>
      </c>
      <c r="J97" s="4">
        <v>108</v>
      </c>
      <c r="K97" s="84">
        <v>3045.68</v>
      </c>
      <c r="L97" s="4">
        <f t="shared" si="6"/>
        <v>-96</v>
      </c>
      <c r="M97" s="85">
        <f t="shared" si="7"/>
        <v>-2543.8999999999996</v>
      </c>
      <c r="N97" s="7">
        <f t="shared" si="8"/>
        <v>-0.83524861443093157</v>
      </c>
    </row>
    <row r="98" spans="1:14" x14ac:dyDescent="0.25">
      <c r="A98" s="4" t="s">
        <v>510</v>
      </c>
      <c r="B98" s="5" t="s">
        <v>509</v>
      </c>
      <c r="C98" s="4">
        <v>532</v>
      </c>
      <c r="D98" s="84">
        <v>7943.79</v>
      </c>
      <c r="E98" s="4">
        <v>0</v>
      </c>
      <c r="F98" s="84">
        <v>0</v>
      </c>
      <c r="G98" s="6">
        <f t="shared" si="9"/>
        <v>0</v>
      </c>
      <c r="H98" s="4">
        <v>532</v>
      </c>
      <c r="I98" s="84">
        <v>7943.79</v>
      </c>
      <c r="J98" s="4">
        <v>237</v>
      </c>
      <c r="K98" s="84">
        <v>3029.43</v>
      </c>
      <c r="L98" s="4">
        <f t="shared" si="6"/>
        <v>295</v>
      </c>
      <c r="M98" s="85">
        <f t="shared" si="7"/>
        <v>4914.3600000000006</v>
      </c>
      <c r="N98" s="7">
        <f t="shared" si="8"/>
        <v>1.6222061575940032</v>
      </c>
    </row>
    <row r="99" spans="1:14" x14ac:dyDescent="0.25">
      <c r="A99" s="4" t="s">
        <v>347</v>
      </c>
      <c r="B99" s="5" t="s">
        <v>346</v>
      </c>
      <c r="C99" s="4">
        <v>52</v>
      </c>
      <c r="D99" s="84">
        <v>1165.0900000000001</v>
      </c>
      <c r="E99" s="4">
        <v>0</v>
      </c>
      <c r="F99" s="84">
        <v>0</v>
      </c>
      <c r="G99" s="6">
        <f t="shared" si="9"/>
        <v>0</v>
      </c>
      <c r="H99" s="4">
        <v>52</v>
      </c>
      <c r="I99" s="84">
        <v>1165.0900000000001</v>
      </c>
      <c r="J99" s="4">
        <v>152</v>
      </c>
      <c r="K99" s="84">
        <v>3020.8</v>
      </c>
      <c r="L99" s="4">
        <f t="shared" si="6"/>
        <v>-100</v>
      </c>
      <c r="M99" s="85">
        <f t="shared" si="7"/>
        <v>-1855.71</v>
      </c>
      <c r="N99" s="7">
        <f t="shared" si="8"/>
        <v>-0.61431077860169492</v>
      </c>
    </row>
    <row r="100" spans="1:14" x14ac:dyDescent="0.25">
      <c r="A100" s="4" t="s">
        <v>341</v>
      </c>
      <c r="B100" s="5" t="s">
        <v>340</v>
      </c>
      <c r="C100" s="4">
        <v>58</v>
      </c>
      <c r="D100" s="84">
        <v>1420.96</v>
      </c>
      <c r="E100" s="4">
        <v>0</v>
      </c>
      <c r="F100" s="84">
        <v>0</v>
      </c>
      <c r="G100" s="6">
        <f t="shared" si="9"/>
        <v>0</v>
      </c>
      <c r="H100" s="4">
        <v>58</v>
      </c>
      <c r="I100" s="84">
        <v>1420.96</v>
      </c>
      <c r="J100" s="4">
        <v>118</v>
      </c>
      <c r="K100" s="84">
        <v>2888.9199999999996</v>
      </c>
      <c r="L100" s="4">
        <f t="shared" si="6"/>
        <v>-60</v>
      </c>
      <c r="M100" s="85">
        <f t="shared" si="7"/>
        <v>-1467.9599999999996</v>
      </c>
      <c r="N100" s="7">
        <f t="shared" si="8"/>
        <v>-0.5081345277820084</v>
      </c>
    </row>
    <row r="101" spans="1:14" x14ac:dyDescent="0.25">
      <c r="A101" s="4" t="s">
        <v>377</v>
      </c>
      <c r="B101" s="5" t="s">
        <v>376</v>
      </c>
      <c r="C101" s="4">
        <v>82</v>
      </c>
      <c r="D101" s="84">
        <v>1523.6699999999996</v>
      </c>
      <c r="E101" s="4">
        <v>0</v>
      </c>
      <c r="F101" s="84">
        <v>0</v>
      </c>
      <c r="G101" s="6">
        <f t="shared" si="9"/>
        <v>0</v>
      </c>
      <c r="H101" s="4">
        <v>82</v>
      </c>
      <c r="I101" s="84">
        <v>1523.6699999999996</v>
      </c>
      <c r="J101" s="4">
        <v>168</v>
      </c>
      <c r="K101" s="84">
        <v>2787.7200000000003</v>
      </c>
      <c r="L101" s="4">
        <f t="shared" si="6"/>
        <v>-86</v>
      </c>
      <c r="M101" s="85">
        <f t="shared" si="7"/>
        <v>-1264.0500000000006</v>
      </c>
      <c r="N101" s="7">
        <f t="shared" si="8"/>
        <v>-0.45343506521458415</v>
      </c>
    </row>
    <row r="102" spans="1:14" x14ac:dyDescent="0.25">
      <c r="A102" s="4" t="s">
        <v>41</v>
      </c>
      <c r="B102" s="5" t="s">
        <v>40</v>
      </c>
      <c r="C102" s="4">
        <v>33</v>
      </c>
      <c r="D102" s="84">
        <v>3043.04</v>
      </c>
      <c r="E102" s="4">
        <v>0</v>
      </c>
      <c r="F102" s="84">
        <v>0</v>
      </c>
      <c r="G102" s="6">
        <f t="shared" si="9"/>
        <v>0</v>
      </c>
      <c r="H102" s="4">
        <v>33</v>
      </c>
      <c r="I102" s="84">
        <v>3043.04</v>
      </c>
      <c r="J102" s="4">
        <v>35</v>
      </c>
      <c r="K102" s="84">
        <v>2759.24</v>
      </c>
      <c r="L102" s="4">
        <f t="shared" si="6"/>
        <v>-2</v>
      </c>
      <c r="M102" s="85">
        <f t="shared" si="7"/>
        <v>283.80000000000018</v>
      </c>
      <c r="N102" s="7">
        <f t="shared" si="8"/>
        <v>0.10285440918513801</v>
      </c>
    </row>
    <row r="103" spans="1:14" x14ac:dyDescent="0.25">
      <c r="A103" s="4" t="s">
        <v>189</v>
      </c>
      <c r="B103" s="5" t="s">
        <v>188</v>
      </c>
      <c r="C103" s="4">
        <v>79</v>
      </c>
      <c r="D103" s="84">
        <v>1068.42</v>
      </c>
      <c r="E103" s="4">
        <v>0</v>
      </c>
      <c r="F103" s="84">
        <v>0</v>
      </c>
      <c r="G103" s="6">
        <f t="shared" si="9"/>
        <v>0</v>
      </c>
      <c r="H103" s="4">
        <v>79</v>
      </c>
      <c r="I103" s="84">
        <v>1068.42</v>
      </c>
      <c r="J103" s="4">
        <v>281</v>
      </c>
      <c r="K103" s="84">
        <v>2733.3999999999996</v>
      </c>
      <c r="L103" s="4">
        <f t="shared" si="6"/>
        <v>-202</v>
      </c>
      <c r="M103" s="85">
        <f t="shared" si="7"/>
        <v>-1664.9799999999996</v>
      </c>
      <c r="N103" s="7">
        <f t="shared" si="8"/>
        <v>-0.60912416770322664</v>
      </c>
    </row>
    <row r="104" spans="1:14" x14ac:dyDescent="0.25">
      <c r="A104" s="4" t="s">
        <v>566</v>
      </c>
      <c r="B104" s="5" t="s">
        <v>565</v>
      </c>
      <c r="C104" s="4">
        <v>1</v>
      </c>
      <c r="D104" s="84">
        <v>65.75</v>
      </c>
      <c r="E104" s="4">
        <v>91</v>
      </c>
      <c r="F104" s="84">
        <v>7509.6100000000024</v>
      </c>
      <c r="G104" s="6">
        <f t="shared" si="9"/>
        <v>0.99132054450217544</v>
      </c>
      <c r="H104" s="4">
        <v>92</v>
      </c>
      <c r="I104" s="84">
        <v>7575.3600000000024</v>
      </c>
      <c r="J104" s="4">
        <v>42</v>
      </c>
      <c r="K104" s="84">
        <v>2725.1600000000003</v>
      </c>
      <c r="L104" s="4">
        <f t="shared" si="6"/>
        <v>50</v>
      </c>
      <c r="M104" s="85">
        <f t="shared" si="7"/>
        <v>4850.2000000000025</v>
      </c>
      <c r="N104" s="7">
        <f t="shared" si="8"/>
        <v>1.779785407095364</v>
      </c>
    </row>
    <row r="105" spans="1:14" x14ac:dyDescent="0.25">
      <c r="A105" s="4" t="s">
        <v>135</v>
      </c>
      <c r="B105" s="5" t="s">
        <v>134</v>
      </c>
      <c r="C105" s="4">
        <v>22</v>
      </c>
      <c r="D105" s="84">
        <v>563.47</v>
      </c>
      <c r="E105" s="4">
        <v>0</v>
      </c>
      <c r="F105" s="84">
        <v>0</v>
      </c>
      <c r="G105" s="6">
        <f t="shared" si="9"/>
        <v>0</v>
      </c>
      <c r="H105" s="4">
        <v>22</v>
      </c>
      <c r="I105" s="84">
        <v>563.47</v>
      </c>
      <c r="J105" s="4">
        <v>115</v>
      </c>
      <c r="K105" s="84">
        <v>2724.45</v>
      </c>
      <c r="L105" s="4">
        <f t="shared" si="6"/>
        <v>-93</v>
      </c>
      <c r="M105" s="85">
        <f t="shared" si="7"/>
        <v>-2160.9799999999996</v>
      </c>
      <c r="N105" s="7">
        <f t="shared" si="8"/>
        <v>-0.79318027491787324</v>
      </c>
    </row>
    <row r="106" spans="1:14" x14ac:dyDescent="0.25">
      <c r="A106" s="4" t="s">
        <v>696</v>
      </c>
      <c r="B106" s="5" t="s">
        <v>697</v>
      </c>
      <c r="C106" s="4">
        <v>0</v>
      </c>
      <c r="D106" s="84">
        <v>0</v>
      </c>
      <c r="E106" s="4">
        <v>0</v>
      </c>
      <c r="F106" s="84">
        <v>0</v>
      </c>
      <c r="G106" s="6"/>
      <c r="H106" s="4">
        <v>0</v>
      </c>
      <c r="I106" s="84">
        <v>0</v>
      </c>
      <c r="J106" s="4">
        <v>159</v>
      </c>
      <c r="K106" s="84">
        <v>2606.81</v>
      </c>
      <c r="L106" s="4">
        <f t="shared" si="6"/>
        <v>-159</v>
      </c>
      <c r="M106" s="85">
        <f t="shared" si="7"/>
        <v>-2606.81</v>
      </c>
      <c r="N106" s="7">
        <f t="shared" si="8"/>
        <v>-1</v>
      </c>
    </row>
    <row r="107" spans="1:14" x14ac:dyDescent="0.25">
      <c r="A107" s="4" t="s">
        <v>167</v>
      </c>
      <c r="B107" s="5" t="s">
        <v>166</v>
      </c>
      <c r="C107" s="4">
        <v>131</v>
      </c>
      <c r="D107" s="84">
        <v>679.99</v>
      </c>
      <c r="E107" s="4">
        <v>0</v>
      </c>
      <c r="F107" s="84">
        <v>0</v>
      </c>
      <c r="G107" s="6">
        <f t="shared" ref="G107:G117" si="10">F107/I107</f>
        <v>0</v>
      </c>
      <c r="H107" s="4">
        <v>131</v>
      </c>
      <c r="I107" s="84">
        <v>679.99</v>
      </c>
      <c r="J107" s="4">
        <v>524</v>
      </c>
      <c r="K107" s="84">
        <v>2546.9300000000003</v>
      </c>
      <c r="L107" s="4">
        <f t="shared" si="6"/>
        <v>-393</v>
      </c>
      <c r="M107" s="85">
        <f t="shared" si="7"/>
        <v>-1866.9400000000003</v>
      </c>
      <c r="N107" s="7">
        <f t="shared" si="8"/>
        <v>-0.73301582689748057</v>
      </c>
    </row>
    <row r="108" spans="1:14" x14ac:dyDescent="0.25">
      <c r="A108" s="4" t="s">
        <v>532</v>
      </c>
      <c r="B108" s="5" t="s">
        <v>531</v>
      </c>
      <c r="C108" s="4">
        <v>119</v>
      </c>
      <c r="D108" s="84">
        <v>674.8900000000001</v>
      </c>
      <c r="E108" s="4">
        <v>0</v>
      </c>
      <c r="F108" s="84">
        <v>0</v>
      </c>
      <c r="G108" s="6">
        <f t="shared" si="10"/>
        <v>0</v>
      </c>
      <c r="H108" s="4">
        <v>119</v>
      </c>
      <c r="I108" s="84">
        <v>674.8900000000001</v>
      </c>
      <c r="J108" s="4">
        <v>424</v>
      </c>
      <c r="K108" s="84">
        <v>2539.48</v>
      </c>
      <c r="L108" s="4">
        <f t="shared" si="6"/>
        <v>-305</v>
      </c>
      <c r="M108" s="85">
        <f t="shared" si="7"/>
        <v>-1864.59</v>
      </c>
      <c r="N108" s="7">
        <f t="shared" si="8"/>
        <v>-0.73424086820923962</v>
      </c>
    </row>
    <row r="109" spans="1:14" x14ac:dyDescent="0.25">
      <c r="A109" s="4" t="s">
        <v>560</v>
      </c>
      <c r="B109" s="5" t="s">
        <v>559</v>
      </c>
      <c r="C109" s="4">
        <v>133</v>
      </c>
      <c r="D109" s="84">
        <v>1520.85</v>
      </c>
      <c r="E109" s="4">
        <v>0</v>
      </c>
      <c r="F109" s="84">
        <v>0</v>
      </c>
      <c r="G109" s="6">
        <f t="shared" si="10"/>
        <v>0</v>
      </c>
      <c r="H109" s="4">
        <v>133</v>
      </c>
      <c r="I109" s="84">
        <v>1520.85</v>
      </c>
      <c r="J109" s="4">
        <v>241</v>
      </c>
      <c r="K109" s="84">
        <v>2476.4800000000005</v>
      </c>
      <c r="L109" s="4">
        <f t="shared" si="6"/>
        <v>-108</v>
      </c>
      <c r="M109" s="85">
        <f t="shared" si="7"/>
        <v>-955.63000000000056</v>
      </c>
      <c r="N109" s="7">
        <f t="shared" si="8"/>
        <v>-0.38588238144463122</v>
      </c>
    </row>
    <row r="110" spans="1:14" x14ac:dyDescent="0.25">
      <c r="A110" s="4" t="s">
        <v>335</v>
      </c>
      <c r="B110" s="5" t="s">
        <v>334</v>
      </c>
      <c r="C110" s="4">
        <v>29</v>
      </c>
      <c r="D110" s="84">
        <v>2445.71</v>
      </c>
      <c r="E110" s="4">
        <v>0</v>
      </c>
      <c r="F110" s="84">
        <v>0</v>
      </c>
      <c r="G110" s="6">
        <f t="shared" si="10"/>
        <v>0</v>
      </c>
      <c r="H110" s="4">
        <v>29</v>
      </c>
      <c r="I110" s="84">
        <v>2445.71</v>
      </c>
      <c r="J110" s="4">
        <v>32</v>
      </c>
      <c r="K110" s="84">
        <v>2370.48</v>
      </c>
      <c r="L110" s="4">
        <f t="shared" si="6"/>
        <v>-3</v>
      </c>
      <c r="M110" s="85">
        <f t="shared" si="7"/>
        <v>75.230000000000018</v>
      </c>
      <c r="N110" s="7">
        <f t="shared" si="8"/>
        <v>3.1736188451284134E-2</v>
      </c>
    </row>
    <row r="111" spans="1:14" x14ac:dyDescent="0.25">
      <c r="A111" s="4" t="s">
        <v>482</v>
      </c>
      <c r="B111" s="5" t="s">
        <v>481</v>
      </c>
      <c r="C111" s="4">
        <v>77</v>
      </c>
      <c r="D111" s="84">
        <v>3057.9400000000005</v>
      </c>
      <c r="E111" s="4">
        <v>7</v>
      </c>
      <c r="F111" s="84">
        <v>419.29999999999995</v>
      </c>
      <c r="G111" s="6">
        <f t="shared" si="10"/>
        <v>0.12058414144551426</v>
      </c>
      <c r="H111" s="4">
        <v>84</v>
      </c>
      <c r="I111" s="84">
        <v>3477.24</v>
      </c>
      <c r="J111" s="4">
        <v>51</v>
      </c>
      <c r="K111" s="84">
        <v>2305</v>
      </c>
      <c r="L111" s="4">
        <f t="shared" si="6"/>
        <v>33</v>
      </c>
      <c r="M111" s="85">
        <f t="shared" si="7"/>
        <v>1172.2399999999998</v>
      </c>
      <c r="N111" s="7">
        <f t="shared" si="8"/>
        <v>0.50856399132321028</v>
      </c>
    </row>
    <row r="112" spans="1:14" x14ac:dyDescent="0.25">
      <c r="A112" s="4" t="s">
        <v>530</v>
      </c>
      <c r="B112" s="5" t="s">
        <v>529</v>
      </c>
      <c r="C112" s="4">
        <v>16</v>
      </c>
      <c r="D112" s="84">
        <v>736.81000000000006</v>
      </c>
      <c r="E112" s="4">
        <v>0</v>
      </c>
      <c r="F112" s="84">
        <v>0</v>
      </c>
      <c r="G112" s="6">
        <f t="shared" si="10"/>
        <v>0</v>
      </c>
      <c r="H112" s="4">
        <v>16</v>
      </c>
      <c r="I112" s="84">
        <v>736.81000000000006</v>
      </c>
      <c r="J112" s="4">
        <v>50</v>
      </c>
      <c r="K112" s="84">
        <v>2202.2799999999997</v>
      </c>
      <c r="L112" s="4">
        <f t="shared" si="6"/>
        <v>-34</v>
      </c>
      <c r="M112" s="85">
        <f t="shared" si="7"/>
        <v>-1465.4699999999998</v>
      </c>
      <c r="N112" s="7">
        <f t="shared" si="8"/>
        <v>-0.66543309660896888</v>
      </c>
    </row>
    <row r="113" spans="1:14" x14ac:dyDescent="0.25">
      <c r="A113" s="4" t="s">
        <v>245</v>
      </c>
      <c r="B113" s="5" t="s">
        <v>244</v>
      </c>
      <c r="C113" s="4">
        <v>4</v>
      </c>
      <c r="D113" s="84">
        <v>89.52000000000001</v>
      </c>
      <c r="E113" s="4">
        <v>0</v>
      </c>
      <c r="F113" s="84">
        <v>0</v>
      </c>
      <c r="G113" s="6">
        <f t="shared" si="10"/>
        <v>0</v>
      </c>
      <c r="H113" s="4">
        <v>4</v>
      </c>
      <c r="I113" s="84">
        <v>89.52000000000001</v>
      </c>
      <c r="J113" s="4">
        <v>75</v>
      </c>
      <c r="K113" s="84">
        <v>2164.66</v>
      </c>
      <c r="L113" s="4">
        <f t="shared" si="6"/>
        <v>-71</v>
      </c>
      <c r="M113" s="85">
        <f t="shared" si="7"/>
        <v>-2075.14</v>
      </c>
      <c r="N113" s="7">
        <f t="shared" si="8"/>
        <v>-0.95864477562296158</v>
      </c>
    </row>
    <row r="114" spans="1:14" x14ac:dyDescent="0.25">
      <c r="A114" s="4" t="s">
        <v>149</v>
      </c>
      <c r="B114" s="5" t="s">
        <v>148</v>
      </c>
      <c r="C114" s="4">
        <v>2</v>
      </c>
      <c r="D114" s="84">
        <v>15.24</v>
      </c>
      <c r="E114" s="4">
        <v>0</v>
      </c>
      <c r="F114" s="84">
        <v>0</v>
      </c>
      <c r="G114" s="6">
        <f t="shared" si="10"/>
        <v>0</v>
      </c>
      <c r="H114" s="4">
        <v>2</v>
      </c>
      <c r="I114" s="84">
        <v>15.24</v>
      </c>
      <c r="J114" s="4">
        <v>335</v>
      </c>
      <c r="K114" s="84">
        <v>2157.41</v>
      </c>
      <c r="L114" s="4">
        <f t="shared" si="6"/>
        <v>-333</v>
      </c>
      <c r="M114" s="85">
        <f t="shared" si="7"/>
        <v>-2142.17</v>
      </c>
      <c r="N114" s="7">
        <f t="shared" si="8"/>
        <v>-0.99293597415419421</v>
      </c>
    </row>
    <row r="115" spans="1:14" x14ac:dyDescent="0.25">
      <c r="A115" s="4" t="s">
        <v>69</v>
      </c>
      <c r="B115" s="5" t="s">
        <v>68</v>
      </c>
      <c r="C115" s="4">
        <v>17</v>
      </c>
      <c r="D115" s="84">
        <v>599.7299999999999</v>
      </c>
      <c r="E115" s="4">
        <v>12</v>
      </c>
      <c r="F115" s="84">
        <v>467.05000000000007</v>
      </c>
      <c r="G115" s="6">
        <f t="shared" si="10"/>
        <v>0.43781285738390302</v>
      </c>
      <c r="H115" s="4">
        <v>29</v>
      </c>
      <c r="I115" s="84">
        <v>1066.78</v>
      </c>
      <c r="J115" s="4">
        <v>70</v>
      </c>
      <c r="K115" s="84">
        <v>2055.79</v>
      </c>
      <c r="L115" s="4">
        <f t="shared" si="6"/>
        <v>-41</v>
      </c>
      <c r="M115" s="85">
        <f t="shared" si="7"/>
        <v>-989.01</v>
      </c>
      <c r="N115" s="7">
        <f t="shared" si="8"/>
        <v>-0.48108513029054523</v>
      </c>
    </row>
    <row r="116" spans="1:14" x14ac:dyDescent="0.25">
      <c r="A116" s="4" t="s">
        <v>323</v>
      </c>
      <c r="B116" s="5" t="s">
        <v>322</v>
      </c>
      <c r="C116" s="4">
        <v>22</v>
      </c>
      <c r="D116" s="84">
        <v>500.84000000000003</v>
      </c>
      <c r="E116" s="4">
        <v>0</v>
      </c>
      <c r="F116" s="84">
        <v>0</v>
      </c>
      <c r="G116" s="6">
        <f t="shared" si="10"/>
        <v>0</v>
      </c>
      <c r="H116" s="4">
        <v>22</v>
      </c>
      <c r="I116" s="84">
        <v>500.84000000000003</v>
      </c>
      <c r="J116" s="4">
        <v>61</v>
      </c>
      <c r="K116" s="84">
        <v>1994.52</v>
      </c>
      <c r="L116" s="4">
        <f t="shared" si="6"/>
        <v>-39</v>
      </c>
      <c r="M116" s="85">
        <f t="shared" si="7"/>
        <v>-1493.6799999999998</v>
      </c>
      <c r="N116" s="7">
        <f t="shared" si="8"/>
        <v>-0.74889196398130875</v>
      </c>
    </row>
    <row r="117" spans="1:14" x14ac:dyDescent="0.25">
      <c r="A117" s="4" t="s">
        <v>307</v>
      </c>
      <c r="B117" s="5" t="s">
        <v>306</v>
      </c>
      <c r="C117" s="4">
        <v>124</v>
      </c>
      <c r="D117" s="84">
        <v>1520.38</v>
      </c>
      <c r="E117" s="4">
        <v>0</v>
      </c>
      <c r="F117" s="84">
        <v>0</v>
      </c>
      <c r="G117" s="6">
        <f t="shared" si="10"/>
        <v>0</v>
      </c>
      <c r="H117" s="4">
        <v>124</v>
      </c>
      <c r="I117" s="84">
        <v>1520.38</v>
      </c>
      <c r="J117" s="4">
        <v>170</v>
      </c>
      <c r="K117" s="84">
        <v>1954.2899999999997</v>
      </c>
      <c r="L117" s="4">
        <f t="shared" si="6"/>
        <v>-46</v>
      </c>
      <c r="M117" s="85">
        <f t="shared" si="7"/>
        <v>-433.90999999999963</v>
      </c>
      <c r="N117" s="7">
        <f t="shared" si="8"/>
        <v>-0.22202948385347093</v>
      </c>
    </row>
    <row r="118" spans="1:14" x14ac:dyDescent="0.25">
      <c r="A118" s="4" t="s">
        <v>183</v>
      </c>
      <c r="B118" s="5" t="s">
        <v>182</v>
      </c>
      <c r="C118" s="4">
        <v>0</v>
      </c>
      <c r="D118" s="84">
        <v>0</v>
      </c>
      <c r="E118" s="4">
        <v>0</v>
      </c>
      <c r="F118" s="84">
        <v>0</v>
      </c>
      <c r="G118" s="6"/>
      <c r="H118" s="4">
        <v>0</v>
      </c>
      <c r="I118" s="84">
        <v>0</v>
      </c>
      <c r="J118" s="4">
        <v>77</v>
      </c>
      <c r="K118" s="84">
        <v>1942.0900000000001</v>
      </c>
      <c r="L118" s="4">
        <f t="shared" si="6"/>
        <v>-77</v>
      </c>
      <c r="M118" s="85">
        <f t="shared" si="7"/>
        <v>-1942.0900000000001</v>
      </c>
      <c r="N118" s="7">
        <f t="shared" si="8"/>
        <v>-1</v>
      </c>
    </row>
    <row r="119" spans="1:14" x14ac:dyDescent="0.25">
      <c r="A119" s="4" t="s">
        <v>726</v>
      </c>
      <c r="B119" s="5" t="s">
        <v>727</v>
      </c>
      <c r="C119" s="4">
        <v>1</v>
      </c>
      <c r="D119" s="84">
        <v>138.52000000000001</v>
      </c>
      <c r="E119" s="4">
        <v>0</v>
      </c>
      <c r="F119" s="84">
        <v>0</v>
      </c>
      <c r="G119" s="6">
        <f t="shared" ref="G119:G125" si="11">F119/I119</f>
        <v>0</v>
      </c>
      <c r="H119" s="4">
        <v>1</v>
      </c>
      <c r="I119" s="84">
        <v>138.52000000000001</v>
      </c>
      <c r="J119" s="4">
        <v>16</v>
      </c>
      <c r="K119" s="84">
        <v>1922.03</v>
      </c>
      <c r="L119" s="4">
        <f t="shared" si="6"/>
        <v>-15</v>
      </c>
      <c r="M119" s="85">
        <f t="shared" si="7"/>
        <v>-1783.51</v>
      </c>
      <c r="N119" s="7">
        <f t="shared" si="8"/>
        <v>-0.92793036529086437</v>
      </c>
    </row>
    <row r="120" spans="1:14" x14ac:dyDescent="0.25">
      <c r="A120" s="4" t="s">
        <v>568</v>
      </c>
      <c r="B120" s="5" t="s">
        <v>567</v>
      </c>
      <c r="C120" s="4">
        <v>250</v>
      </c>
      <c r="D120" s="84">
        <v>3311.36</v>
      </c>
      <c r="E120" s="4">
        <v>0</v>
      </c>
      <c r="F120" s="84">
        <v>0</v>
      </c>
      <c r="G120" s="6">
        <f t="shared" si="11"/>
        <v>0</v>
      </c>
      <c r="H120" s="4">
        <v>250</v>
      </c>
      <c r="I120" s="84">
        <v>3311.36</v>
      </c>
      <c r="J120" s="4">
        <v>122</v>
      </c>
      <c r="K120" s="84">
        <v>1823.44</v>
      </c>
      <c r="L120" s="4">
        <f t="shared" si="6"/>
        <v>128</v>
      </c>
      <c r="M120" s="85">
        <f t="shared" si="7"/>
        <v>1487.92</v>
      </c>
      <c r="N120" s="7">
        <f t="shared" si="8"/>
        <v>0.81599613916553326</v>
      </c>
    </row>
    <row r="121" spans="1:14" x14ac:dyDescent="0.25">
      <c r="A121" s="4" t="s">
        <v>546</v>
      </c>
      <c r="B121" s="5" t="s">
        <v>545</v>
      </c>
      <c r="C121" s="4">
        <v>211</v>
      </c>
      <c r="D121" s="84">
        <v>1582.1000000000001</v>
      </c>
      <c r="E121" s="4">
        <v>0</v>
      </c>
      <c r="F121" s="84">
        <v>0</v>
      </c>
      <c r="G121" s="6">
        <f t="shared" si="11"/>
        <v>0</v>
      </c>
      <c r="H121" s="4">
        <v>211</v>
      </c>
      <c r="I121" s="84">
        <v>1582.1000000000001</v>
      </c>
      <c r="J121" s="4">
        <v>207</v>
      </c>
      <c r="K121" s="84">
        <v>1703.6000000000001</v>
      </c>
      <c r="L121" s="4">
        <f t="shared" si="6"/>
        <v>4</v>
      </c>
      <c r="M121" s="85">
        <f t="shared" si="7"/>
        <v>-121.5</v>
      </c>
      <c r="N121" s="7">
        <f t="shared" si="8"/>
        <v>-7.1319558581826717E-2</v>
      </c>
    </row>
    <row r="122" spans="1:14" x14ac:dyDescent="0.25">
      <c r="A122" s="4" t="s">
        <v>381</v>
      </c>
      <c r="B122" s="5" t="s">
        <v>380</v>
      </c>
      <c r="C122" s="4">
        <v>14</v>
      </c>
      <c r="D122" s="84">
        <v>553.42000000000007</v>
      </c>
      <c r="E122" s="4">
        <v>0</v>
      </c>
      <c r="F122" s="84">
        <v>0</v>
      </c>
      <c r="G122" s="6">
        <f t="shared" si="11"/>
        <v>0</v>
      </c>
      <c r="H122" s="4">
        <v>14</v>
      </c>
      <c r="I122" s="84">
        <v>553.42000000000007</v>
      </c>
      <c r="J122" s="4">
        <v>40</v>
      </c>
      <c r="K122" s="84">
        <v>1639.97</v>
      </c>
      <c r="L122" s="4">
        <f t="shared" si="6"/>
        <v>-26</v>
      </c>
      <c r="M122" s="85">
        <f t="shared" si="7"/>
        <v>-1086.55</v>
      </c>
      <c r="N122" s="7">
        <f t="shared" si="8"/>
        <v>-0.66254260748672233</v>
      </c>
    </row>
    <row r="123" spans="1:14" x14ac:dyDescent="0.25">
      <c r="A123" s="4" t="s">
        <v>99</v>
      </c>
      <c r="B123" s="5" t="s">
        <v>98</v>
      </c>
      <c r="C123" s="4">
        <v>3</v>
      </c>
      <c r="D123" s="84">
        <v>125.08999999999999</v>
      </c>
      <c r="E123" s="4">
        <v>0</v>
      </c>
      <c r="F123" s="84">
        <v>0</v>
      </c>
      <c r="G123" s="6">
        <f t="shared" si="11"/>
        <v>0</v>
      </c>
      <c r="H123" s="4">
        <v>3</v>
      </c>
      <c r="I123" s="84">
        <v>125.08999999999999</v>
      </c>
      <c r="J123" s="4">
        <v>38</v>
      </c>
      <c r="K123" s="84">
        <v>1551.74</v>
      </c>
      <c r="L123" s="4">
        <f t="shared" si="6"/>
        <v>-35</v>
      </c>
      <c r="M123" s="85">
        <f t="shared" si="7"/>
        <v>-1426.65</v>
      </c>
      <c r="N123" s="7">
        <f t="shared" si="8"/>
        <v>-0.91938726848569996</v>
      </c>
    </row>
    <row r="124" spans="1:14" x14ac:dyDescent="0.25">
      <c r="A124" s="4" t="s">
        <v>187</v>
      </c>
      <c r="B124" s="5" t="s">
        <v>186</v>
      </c>
      <c r="C124" s="4">
        <v>37</v>
      </c>
      <c r="D124" s="84">
        <v>1201.6000000000001</v>
      </c>
      <c r="E124" s="4">
        <v>0</v>
      </c>
      <c r="F124" s="84">
        <v>0</v>
      </c>
      <c r="G124" s="6">
        <f t="shared" si="11"/>
        <v>0</v>
      </c>
      <c r="H124" s="4">
        <v>37</v>
      </c>
      <c r="I124" s="84">
        <v>1201.6000000000001</v>
      </c>
      <c r="J124" s="4">
        <v>42</v>
      </c>
      <c r="K124" s="84">
        <v>1382.9099999999999</v>
      </c>
      <c r="L124" s="4">
        <f t="shared" si="6"/>
        <v>-5</v>
      </c>
      <c r="M124" s="85">
        <f t="shared" si="7"/>
        <v>-181.30999999999972</v>
      </c>
      <c r="N124" s="7">
        <f t="shared" si="8"/>
        <v>-0.1311075919618773</v>
      </c>
    </row>
    <row r="125" spans="1:14" x14ac:dyDescent="0.25">
      <c r="A125" s="4" t="s">
        <v>63</v>
      </c>
      <c r="B125" s="5" t="s">
        <v>62</v>
      </c>
      <c r="C125" s="4">
        <v>18</v>
      </c>
      <c r="D125" s="84">
        <v>445.64</v>
      </c>
      <c r="E125" s="4">
        <v>0</v>
      </c>
      <c r="F125" s="84">
        <v>0</v>
      </c>
      <c r="G125" s="6">
        <f t="shared" si="11"/>
        <v>0</v>
      </c>
      <c r="H125" s="4">
        <v>18</v>
      </c>
      <c r="I125" s="84">
        <v>445.64</v>
      </c>
      <c r="J125" s="4">
        <v>59</v>
      </c>
      <c r="K125" s="84">
        <v>1299.3800000000001</v>
      </c>
      <c r="L125" s="4">
        <f t="shared" si="6"/>
        <v>-41</v>
      </c>
      <c r="M125" s="85">
        <f t="shared" si="7"/>
        <v>-853.74000000000012</v>
      </c>
      <c r="N125" s="7">
        <f t="shared" si="8"/>
        <v>-0.65703643276023949</v>
      </c>
    </row>
    <row r="126" spans="1:14" x14ac:dyDescent="0.25">
      <c r="A126" s="4" t="s">
        <v>720</v>
      </c>
      <c r="B126" s="5" t="s">
        <v>721</v>
      </c>
      <c r="C126" s="4">
        <v>0</v>
      </c>
      <c r="D126" s="84">
        <v>0</v>
      </c>
      <c r="E126" s="4">
        <v>0</v>
      </c>
      <c r="F126" s="84">
        <v>0</v>
      </c>
      <c r="G126" s="6"/>
      <c r="H126" s="4">
        <v>0</v>
      </c>
      <c r="I126" s="84">
        <v>0</v>
      </c>
      <c r="J126" s="4">
        <v>12</v>
      </c>
      <c r="K126" s="84">
        <v>1296.6099999999999</v>
      </c>
      <c r="L126" s="4">
        <f t="shared" si="6"/>
        <v>-12</v>
      </c>
      <c r="M126" s="85">
        <f t="shared" si="7"/>
        <v>-1296.6099999999999</v>
      </c>
      <c r="N126" s="7">
        <f t="shared" si="8"/>
        <v>-1</v>
      </c>
    </row>
    <row r="127" spans="1:14" x14ac:dyDescent="0.25">
      <c r="A127" s="4" t="s">
        <v>502</v>
      </c>
      <c r="B127" s="5" t="s">
        <v>501</v>
      </c>
      <c r="C127" s="4">
        <v>6</v>
      </c>
      <c r="D127" s="84">
        <v>438.25</v>
      </c>
      <c r="E127" s="4">
        <v>0</v>
      </c>
      <c r="F127" s="84">
        <v>0</v>
      </c>
      <c r="G127" s="6">
        <f>F127/I127</f>
        <v>0</v>
      </c>
      <c r="H127" s="4">
        <v>6</v>
      </c>
      <c r="I127" s="84">
        <v>438.25</v>
      </c>
      <c r="J127" s="4">
        <v>14</v>
      </c>
      <c r="K127" s="84">
        <v>1242.3899999999999</v>
      </c>
      <c r="L127" s="4">
        <f t="shared" si="6"/>
        <v>-8</v>
      </c>
      <c r="M127" s="85">
        <f t="shared" si="7"/>
        <v>-804.13999999999987</v>
      </c>
      <c r="N127" s="7">
        <f t="shared" si="8"/>
        <v>-0.64725247305596467</v>
      </c>
    </row>
    <row r="128" spans="1:14" x14ac:dyDescent="0.25">
      <c r="A128" s="4" t="s">
        <v>299</v>
      </c>
      <c r="B128" s="5" t="s">
        <v>298</v>
      </c>
      <c r="C128" s="4">
        <v>7</v>
      </c>
      <c r="D128" s="84">
        <v>101.55000000000001</v>
      </c>
      <c r="E128" s="4">
        <v>0</v>
      </c>
      <c r="F128" s="84">
        <v>0</v>
      </c>
      <c r="G128" s="6">
        <f>F128/I128</f>
        <v>0</v>
      </c>
      <c r="H128" s="4">
        <v>7</v>
      </c>
      <c r="I128" s="84">
        <v>101.55000000000001</v>
      </c>
      <c r="J128" s="4">
        <v>124</v>
      </c>
      <c r="K128" s="84">
        <v>1241.83</v>
      </c>
      <c r="L128" s="4">
        <f t="shared" si="6"/>
        <v>-117</v>
      </c>
      <c r="M128" s="85">
        <f t="shared" si="7"/>
        <v>-1140.28</v>
      </c>
      <c r="N128" s="7">
        <f t="shared" si="8"/>
        <v>-0.91822552201186958</v>
      </c>
    </row>
    <row r="129" spans="1:14" x14ac:dyDescent="0.25">
      <c r="A129" s="4" t="s">
        <v>367</v>
      </c>
      <c r="B129" s="5" t="s">
        <v>366</v>
      </c>
      <c r="C129" s="4">
        <v>58</v>
      </c>
      <c r="D129" s="84">
        <v>1490.34</v>
      </c>
      <c r="E129" s="4">
        <v>0</v>
      </c>
      <c r="F129" s="84">
        <v>0</v>
      </c>
      <c r="G129" s="6">
        <f>F129/I129</f>
        <v>0</v>
      </c>
      <c r="H129" s="4">
        <v>58</v>
      </c>
      <c r="I129" s="84">
        <v>1490.34</v>
      </c>
      <c r="J129" s="4">
        <v>51</v>
      </c>
      <c r="K129" s="84">
        <v>1230.95</v>
      </c>
      <c r="L129" s="4">
        <f t="shared" si="6"/>
        <v>7</v>
      </c>
      <c r="M129" s="85">
        <f t="shared" si="7"/>
        <v>259.38999999999987</v>
      </c>
      <c r="N129" s="7">
        <f t="shared" si="8"/>
        <v>0.21072342499695346</v>
      </c>
    </row>
    <row r="130" spans="1:14" x14ac:dyDescent="0.25">
      <c r="A130" s="4" t="s">
        <v>626</v>
      </c>
      <c r="B130" s="5" t="s">
        <v>627</v>
      </c>
      <c r="C130" s="4">
        <v>0</v>
      </c>
      <c r="D130" s="84">
        <v>0</v>
      </c>
      <c r="E130" s="4">
        <v>0</v>
      </c>
      <c r="F130" s="84">
        <v>0</v>
      </c>
      <c r="G130" s="6"/>
      <c r="H130" s="4">
        <v>0</v>
      </c>
      <c r="I130" s="84">
        <v>0</v>
      </c>
      <c r="J130" s="4">
        <v>135</v>
      </c>
      <c r="K130" s="84">
        <v>1154.3499999999999</v>
      </c>
      <c r="L130" s="4">
        <f t="shared" ref="L130:L193" si="12">H130-J130</f>
        <v>-135</v>
      </c>
      <c r="M130" s="85">
        <f t="shared" ref="M130:M193" si="13">I130-K130</f>
        <v>-1154.3499999999999</v>
      </c>
      <c r="N130" s="7">
        <f t="shared" si="8"/>
        <v>-1</v>
      </c>
    </row>
    <row r="131" spans="1:14" x14ac:dyDescent="0.25">
      <c r="A131" s="4" t="s">
        <v>215</v>
      </c>
      <c r="B131" s="5" t="s">
        <v>214</v>
      </c>
      <c r="C131" s="4">
        <v>128</v>
      </c>
      <c r="D131" s="84">
        <v>2130.63</v>
      </c>
      <c r="E131" s="4">
        <v>0</v>
      </c>
      <c r="F131" s="84">
        <v>0</v>
      </c>
      <c r="G131" s="6">
        <f>F131/I131</f>
        <v>0</v>
      </c>
      <c r="H131" s="4">
        <v>128</v>
      </c>
      <c r="I131" s="84">
        <v>2130.63</v>
      </c>
      <c r="J131" s="4">
        <v>62</v>
      </c>
      <c r="K131" s="84">
        <v>1140.7400000000002</v>
      </c>
      <c r="L131" s="4">
        <f t="shared" si="12"/>
        <v>66</v>
      </c>
      <c r="M131" s="85">
        <f t="shared" si="13"/>
        <v>989.88999999999987</v>
      </c>
      <c r="N131" s="7">
        <f t="shared" ref="N131:N194" si="14">M131/ABS(K131)</f>
        <v>0.86776127776706324</v>
      </c>
    </row>
    <row r="132" spans="1:14" x14ac:dyDescent="0.25">
      <c r="A132" s="4" t="s">
        <v>636</v>
      </c>
      <c r="B132" s="5" t="s">
        <v>637</v>
      </c>
      <c r="C132" s="4">
        <v>0</v>
      </c>
      <c r="D132" s="84">
        <v>0</v>
      </c>
      <c r="E132" s="4">
        <v>0</v>
      </c>
      <c r="F132" s="84">
        <v>0</v>
      </c>
      <c r="G132" s="6"/>
      <c r="H132" s="4">
        <v>0</v>
      </c>
      <c r="I132" s="84">
        <v>0</v>
      </c>
      <c r="J132" s="4">
        <v>11</v>
      </c>
      <c r="K132" s="84">
        <v>1134.52</v>
      </c>
      <c r="L132" s="4">
        <f t="shared" si="12"/>
        <v>-11</v>
      </c>
      <c r="M132" s="85">
        <f t="shared" si="13"/>
        <v>-1134.52</v>
      </c>
      <c r="N132" s="7">
        <f t="shared" si="14"/>
        <v>-1</v>
      </c>
    </row>
    <row r="133" spans="1:14" x14ac:dyDescent="0.25">
      <c r="A133" s="4" t="s">
        <v>550</v>
      </c>
      <c r="B133" s="5" t="s">
        <v>549</v>
      </c>
      <c r="C133" s="4">
        <v>157</v>
      </c>
      <c r="D133" s="84">
        <v>1005.6200000000001</v>
      </c>
      <c r="E133" s="4">
        <v>0</v>
      </c>
      <c r="F133" s="84">
        <v>0</v>
      </c>
      <c r="G133" s="6">
        <f>F133/I133</f>
        <v>0</v>
      </c>
      <c r="H133" s="4">
        <v>157</v>
      </c>
      <c r="I133" s="84">
        <v>1005.6200000000001</v>
      </c>
      <c r="J133" s="4">
        <v>270</v>
      </c>
      <c r="K133" s="84">
        <v>1119.56</v>
      </c>
      <c r="L133" s="4">
        <f t="shared" si="12"/>
        <v>-113</v>
      </c>
      <c r="M133" s="85">
        <f t="shared" si="13"/>
        <v>-113.93999999999983</v>
      </c>
      <c r="N133" s="7">
        <f t="shared" si="14"/>
        <v>-0.10177212476329972</v>
      </c>
    </row>
    <row r="134" spans="1:14" x14ac:dyDescent="0.25">
      <c r="A134" s="4" t="s">
        <v>77</v>
      </c>
      <c r="B134" s="5" t="s">
        <v>76</v>
      </c>
      <c r="C134" s="4">
        <v>461</v>
      </c>
      <c r="D134" s="84">
        <v>5607.1200000000008</v>
      </c>
      <c r="E134" s="4">
        <v>0</v>
      </c>
      <c r="F134" s="84">
        <v>0</v>
      </c>
      <c r="G134" s="6">
        <f>F134/I134</f>
        <v>0</v>
      </c>
      <c r="H134" s="4">
        <v>461</v>
      </c>
      <c r="I134" s="84">
        <v>5607.1200000000008</v>
      </c>
      <c r="J134" s="4">
        <v>119</v>
      </c>
      <c r="K134" s="84">
        <v>1103.5500000000002</v>
      </c>
      <c r="L134" s="4">
        <f t="shared" si="12"/>
        <v>342</v>
      </c>
      <c r="M134" s="85">
        <f t="shared" si="13"/>
        <v>4503.5700000000006</v>
      </c>
      <c r="N134" s="7">
        <f t="shared" si="14"/>
        <v>4.080984096778578</v>
      </c>
    </row>
    <row r="135" spans="1:14" x14ac:dyDescent="0.25">
      <c r="A135" s="4" t="s">
        <v>548</v>
      </c>
      <c r="B135" s="5" t="s">
        <v>547</v>
      </c>
      <c r="C135" s="4">
        <v>43</v>
      </c>
      <c r="D135" s="84">
        <v>851.06999999999994</v>
      </c>
      <c r="E135" s="4">
        <v>0</v>
      </c>
      <c r="F135" s="84">
        <v>0</v>
      </c>
      <c r="G135" s="6">
        <f>F135/I135</f>
        <v>0</v>
      </c>
      <c r="H135" s="4">
        <v>43</v>
      </c>
      <c r="I135" s="84">
        <v>851.06999999999994</v>
      </c>
      <c r="J135" s="4">
        <v>55</v>
      </c>
      <c r="K135" s="84">
        <v>1090.27</v>
      </c>
      <c r="L135" s="4">
        <f t="shared" si="12"/>
        <v>-12</v>
      </c>
      <c r="M135" s="85">
        <f t="shared" si="13"/>
        <v>-239.20000000000005</v>
      </c>
      <c r="N135" s="7">
        <f t="shared" si="14"/>
        <v>-0.21939519568547244</v>
      </c>
    </row>
    <row r="136" spans="1:14" x14ac:dyDescent="0.25">
      <c r="A136" s="4" t="s">
        <v>692</v>
      </c>
      <c r="B136" s="5" t="s">
        <v>693</v>
      </c>
      <c r="C136" s="4">
        <v>0</v>
      </c>
      <c r="D136" s="84">
        <v>0</v>
      </c>
      <c r="E136" s="4">
        <v>0</v>
      </c>
      <c r="F136" s="84">
        <v>0</v>
      </c>
      <c r="G136" s="6"/>
      <c r="H136" s="4">
        <v>0</v>
      </c>
      <c r="I136" s="84">
        <v>0</v>
      </c>
      <c r="J136" s="4">
        <v>64</v>
      </c>
      <c r="K136" s="84">
        <v>1070.58</v>
      </c>
      <c r="L136" s="4">
        <f t="shared" si="12"/>
        <v>-64</v>
      </c>
      <c r="M136" s="85">
        <f t="shared" si="13"/>
        <v>-1070.58</v>
      </c>
      <c r="N136" s="7">
        <f t="shared" si="14"/>
        <v>-1</v>
      </c>
    </row>
    <row r="137" spans="1:14" x14ac:dyDescent="0.25">
      <c r="A137" s="4" t="s">
        <v>399</v>
      </c>
      <c r="B137" s="5" t="s">
        <v>398</v>
      </c>
      <c r="C137" s="4">
        <v>9</v>
      </c>
      <c r="D137" s="84">
        <v>382.21000000000004</v>
      </c>
      <c r="E137" s="4">
        <v>0</v>
      </c>
      <c r="F137" s="84">
        <v>0</v>
      </c>
      <c r="G137" s="6">
        <f t="shared" ref="G137:G142" si="15">F137/I137</f>
        <v>0</v>
      </c>
      <c r="H137" s="4">
        <v>9</v>
      </c>
      <c r="I137" s="84">
        <v>382.21000000000004</v>
      </c>
      <c r="J137" s="4">
        <v>28</v>
      </c>
      <c r="K137" s="84">
        <v>1065.25</v>
      </c>
      <c r="L137" s="4">
        <f t="shared" si="12"/>
        <v>-19</v>
      </c>
      <c r="M137" s="85">
        <f t="shared" si="13"/>
        <v>-683.04</v>
      </c>
      <c r="N137" s="7">
        <f t="shared" si="14"/>
        <v>-0.6412015958695142</v>
      </c>
    </row>
    <row r="138" spans="1:14" x14ac:dyDescent="0.25">
      <c r="A138" s="4" t="s">
        <v>87</v>
      </c>
      <c r="B138" s="5" t="s">
        <v>86</v>
      </c>
      <c r="C138" s="4">
        <v>111</v>
      </c>
      <c r="D138" s="84">
        <v>1317.43</v>
      </c>
      <c r="E138" s="4">
        <v>1</v>
      </c>
      <c r="F138" s="84">
        <v>19.899999999999999</v>
      </c>
      <c r="G138" s="6">
        <f t="shared" si="15"/>
        <v>1.4880396012951179E-2</v>
      </c>
      <c r="H138" s="4">
        <v>112</v>
      </c>
      <c r="I138" s="84">
        <v>1337.33</v>
      </c>
      <c r="J138" s="4">
        <v>105</v>
      </c>
      <c r="K138" s="84">
        <v>987.62999999999988</v>
      </c>
      <c r="L138" s="4">
        <f t="shared" si="12"/>
        <v>7</v>
      </c>
      <c r="M138" s="85">
        <f t="shared" si="13"/>
        <v>349.70000000000005</v>
      </c>
      <c r="N138" s="7">
        <f t="shared" si="14"/>
        <v>0.35407996921924212</v>
      </c>
    </row>
    <row r="139" spans="1:14" x14ac:dyDescent="0.25">
      <c r="A139" s="4" t="s">
        <v>221</v>
      </c>
      <c r="B139" s="5" t="s">
        <v>220</v>
      </c>
      <c r="C139" s="4">
        <v>9</v>
      </c>
      <c r="D139" s="84">
        <v>115.20000000000002</v>
      </c>
      <c r="E139" s="4">
        <v>0</v>
      </c>
      <c r="F139" s="84">
        <v>0</v>
      </c>
      <c r="G139" s="6">
        <f t="shared" si="15"/>
        <v>0</v>
      </c>
      <c r="H139" s="4">
        <v>9</v>
      </c>
      <c r="I139" s="84">
        <v>115.20000000000002</v>
      </c>
      <c r="J139" s="4">
        <v>70</v>
      </c>
      <c r="K139" s="84">
        <v>896.68000000000006</v>
      </c>
      <c r="L139" s="4">
        <f t="shared" si="12"/>
        <v>-61</v>
      </c>
      <c r="M139" s="85">
        <f t="shared" si="13"/>
        <v>-781.48</v>
      </c>
      <c r="N139" s="7">
        <f t="shared" si="14"/>
        <v>-0.87152607396172543</v>
      </c>
    </row>
    <row r="140" spans="1:14" x14ac:dyDescent="0.25">
      <c r="A140" s="4" t="s">
        <v>241</v>
      </c>
      <c r="B140" s="5" t="s">
        <v>240</v>
      </c>
      <c r="C140" s="4">
        <v>14</v>
      </c>
      <c r="D140" s="84">
        <v>293.22000000000003</v>
      </c>
      <c r="E140" s="4">
        <v>0</v>
      </c>
      <c r="F140" s="84">
        <v>0</v>
      </c>
      <c r="G140" s="6">
        <f t="shared" si="15"/>
        <v>0</v>
      </c>
      <c r="H140" s="4">
        <v>14</v>
      </c>
      <c r="I140" s="84">
        <v>293.22000000000003</v>
      </c>
      <c r="J140" s="4">
        <v>30</v>
      </c>
      <c r="K140" s="84">
        <v>850.9699999999998</v>
      </c>
      <c r="L140" s="4">
        <f t="shared" si="12"/>
        <v>-16</v>
      </c>
      <c r="M140" s="85">
        <f t="shared" si="13"/>
        <v>-557.74999999999977</v>
      </c>
      <c r="N140" s="7">
        <f t="shared" si="14"/>
        <v>-0.65542851099333688</v>
      </c>
    </row>
    <row r="141" spans="1:14" x14ac:dyDescent="0.25">
      <c r="A141" s="4" t="s">
        <v>540</v>
      </c>
      <c r="B141" s="5" t="s">
        <v>539</v>
      </c>
      <c r="C141" s="4">
        <v>14</v>
      </c>
      <c r="D141" s="84">
        <v>468.28</v>
      </c>
      <c r="E141" s="4">
        <v>25</v>
      </c>
      <c r="F141" s="84">
        <v>950.49999999999966</v>
      </c>
      <c r="G141" s="6">
        <f t="shared" si="15"/>
        <v>0.66994178096674595</v>
      </c>
      <c r="H141" s="4">
        <v>39</v>
      </c>
      <c r="I141" s="84">
        <v>1418.7799999999997</v>
      </c>
      <c r="J141" s="4">
        <v>24</v>
      </c>
      <c r="K141" s="84">
        <v>837.9</v>
      </c>
      <c r="L141" s="4">
        <f t="shared" si="12"/>
        <v>15</v>
      </c>
      <c r="M141" s="85">
        <f t="shared" si="13"/>
        <v>580.87999999999977</v>
      </c>
      <c r="N141" s="7">
        <f t="shared" si="14"/>
        <v>0.69325695190356817</v>
      </c>
    </row>
    <row r="142" spans="1:14" x14ac:dyDescent="0.25">
      <c r="A142" s="4" t="s">
        <v>534</v>
      </c>
      <c r="B142" s="5" t="s">
        <v>533</v>
      </c>
      <c r="C142" s="4">
        <v>7</v>
      </c>
      <c r="D142" s="84">
        <v>343.51</v>
      </c>
      <c r="E142" s="4">
        <v>0</v>
      </c>
      <c r="F142" s="84">
        <v>0</v>
      </c>
      <c r="G142" s="6">
        <f t="shared" si="15"/>
        <v>0</v>
      </c>
      <c r="H142" s="4">
        <v>7</v>
      </c>
      <c r="I142" s="84">
        <v>343.51</v>
      </c>
      <c r="J142" s="4">
        <v>16</v>
      </c>
      <c r="K142" s="84">
        <v>824.04</v>
      </c>
      <c r="L142" s="4">
        <f t="shared" si="12"/>
        <v>-9</v>
      </c>
      <c r="M142" s="85">
        <f t="shared" si="13"/>
        <v>-480.53</v>
      </c>
      <c r="N142" s="7">
        <f t="shared" si="14"/>
        <v>-0.5831391680015533</v>
      </c>
    </row>
    <row r="143" spans="1:14" x14ac:dyDescent="0.25">
      <c r="A143" s="4" t="s">
        <v>704</v>
      </c>
      <c r="B143" s="5" t="s">
        <v>705</v>
      </c>
      <c r="C143" s="4">
        <v>0</v>
      </c>
      <c r="D143" s="84">
        <v>0</v>
      </c>
      <c r="E143" s="4">
        <v>0</v>
      </c>
      <c r="F143" s="84">
        <v>0</v>
      </c>
      <c r="G143" s="6"/>
      <c r="H143" s="4">
        <v>0</v>
      </c>
      <c r="I143" s="84">
        <v>0</v>
      </c>
      <c r="J143" s="4">
        <v>37</v>
      </c>
      <c r="K143" s="84">
        <v>792.21</v>
      </c>
      <c r="L143" s="4">
        <f t="shared" si="12"/>
        <v>-37</v>
      </c>
      <c r="M143" s="85">
        <f t="shared" si="13"/>
        <v>-792.21</v>
      </c>
      <c r="N143" s="7">
        <f t="shared" si="14"/>
        <v>-1</v>
      </c>
    </row>
    <row r="144" spans="1:14" x14ac:dyDescent="0.25">
      <c r="A144" s="4" t="s">
        <v>389</v>
      </c>
      <c r="B144" s="5" t="s">
        <v>388</v>
      </c>
      <c r="C144" s="4">
        <v>31</v>
      </c>
      <c r="D144" s="84">
        <v>251.39</v>
      </c>
      <c r="E144" s="4">
        <v>0</v>
      </c>
      <c r="F144" s="84">
        <v>0</v>
      </c>
      <c r="G144" s="6">
        <f t="shared" ref="G144:G151" si="16">F144/I144</f>
        <v>0</v>
      </c>
      <c r="H144" s="4">
        <v>31</v>
      </c>
      <c r="I144" s="84">
        <v>251.39</v>
      </c>
      <c r="J144" s="4">
        <v>97</v>
      </c>
      <c r="K144" s="84">
        <v>788.58999999999992</v>
      </c>
      <c r="L144" s="4">
        <f t="shared" si="12"/>
        <v>-66</v>
      </c>
      <c r="M144" s="85">
        <f t="shared" si="13"/>
        <v>-537.19999999999993</v>
      </c>
      <c r="N144" s="7">
        <f t="shared" si="14"/>
        <v>-0.6812158409312824</v>
      </c>
    </row>
    <row r="145" spans="1:14" x14ac:dyDescent="0.25">
      <c r="A145" s="4" t="s">
        <v>203</v>
      </c>
      <c r="B145" s="5" t="s">
        <v>202</v>
      </c>
      <c r="C145" s="4">
        <v>6</v>
      </c>
      <c r="D145" s="84">
        <v>164.83999999999997</v>
      </c>
      <c r="E145" s="4">
        <v>0</v>
      </c>
      <c r="F145" s="84">
        <v>0</v>
      </c>
      <c r="G145" s="6">
        <f t="shared" si="16"/>
        <v>0</v>
      </c>
      <c r="H145" s="4">
        <v>6</v>
      </c>
      <c r="I145" s="84">
        <v>164.83999999999997</v>
      </c>
      <c r="J145" s="4">
        <v>27</v>
      </c>
      <c r="K145" s="84">
        <v>781.95</v>
      </c>
      <c r="L145" s="4">
        <f t="shared" si="12"/>
        <v>-21</v>
      </c>
      <c r="M145" s="85">
        <f t="shared" si="13"/>
        <v>-617.11000000000013</v>
      </c>
      <c r="N145" s="7">
        <f t="shared" si="14"/>
        <v>-0.78919368246051547</v>
      </c>
    </row>
    <row r="146" spans="1:14" x14ac:dyDescent="0.25">
      <c r="A146" s="4" t="s">
        <v>283</v>
      </c>
      <c r="B146" s="5" t="s">
        <v>282</v>
      </c>
      <c r="C146" s="4">
        <v>2</v>
      </c>
      <c r="D146" s="84">
        <v>16.38</v>
      </c>
      <c r="E146" s="4">
        <v>0</v>
      </c>
      <c r="F146" s="84">
        <v>0</v>
      </c>
      <c r="G146" s="6">
        <f t="shared" si="16"/>
        <v>0</v>
      </c>
      <c r="H146" s="4">
        <v>2</v>
      </c>
      <c r="I146" s="84">
        <v>16.38</v>
      </c>
      <c r="J146" s="4">
        <v>98</v>
      </c>
      <c r="K146" s="84">
        <v>758.81999999999994</v>
      </c>
      <c r="L146" s="4">
        <f t="shared" si="12"/>
        <v>-96</v>
      </c>
      <c r="M146" s="85">
        <f t="shared" si="13"/>
        <v>-742.43999999999994</v>
      </c>
      <c r="N146" s="7">
        <f t="shared" si="14"/>
        <v>-0.9784138530876888</v>
      </c>
    </row>
    <row r="147" spans="1:14" x14ac:dyDescent="0.25">
      <c r="A147" s="4" t="s">
        <v>191</v>
      </c>
      <c r="B147" s="5" t="s">
        <v>190</v>
      </c>
      <c r="C147" s="4">
        <v>15</v>
      </c>
      <c r="D147" s="84">
        <v>332.79000000000008</v>
      </c>
      <c r="E147" s="4">
        <v>0</v>
      </c>
      <c r="F147" s="84">
        <v>0</v>
      </c>
      <c r="G147" s="6">
        <f t="shared" si="16"/>
        <v>0</v>
      </c>
      <c r="H147" s="4">
        <v>15</v>
      </c>
      <c r="I147" s="84">
        <v>332.79000000000008</v>
      </c>
      <c r="J147" s="4">
        <v>50</v>
      </c>
      <c r="K147" s="84">
        <v>749.5</v>
      </c>
      <c r="L147" s="4">
        <f t="shared" si="12"/>
        <v>-35</v>
      </c>
      <c r="M147" s="85">
        <f t="shared" si="13"/>
        <v>-416.70999999999992</v>
      </c>
      <c r="N147" s="7">
        <f t="shared" si="14"/>
        <v>-0.5559839893262174</v>
      </c>
    </row>
    <row r="148" spans="1:14" x14ac:dyDescent="0.25">
      <c r="A148" s="4" t="s">
        <v>67</v>
      </c>
      <c r="B148" s="5" t="s">
        <v>66</v>
      </c>
      <c r="C148" s="4">
        <v>24</v>
      </c>
      <c r="D148" s="84">
        <v>832.16</v>
      </c>
      <c r="E148" s="4">
        <v>0</v>
      </c>
      <c r="F148" s="84">
        <v>0</v>
      </c>
      <c r="G148" s="6">
        <f t="shared" si="16"/>
        <v>0</v>
      </c>
      <c r="H148" s="4">
        <v>24</v>
      </c>
      <c r="I148" s="84">
        <v>832.16</v>
      </c>
      <c r="J148" s="4">
        <v>24</v>
      </c>
      <c r="K148" s="84">
        <v>717.56999999999994</v>
      </c>
      <c r="L148" s="4">
        <f t="shared" si="12"/>
        <v>0</v>
      </c>
      <c r="M148" s="85">
        <f t="shared" si="13"/>
        <v>114.59000000000003</v>
      </c>
      <c r="N148" s="7">
        <f t="shared" si="14"/>
        <v>0.15969173739147405</v>
      </c>
    </row>
    <row r="149" spans="1:14" x14ac:dyDescent="0.25">
      <c r="A149" s="4" t="s">
        <v>269</v>
      </c>
      <c r="B149" s="5" t="s">
        <v>268</v>
      </c>
      <c r="C149" s="4">
        <v>6</v>
      </c>
      <c r="D149" s="84">
        <v>223.68</v>
      </c>
      <c r="E149" s="4">
        <v>0</v>
      </c>
      <c r="F149" s="84">
        <v>0</v>
      </c>
      <c r="G149" s="6">
        <f t="shared" si="16"/>
        <v>0</v>
      </c>
      <c r="H149" s="4">
        <v>6</v>
      </c>
      <c r="I149" s="84">
        <v>223.68</v>
      </c>
      <c r="J149" s="4">
        <v>18</v>
      </c>
      <c r="K149" s="84">
        <v>712.45</v>
      </c>
      <c r="L149" s="4">
        <f t="shared" si="12"/>
        <v>-12</v>
      </c>
      <c r="M149" s="85">
        <f t="shared" si="13"/>
        <v>-488.77000000000004</v>
      </c>
      <c r="N149" s="7">
        <f t="shared" si="14"/>
        <v>-0.68604112569303111</v>
      </c>
    </row>
    <row r="150" spans="1:14" x14ac:dyDescent="0.25">
      <c r="A150" s="4" t="s">
        <v>247</v>
      </c>
      <c r="B150" s="5" t="s">
        <v>246</v>
      </c>
      <c r="C150" s="4">
        <v>46</v>
      </c>
      <c r="D150" s="84">
        <v>1024.94</v>
      </c>
      <c r="E150" s="4">
        <v>0</v>
      </c>
      <c r="F150" s="84">
        <v>0</v>
      </c>
      <c r="G150" s="6">
        <f t="shared" si="16"/>
        <v>0</v>
      </c>
      <c r="H150" s="4">
        <v>46</v>
      </c>
      <c r="I150" s="84">
        <v>1024.94</v>
      </c>
      <c r="J150" s="4">
        <v>30</v>
      </c>
      <c r="K150" s="84">
        <v>707.72</v>
      </c>
      <c r="L150" s="4">
        <f t="shared" si="12"/>
        <v>16</v>
      </c>
      <c r="M150" s="85">
        <f t="shared" si="13"/>
        <v>317.22000000000003</v>
      </c>
      <c r="N150" s="7">
        <f t="shared" si="14"/>
        <v>0.44822811281297692</v>
      </c>
    </row>
    <row r="151" spans="1:14" x14ac:dyDescent="0.25">
      <c r="A151" s="4" t="s">
        <v>39</v>
      </c>
      <c r="B151" s="5" t="s">
        <v>38</v>
      </c>
      <c r="C151" s="4">
        <v>3</v>
      </c>
      <c r="D151" s="84">
        <v>67.2</v>
      </c>
      <c r="E151" s="4">
        <v>12</v>
      </c>
      <c r="F151" s="84">
        <v>562.79999999999995</v>
      </c>
      <c r="G151" s="6">
        <f t="shared" si="16"/>
        <v>0.89333333333333331</v>
      </c>
      <c r="H151" s="4">
        <v>15</v>
      </c>
      <c r="I151" s="84">
        <v>630</v>
      </c>
      <c r="J151" s="4">
        <v>18</v>
      </c>
      <c r="K151" s="84">
        <v>706.79</v>
      </c>
      <c r="L151" s="4">
        <f t="shared" si="12"/>
        <v>-3</v>
      </c>
      <c r="M151" s="85">
        <f t="shared" si="13"/>
        <v>-76.789999999999964</v>
      </c>
      <c r="N151" s="7">
        <f t="shared" si="14"/>
        <v>-0.10864613251460825</v>
      </c>
    </row>
    <row r="152" spans="1:14" x14ac:dyDescent="0.25">
      <c r="A152" s="4" t="s">
        <v>618</v>
      </c>
      <c r="B152" s="5" t="s">
        <v>619</v>
      </c>
      <c r="C152" s="4">
        <v>0</v>
      </c>
      <c r="D152" s="84">
        <v>0</v>
      </c>
      <c r="E152" s="4">
        <v>0</v>
      </c>
      <c r="F152" s="84">
        <v>0</v>
      </c>
      <c r="G152" s="6"/>
      <c r="H152" s="4">
        <v>0</v>
      </c>
      <c r="I152" s="84">
        <v>0</v>
      </c>
      <c r="J152" s="4">
        <v>22</v>
      </c>
      <c r="K152" s="84">
        <v>657.08</v>
      </c>
      <c r="L152" s="4">
        <f t="shared" si="12"/>
        <v>-22</v>
      </c>
      <c r="M152" s="85">
        <f t="shared" si="13"/>
        <v>-657.08</v>
      </c>
      <c r="N152" s="7">
        <f t="shared" si="14"/>
        <v>-1</v>
      </c>
    </row>
    <row r="153" spans="1:14" x14ac:dyDescent="0.25">
      <c r="A153" s="4" t="s">
        <v>415</v>
      </c>
      <c r="B153" s="5" t="s">
        <v>414</v>
      </c>
      <c r="C153" s="4">
        <v>1130</v>
      </c>
      <c r="D153" s="84">
        <v>13633.440000000002</v>
      </c>
      <c r="E153" s="4">
        <v>0</v>
      </c>
      <c r="F153" s="84">
        <v>0</v>
      </c>
      <c r="G153" s="6">
        <f>F153/I153</f>
        <v>0</v>
      </c>
      <c r="H153" s="4">
        <v>1130</v>
      </c>
      <c r="I153" s="84">
        <v>13633.440000000002</v>
      </c>
      <c r="J153" s="4">
        <v>59</v>
      </c>
      <c r="K153" s="84">
        <v>635.99</v>
      </c>
      <c r="L153" s="4">
        <f t="shared" si="12"/>
        <v>1071</v>
      </c>
      <c r="M153" s="85">
        <f t="shared" si="13"/>
        <v>12997.450000000003</v>
      </c>
      <c r="N153" s="7">
        <f t="shared" si="14"/>
        <v>20.43656346797906</v>
      </c>
    </row>
    <row r="154" spans="1:14" x14ac:dyDescent="0.25">
      <c r="A154" s="4" t="s">
        <v>710</v>
      </c>
      <c r="B154" s="5" t="s">
        <v>711</v>
      </c>
      <c r="C154" s="4">
        <v>0</v>
      </c>
      <c r="D154" s="84">
        <v>0</v>
      </c>
      <c r="E154" s="4">
        <v>0</v>
      </c>
      <c r="F154" s="84">
        <v>0</v>
      </c>
      <c r="G154" s="6"/>
      <c r="H154" s="4">
        <v>0</v>
      </c>
      <c r="I154" s="84">
        <v>0</v>
      </c>
      <c r="J154" s="4">
        <v>50</v>
      </c>
      <c r="K154" s="84">
        <v>632.62</v>
      </c>
      <c r="L154" s="4">
        <f t="shared" si="12"/>
        <v>-50</v>
      </c>
      <c r="M154" s="85">
        <f t="shared" si="13"/>
        <v>-632.62</v>
      </c>
      <c r="N154" s="7">
        <f t="shared" si="14"/>
        <v>-1</v>
      </c>
    </row>
    <row r="155" spans="1:14" x14ac:dyDescent="0.25">
      <c r="A155" s="4" t="s">
        <v>524</v>
      </c>
      <c r="B155" s="5" t="s">
        <v>523</v>
      </c>
      <c r="C155" s="4">
        <v>76</v>
      </c>
      <c r="D155" s="84">
        <v>22.69</v>
      </c>
      <c r="E155" s="4">
        <v>0</v>
      </c>
      <c r="F155" s="84">
        <v>0</v>
      </c>
      <c r="G155" s="6">
        <f>F155/I155</f>
        <v>0</v>
      </c>
      <c r="H155" s="4">
        <v>76</v>
      </c>
      <c r="I155" s="84">
        <v>22.69</v>
      </c>
      <c r="J155" s="4">
        <v>162</v>
      </c>
      <c r="K155" s="84">
        <v>629.63</v>
      </c>
      <c r="L155" s="4">
        <f t="shared" si="12"/>
        <v>-86</v>
      </c>
      <c r="M155" s="85">
        <f t="shared" si="13"/>
        <v>-606.93999999999994</v>
      </c>
      <c r="N155" s="7">
        <f t="shared" si="14"/>
        <v>-0.96396296237472789</v>
      </c>
    </row>
    <row r="156" spans="1:14" x14ac:dyDescent="0.25">
      <c r="A156" s="4" t="s">
        <v>205</v>
      </c>
      <c r="B156" s="5" t="s">
        <v>204</v>
      </c>
      <c r="C156" s="4">
        <v>41</v>
      </c>
      <c r="D156" s="84">
        <v>334.33</v>
      </c>
      <c r="E156" s="4">
        <v>0</v>
      </c>
      <c r="F156" s="84">
        <v>0</v>
      </c>
      <c r="G156" s="6">
        <f>F156/I156</f>
        <v>0</v>
      </c>
      <c r="H156" s="4">
        <v>41</v>
      </c>
      <c r="I156" s="84">
        <v>334.33</v>
      </c>
      <c r="J156" s="4">
        <v>45</v>
      </c>
      <c r="K156" s="84">
        <v>606.72</v>
      </c>
      <c r="L156" s="4">
        <f t="shared" si="12"/>
        <v>-4</v>
      </c>
      <c r="M156" s="85">
        <f t="shared" si="13"/>
        <v>-272.39000000000004</v>
      </c>
      <c r="N156" s="7">
        <f t="shared" si="14"/>
        <v>-0.4489550369198313</v>
      </c>
    </row>
    <row r="157" spans="1:14" x14ac:dyDescent="0.25">
      <c r="A157" s="4" t="s">
        <v>319</v>
      </c>
      <c r="B157" s="5" t="s">
        <v>318</v>
      </c>
      <c r="C157" s="4">
        <v>778</v>
      </c>
      <c r="D157" s="84">
        <v>10986.42</v>
      </c>
      <c r="E157" s="4">
        <v>0</v>
      </c>
      <c r="F157" s="84">
        <v>0</v>
      </c>
      <c r="G157" s="6">
        <f>F157/I157</f>
        <v>0</v>
      </c>
      <c r="H157" s="4">
        <v>778</v>
      </c>
      <c r="I157" s="84">
        <v>10986.42</v>
      </c>
      <c r="J157" s="4">
        <v>40</v>
      </c>
      <c r="K157" s="84">
        <v>597.93999999999994</v>
      </c>
      <c r="L157" s="4">
        <f t="shared" si="12"/>
        <v>738</v>
      </c>
      <c r="M157" s="85">
        <f t="shared" si="13"/>
        <v>10388.48</v>
      </c>
      <c r="N157" s="7">
        <f t="shared" si="14"/>
        <v>17.373783322741414</v>
      </c>
    </row>
    <row r="158" spans="1:14" x14ac:dyDescent="0.25">
      <c r="A158" s="4" t="s">
        <v>570</v>
      </c>
      <c r="B158" s="5" t="s">
        <v>569</v>
      </c>
      <c r="C158" s="4">
        <v>12</v>
      </c>
      <c r="D158" s="84">
        <v>508.32</v>
      </c>
      <c r="E158" s="4">
        <v>0</v>
      </c>
      <c r="F158" s="84">
        <v>0</v>
      </c>
      <c r="G158" s="6">
        <f>F158/I158</f>
        <v>0</v>
      </c>
      <c r="H158" s="4">
        <v>12</v>
      </c>
      <c r="I158" s="84">
        <v>508.32</v>
      </c>
      <c r="J158" s="4">
        <v>13</v>
      </c>
      <c r="K158" s="84">
        <v>563.81999999999994</v>
      </c>
      <c r="L158" s="4">
        <f t="shared" si="12"/>
        <v>-1</v>
      </c>
      <c r="M158" s="85">
        <f t="shared" si="13"/>
        <v>-55.499999999999943</v>
      </c>
      <c r="N158" s="7">
        <f t="shared" si="14"/>
        <v>-9.8435670958816557E-2</v>
      </c>
    </row>
    <row r="159" spans="1:14" x14ac:dyDescent="0.25">
      <c r="A159" s="4" t="s">
        <v>624</v>
      </c>
      <c r="B159" s="5" t="s">
        <v>625</v>
      </c>
      <c r="C159" s="4">
        <v>0</v>
      </c>
      <c r="D159" s="84">
        <v>0</v>
      </c>
      <c r="E159" s="4">
        <v>0</v>
      </c>
      <c r="F159" s="84">
        <v>0</v>
      </c>
      <c r="G159" s="6"/>
      <c r="H159" s="4">
        <v>0</v>
      </c>
      <c r="I159" s="84">
        <v>0</v>
      </c>
      <c r="J159" s="4">
        <v>63</v>
      </c>
      <c r="K159" s="84">
        <v>553.98</v>
      </c>
      <c r="L159" s="4">
        <f t="shared" si="12"/>
        <v>-63</v>
      </c>
      <c r="M159" s="85">
        <f t="shared" si="13"/>
        <v>-553.98</v>
      </c>
      <c r="N159" s="7">
        <f t="shared" si="14"/>
        <v>-1</v>
      </c>
    </row>
    <row r="160" spans="1:14" x14ac:dyDescent="0.25">
      <c r="A160" s="4" t="s">
        <v>337</v>
      </c>
      <c r="B160" s="5" t="s">
        <v>336</v>
      </c>
      <c r="C160" s="4">
        <v>3</v>
      </c>
      <c r="D160" s="84">
        <v>171.26</v>
      </c>
      <c r="E160" s="4">
        <v>0</v>
      </c>
      <c r="F160" s="84">
        <v>0</v>
      </c>
      <c r="G160" s="6">
        <f>F160/I160</f>
        <v>0</v>
      </c>
      <c r="H160" s="4">
        <v>3</v>
      </c>
      <c r="I160" s="84">
        <v>171.26</v>
      </c>
      <c r="J160" s="4">
        <v>9</v>
      </c>
      <c r="K160" s="84">
        <v>515.70000000000005</v>
      </c>
      <c r="L160" s="4">
        <f t="shared" si="12"/>
        <v>-6</v>
      </c>
      <c r="M160" s="85">
        <f t="shared" si="13"/>
        <v>-344.44000000000005</v>
      </c>
      <c r="N160" s="7">
        <f t="shared" si="14"/>
        <v>-0.6679076982741905</v>
      </c>
    </row>
    <row r="161" spans="1:14" x14ac:dyDescent="0.25">
      <c r="A161" s="4" t="s">
        <v>475</v>
      </c>
      <c r="B161" s="5" t="s">
        <v>474</v>
      </c>
      <c r="C161" s="4">
        <v>11</v>
      </c>
      <c r="D161" s="84">
        <v>215.99</v>
      </c>
      <c r="E161" s="4">
        <v>0</v>
      </c>
      <c r="F161" s="84">
        <v>0</v>
      </c>
      <c r="G161" s="6">
        <f>F161/I161</f>
        <v>0</v>
      </c>
      <c r="H161" s="4">
        <v>11</v>
      </c>
      <c r="I161" s="84">
        <v>215.99</v>
      </c>
      <c r="J161" s="4">
        <v>35</v>
      </c>
      <c r="K161" s="84">
        <v>514.47</v>
      </c>
      <c r="L161" s="4">
        <f t="shared" si="12"/>
        <v>-24</v>
      </c>
      <c r="M161" s="85">
        <f t="shared" si="13"/>
        <v>-298.48</v>
      </c>
      <c r="N161" s="7">
        <f t="shared" si="14"/>
        <v>-0.58016988356949872</v>
      </c>
    </row>
    <row r="162" spans="1:14" x14ac:dyDescent="0.25">
      <c r="A162" s="4" t="s">
        <v>417</v>
      </c>
      <c r="B162" s="5" t="s">
        <v>416</v>
      </c>
      <c r="C162" s="4">
        <v>41</v>
      </c>
      <c r="D162" s="84">
        <v>1700.16</v>
      </c>
      <c r="E162" s="4">
        <v>0</v>
      </c>
      <c r="F162" s="84">
        <v>0</v>
      </c>
      <c r="G162" s="6">
        <f>F162/I162</f>
        <v>0</v>
      </c>
      <c r="H162" s="4">
        <v>41</v>
      </c>
      <c r="I162" s="84">
        <v>1700.16</v>
      </c>
      <c r="J162" s="4">
        <v>10</v>
      </c>
      <c r="K162" s="84">
        <v>491.03999999999996</v>
      </c>
      <c r="L162" s="4">
        <f t="shared" si="12"/>
        <v>31</v>
      </c>
      <c r="M162" s="85">
        <f t="shared" si="13"/>
        <v>1209.1200000000001</v>
      </c>
      <c r="N162" s="7">
        <f t="shared" si="14"/>
        <v>2.4623655913978499</v>
      </c>
    </row>
    <row r="163" spans="1:14" x14ac:dyDescent="0.25">
      <c r="A163" s="4" t="s">
        <v>610</v>
      </c>
      <c r="B163" s="5" t="s">
        <v>611</v>
      </c>
      <c r="C163" s="4">
        <v>0</v>
      </c>
      <c r="D163" s="84">
        <v>0</v>
      </c>
      <c r="E163" s="4">
        <v>0</v>
      </c>
      <c r="F163" s="84">
        <v>0</v>
      </c>
      <c r="G163" s="6"/>
      <c r="H163" s="4">
        <v>0</v>
      </c>
      <c r="I163" s="84">
        <v>0</v>
      </c>
      <c r="J163" s="4">
        <v>73</v>
      </c>
      <c r="K163" s="84">
        <v>487.6099999999999</v>
      </c>
      <c r="L163" s="4">
        <f t="shared" si="12"/>
        <v>-73</v>
      </c>
      <c r="M163" s="85">
        <f t="shared" si="13"/>
        <v>-487.6099999999999</v>
      </c>
      <c r="N163" s="7">
        <f t="shared" si="14"/>
        <v>-1</v>
      </c>
    </row>
    <row r="164" spans="1:14" x14ac:dyDescent="0.25">
      <c r="A164" s="4" t="s">
        <v>484</v>
      </c>
      <c r="B164" s="5" t="s">
        <v>483</v>
      </c>
      <c r="C164" s="4">
        <v>15</v>
      </c>
      <c r="D164" s="84">
        <v>313.71000000000004</v>
      </c>
      <c r="E164" s="4">
        <v>0</v>
      </c>
      <c r="F164" s="84">
        <v>0</v>
      </c>
      <c r="G164" s="6">
        <f>F164/I164</f>
        <v>0</v>
      </c>
      <c r="H164" s="4">
        <v>15</v>
      </c>
      <c r="I164" s="84">
        <v>313.71000000000004</v>
      </c>
      <c r="J164" s="4">
        <v>24</v>
      </c>
      <c r="K164" s="84">
        <v>478.38</v>
      </c>
      <c r="L164" s="4">
        <f t="shared" si="12"/>
        <v>-9</v>
      </c>
      <c r="M164" s="85">
        <f t="shared" si="13"/>
        <v>-164.66999999999996</v>
      </c>
      <c r="N164" s="7">
        <f t="shared" si="14"/>
        <v>-0.34422425686692582</v>
      </c>
    </row>
    <row r="165" spans="1:14" x14ac:dyDescent="0.25">
      <c r="A165" s="4" t="s">
        <v>195</v>
      </c>
      <c r="B165" s="5" t="s">
        <v>194</v>
      </c>
      <c r="C165" s="4">
        <v>38</v>
      </c>
      <c r="D165" s="84">
        <v>792.69999999999993</v>
      </c>
      <c r="E165" s="4">
        <v>0</v>
      </c>
      <c r="F165" s="84">
        <v>0</v>
      </c>
      <c r="G165" s="6">
        <f>F165/I165</f>
        <v>0</v>
      </c>
      <c r="H165" s="4">
        <v>38</v>
      </c>
      <c r="I165" s="84">
        <v>792.69999999999993</v>
      </c>
      <c r="J165" s="4">
        <v>21</v>
      </c>
      <c r="K165" s="84">
        <v>477.27</v>
      </c>
      <c r="L165" s="4">
        <f t="shared" si="12"/>
        <v>17</v>
      </c>
      <c r="M165" s="85">
        <f t="shared" si="13"/>
        <v>315.42999999999995</v>
      </c>
      <c r="N165" s="7">
        <f t="shared" si="14"/>
        <v>0.66090472897940367</v>
      </c>
    </row>
    <row r="166" spans="1:14" x14ac:dyDescent="0.25">
      <c r="A166" s="4" t="s">
        <v>249</v>
      </c>
      <c r="B166" s="5" t="s">
        <v>248</v>
      </c>
      <c r="C166" s="4">
        <v>0</v>
      </c>
      <c r="D166" s="84">
        <v>0</v>
      </c>
      <c r="E166" s="4">
        <v>0</v>
      </c>
      <c r="F166" s="84">
        <v>0</v>
      </c>
      <c r="G166" s="6"/>
      <c r="H166" s="4">
        <v>0</v>
      </c>
      <c r="I166" s="84">
        <v>0</v>
      </c>
      <c r="J166" s="4">
        <v>54</v>
      </c>
      <c r="K166" s="84">
        <v>471.26</v>
      </c>
      <c r="L166" s="4">
        <f t="shared" si="12"/>
        <v>-54</v>
      </c>
      <c r="M166" s="85">
        <f t="shared" si="13"/>
        <v>-471.26</v>
      </c>
      <c r="N166" s="7">
        <f t="shared" si="14"/>
        <v>-1</v>
      </c>
    </row>
    <row r="167" spans="1:14" x14ac:dyDescent="0.25">
      <c r="A167" s="4" t="s">
        <v>21</v>
      </c>
      <c r="B167" s="5" t="s">
        <v>20</v>
      </c>
      <c r="C167" s="4">
        <v>15</v>
      </c>
      <c r="D167" s="84">
        <v>369.33000000000004</v>
      </c>
      <c r="E167" s="4">
        <v>0</v>
      </c>
      <c r="F167" s="84">
        <v>0</v>
      </c>
      <c r="G167" s="6">
        <f t="shared" ref="G167:G174" si="17">F167/I167</f>
        <v>0</v>
      </c>
      <c r="H167" s="4">
        <v>15</v>
      </c>
      <c r="I167" s="84">
        <v>369.33000000000004</v>
      </c>
      <c r="J167" s="4">
        <v>26</v>
      </c>
      <c r="K167" s="84">
        <v>470.43999999999994</v>
      </c>
      <c r="L167" s="4">
        <f t="shared" si="12"/>
        <v>-11</v>
      </c>
      <c r="M167" s="85">
        <f t="shared" si="13"/>
        <v>-101.1099999999999</v>
      </c>
      <c r="N167" s="7">
        <f t="shared" si="14"/>
        <v>-0.214926451832327</v>
      </c>
    </row>
    <row r="168" spans="1:14" x14ac:dyDescent="0.25">
      <c r="A168" s="4" t="s">
        <v>496</v>
      </c>
      <c r="B168" s="5" t="s">
        <v>495</v>
      </c>
      <c r="C168" s="4">
        <v>23</v>
      </c>
      <c r="D168" s="84">
        <v>572.32000000000005</v>
      </c>
      <c r="E168" s="4">
        <v>0</v>
      </c>
      <c r="F168" s="84">
        <v>0</v>
      </c>
      <c r="G168" s="6">
        <f t="shared" si="17"/>
        <v>0</v>
      </c>
      <c r="H168" s="4">
        <v>23</v>
      </c>
      <c r="I168" s="84">
        <v>572.32000000000005</v>
      </c>
      <c r="J168" s="4">
        <v>18</v>
      </c>
      <c r="K168" s="84">
        <v>443.33</v>
      </c>
      <c r="L168" s="4">
        <f t="shared" si="12"/>
        <v>5</v>
      </c>
      <c r="M168" s="85">
        <f t="shared" si="13"/>
        <v>128.99000000000007</v>
      </c>
      <c r="N168" s="7">
        <f t="shared" si="14"/>
        <v>0.29095707486522471</v>
      </c>
    </row>
    <row r="169" spans="1:14" x14ac:dyDescent="0.25">
      <c r="A169" s="4" t="s">
        <v>291</v>
      </c>
      <c r="B169" s="5" t="s">
        <v>290</v>
      </c>
      <c r="C169" s="4">
        <v>11</v>
      </c>
      <c r="D169" s="84">
        <v>249.45000000000002</v>
      </c>
      <c r="E169" s="4">
        <v>0</v>
      </c>
      <c r="F169" s="84">
        <v>0</v>
      </c>
      <c r="G169" s="6">
        <f t="shared" si="17"/>
        <v>0</v>
      </c>
      <c r="H169" s="4">
        <v>11</v>
      </c>
      <c r="I169" s="84">
        <v>249.45000000000002</v>
      </c>
      <c r="J169" s="4">
        <v>18</v>
      </c>
      <c r="K169" s="84">
        <v>442.16</v>
      </c>
      <c r="L169" s="4">
        <f t="shared" si="12"/>
        <v>-7</v>
      </c>
      <c r="M169" s="85">
        <f t="shared" si="13"/>
        <v>-192.71</v>
      </c>
      <c r="N169" s="7">
        <f t="shared" si="14"/>
        <v>-0.43583770580785236</v>
      </c>
    </row>
    <row r="170" spans="1:14" x14ac:dyDescent="0.25">
      <c r="A170" s="4" t="s">
        <v>251</v>
      </c>
      <c r="B170" s="5" t="s">
        <v>250</v>
      </c>
      <c r="C170" s="4">
        <v>23</v>
      </c>
      <c r="D170" s="84">
        <v>115.86000000000001</v>
      </c>
      <c r="E170" s="4">
        <v>0</v>
      </c>
      <c r="F170" s="84">
        <v>0</v>
      </c>
      <c r="G170" s="6">
        <f t="shared" si="17"/>
        <v>0</v>
      </c>
      <c r="H170" s="4">
        <v>23</v>
      </c>
      <c r="I170" s="84">
        <v>115.86000000000001</v>
      </c>
      <c r="J170" s="4">
        <v>63</v>
      </c>
      <c r="K170" s="84">
        <v>436.5</v>
      </c>
      <c r="L170" s="4">
        <f t="shared" si="12"/>
        <v>-40</v>
      </c>
      <c r="M170" s="85">
        <f t="shared" si="13"/>
        <v>-320.64</v>
      </c>
      <c r="N170" s="7">
        <f t="shared" si="14"/>
        <v>-0.73457044673539518</v>
      </c>
    </row>
    <row r="171" spans="1:14" x14ac:dyDescent="0.25">
      <c r="A171" s="4" t="s">
        <v>403</v>
      </c>
      <c r="B171" s="5" t="s">
        <v>402</v>
      </c>
      <c r="C171" s="4">
        <v>12</v>
      </c>
      <c r="D171" s="84">
        <v>544.53</v>
      </c>
      <c r="E171" s="4">
        <v>0</v>
      </c>
      <c r="F171" s="84">
        <v>0</v>
      </c>
      <c r="G171" s="6">
        <f t="shared" si="17"/>
        <v>0</v>
      </c>
      <c r="H171" s="4">
        <v>12</v>
      </c>
      <c r="I171" s="84">
        <v>544.53</v>
      </c>
      <c r="J171" s="4">
        <v>14</v>
      </c>
      <c r="K171" s="84">
        <v>424.42999999999995</v>
      </c>
      <c r="L171" s="4">
        <f t="shared" si="12"/>
        <v>-2</v>
      </c>
      <c r="M171" s="85">
        <f t="shared" si="13"/>
        <v>120.10000000000002</v>
      </c>
      <c r="N171" s="7">
        <f t="shared" si="14"/>
        <v>0.28296774497561444</v>
      </c>
    </row>
    <row r="172" spans="1:14" x14ac:dyDescent="0.25">
      <c r="A172" s="4" t="s">
        <v>303</v>
      </c>
      <c r="B172" s="5" t="s">
        <v>302</v>
      </c>
      <c r="C172" s="4">
        <v>50</v>
      </c>
      <c r="D172" s="84">
        <v>582.20000000000005</v>
      </c>
      <c r="E172" s="4">
        <v>0</v>
      </c>
      <c r="F172" s="84">
        <v>0</v>
      </c>
      <c r="G172" s="6">
        <f t="shared" si="17"/>
        <v>0</v>
      </c>
      <c r="H172" s="4">
        <v>50</v>
      </c>
      <c r="I172" s="84">
        <v>582.20000000000005</v>
      </c>
      <c r="J172" s="4">
        <v>40</v>
      </c>
      <c r="K172" s="84">
        <v>415.21999999999997</v>
      </c>
      <c r="L172" s="4">
        <f t="shared" si="12"/>
        <v>10</v>
      </c>
      <c r="M172" s="85">
        <f t="shared" si="13"/>
        <v>166.98000000000008</v>
      </c>
      <c r="N172" s="7">
        <f t="shared" si="14"/>
        <v>0.40214825875439547</v>
      </c>
    </row>
    <row r="173" spans="1:14" x14ac:dyDescent="0.25">
      <c r="A173" s="4" t="s">
        <v>71</v>
      </c>
      <c r="B173" s="5" t="s">
        <v>70</v>
      </c>
      <c r="C173" s="4">
        <v>18</v>
      </c>
      <c r="D173" s="84">
        <v>451.1</v>
      </c>
      <c r="E173" s="4">
        <v>0</v>
      </c>
      <c r="F173" s="84">
        <v>0</v>
      </c>
      <c r="G173" s="6">
        <f t="shared" si="17"/>
        <v>0</v>
      </c>
      <c r="H173" s="4">
        <v>18</v>
      </c>
      <c r="I173" s="84">
        <v>451.1</v>
      </c>
      <c r="J173" s="4">
        <v>19</v>
      </c>
      <c r="K173" s="84">
        <v>414.19</v>
      </c>
      <c r="L173" s="4">
        <f t="shared" si="12"/>
        <v>-1</v>
      </c>
      <c r="M173" s="85">
        <f t="shared" si="13"/>
        <v>36.910000000000025</v>
      </c>
      <c r="N173" s="7">
        <f t="shared" si="14"/>
        <v>8.9113691783963944E-2</v>
      </c>
    </row>
    <row r="174" spans="1:14" x14ac:dyDescent="0.25">
      <c r="A174" s="4" t="s">
        <v>331</v>
      </c>
      <c r="B174" s="5" t="s">
        <v>330</v>
      </c>
      <c r="C174" s="4">
        <v>6</v>
      </c>
      <c r="D174" s="84">
        <v>132.08000000000001</v>
      </c>
      <c r="E174" s="4">
        <v>0</v>
      </c>
      <c r="F174" s="84">
        <v>0</v>
      </c>
      <c r="G174" s="6">
        <f t="shared" si="17"/>
        <v>0</v>
      </c>
      <c r="H174" s="4">
        <v>6</v>
      </c>
      <c r="I174" s="84">
        <v>132.08000000000001</v>
      </c>
      <c r="J174" s="4">
        <v>16</v>
      </c>
      <c r="K174" s="84">
        <v>407.65999999999997</v>
      </c>
      <c r="L174" s="4">
        <f t="shared" si="12"/>
        <v>-10</v>
      </c>
      <c r="M174" s="85">
        <f t="shared" si="13"/>
        <v>-275.57999999999993</v>
      </c>
      <c r="N174" s="7">
        <f t="shared" si="14"/>
        <v>-0.67600451356522584</v>
      </c>
    </row>
    <row r="175" spans="1:14" x14ac:dyDescent="0.25">
      <c r="A175" s="4" t="s">
        <v>682</v>
      </c>
      <c r="B175" s="5" t="s">
        <v>683</v>
      </c>
      <c r="C175" s="4">
        <v>0</v>
      </c>
      <c r="D175" s="84">
        <v>0</v>
      </c>
      <c r="E175" s="4">
        <v>0</v>
      </c>
      <c r="F175" s="84">
        <v>0</v>
      </c>
      <c r="G175" s="6"/>
      <c r="H175" s="4">
        <v>0</v>
      </c>
      <c r="I175" s="84">
        <v>0</v>
      </c>
      <c r="J175" s="4">
        <v>4</v>
      </c>
      <c r="K175" s="84">
        <v>404</v>
      </c>
      <c r="L175" s="4">
        <f t="shared" si="12"/>
        <v>-4</v>
      </c>
      <c r="M175" s="85">
        <f t="shared" si="13"/>
        <v>-404</v>
      </c>
      <c r="N175" s="7">
        <f t="shared" si="14"/>
        <v>-1</v>
      </c>
    </row>
    <row r="176" spans="1:14" x14ac:dyDescent="0.25">
      <c r="A176" s="4" t="s">
        <v>662</v>
      </c>
      <c r="B176" s="5" t="s">
        <v>663</v>
      </c>
      <c r="C176" s="4">
        <v>0</v>
      </c>
      <c r="D176" s="84">
        <v>0</v>
      </c>
      <c r="E176" s="4">
        <v>0</v>
      </c>
      <c r="F176" s="84">
        <v>0</v>
      </c>
      <c r="G176" s="6"/>
      <c r="H176" s="4">
        <v>0</v>
      </c>
      <c r="I176" s="84">
        <v>0</v>
      </c>
      <c r="J176" s="4">
        <v>6</v>
      </c>
      <c r="K176" s="84">
        <v>394.15999999999997</v>
      </c>
      <c r="L176" s="4">
        <f t="shared" si="12"/>
        <v>-6</v>
      </c>
      <c r="M176" s="85">
        <f t="shared" si="13"/>
        <v>-394.15999999999997</v>
      </c>
      <c r="N176" s="7">
        <f t="shared" si="14"/>
        <v>-1</v>
      </c>
    </row>
    <row r="177" spans="1:14" x14ac:dyDescent="0.25">
      <c r="A177" s="4" t="s">
        <v>275</v>
      </c>
      <c r="B177" s="5" t="s">
        <v>274</v>
      </c>
      <c r="C177" s="4">
        <v>12</v>
      </c>
      <c r="D177" s="84">
        <v>193.77999999999997</v>
      </c>
      <c r="E177" s="4">
        <v>0</v>
      </c>
      <c r="F177" s="84">
        <v>0</v>
      </c>
      <c r="G177" s="6">
        <f t="shared" ref="G177:G188" si="18">F177/I177</f>
        <v>0</v>
      </c>
      <c r="H177" s="4">
        <v>12</v>
      </c>
      <c r="I177" s="84">
        <v>193.77999999999997</v>
      </c>
      <c r="J177" s="4">
        <v>24</v>
      </c>
      <c r="K177" s="84">
        <v>393.52000000000004</v>
      </c>
      <c r="L177" s="4">
        <f t="shared" si="12"/>
        <v>-12</v>
      </c>
      <c r="M177" s="85">
        <f t="shared" si="13"/>
        <v>-199.74000000000007</v>
      </c>
      <c r="N177" s="7">
        <f t="shared" si="14"/>
        <v>-0.50757267737345002</v>
      </c>
    </row>
    <row r="178" spans="1:14" x14ac:dyDescent="0.25">
      <c r="A178" s="4" t="s">
        <v>562</v>
      </c>
      <c r="B178" s="5" t="s">
        <v>561</v>
      </c>
      <c r="C178" s="4">
        <v>16</v>
      </c>
      <c r="D178" s="84">
        <v>79.660000000000011</v>
      </c>
      <c r="E178" s="4">
        <v>0</v>
      </c>
      <c r="F178" s="84">
        <v>0</v>
      </c>
      <c r="G178" s="6">
        <f t="shared" si="18"/>
        <v>0</v>
      </c>
      <c r="H178" s="4">
        <v>16</v>
      </c>
      <c r="I178" s="84">
        <v>79.660000000000011</v>
      </c>
      <c r="J178" s="4">
        <v>47</v>
      </c>
      <c r="K178" s="84">
        <v>371.03</v>
      </c>
      <c r="L178" s="4">
        <f t="shared" si="12"/>
        <v>-31</v>
      </c>
      <c r="M178" s="85">
        <f t="shared" si="13"/>
        <v>-291.36999999999995</v>
      </c>
      <c r="N178" s="7">
        <f t="shared" si="14"/>
        <v>-0.78530038002317859</v>
      </c>
    </row>
    <row r="179" spans="1:14" x14ac:dyDescent="0.25">
      <c r="A179" s="4" t="s">
        <v>313</v>
      </c>
      <c r="B179" s="5" t="s">
        <v>312</v>
      </c>
      <c r="C179" s="4">
        <v>54</v>
      </c>
      <c r="D179" s="84">
        <v>2848.87</v>
      </c>
      <c r="E179" s="4">
        <v>0</v>
      </c>
      <c r="F179" s="84">
        <v>0</v>
      </c>
      <c r="G179" s="6">
        <f t="shared" si="18"/>
        <v>0</v>
      </c>
      <c r="H179" s="4">
        <v>54</v>
      </c>
      <c r="I179" s="84">
        <v>2848.87</v>
      </c>
      <c r="J179" s="4">
        <v>6</v>
      </c>
      <c r="K179" s="84">
        <v>369.15999999999997</v>
      </c>
      <c r="L179" s="4">
        <f t="shared" si="12"/>
        <v>48</v>
      </c>
      <c r="M179" s="85">
        <f t="shared" si="13"/>
        <v>2479.71</v>
      </c>
      <c r="N179" s="7">
        <f t="shared" si="14"/>
        <v>6.7171687073355733</v>
      </c>
    </row>
    <row r="180" spans="1:14" x14ac:dyDescent="0.25">
      <c r="A180" s="4" t="s">
        <v>405</v>
      </c>
      <c r="B180" s="5" t="s">
        <v>404</v>
      </c>
      <c r="C180" s="4">
        <v>5</v>
      </c>
      <c r="D180" s="84">
        <v>760.35</v>
      </c>
      <c r="E180" s="4">
        <v>0</v>
      </c>
      <c r="F180" s="84">
        <v>0</v>
      </c>
      <c r="G180" s="6">
        <f t="shared" si="18"/>
        <v>0</v>
      </c>
      <c r="H180" s="4">
        <v>5</v>
      </c>
      <c r="I180" s="84">
        <v>760.35</v>
      </c>
      <c r="J180" s="4">
        <v>3</v>
      </c>
      <c r="K180" s="84">
        <v>367.40999999999997</v>
      </c>
      <c r="L180" s="4">
        <f t="shared" si="12"/>
        <v>2</v>
      </c>
      <c r="M180" s="85">
        <f t="shared" si="13"/>
        <v>392.94000000000005</v>
      </c>
      <c r="N180" s="7">
        <f t="shared" si="14"/>
        <v>1.0694864048338371</v>
      </c>
    </row>
    <row r="181" spans="1:14" x14ac:dyDescent="0.25">
      <c r="A181" s="4" t="s">
        <v>345</v>
      </c>
      <c r="B181" s="5" t="s">
        <v>344</v>
      </c>
      <c r="C181" s="4">
        <v>5</v>
      </c>
      <c r="D181" s="84">
        <v>246.74</v>
      </c>
      <c r="E181" s="4">
        <v>0</v>
      </c>
      <c r="F181" s="84">
        <v>0</v>
      </c>
      <c r="G181" s="6">
        <f t="shared" si="18"/>
        <v>0</v>
      </c>
      <c r="H181" s="4">
        <v>5</v>
      </c>
      <c r="I181" s="84">
        <v>246.74</v>
      </c>
      <c r="J181" s="4">
        <v>7</v>
      </c>
      <c r="K181" s="84">
        <v>362.59000000000003</v>
      </c>
      <c r="L181" s="4">
        <f t="shared" si="12"/>
        <v>-2</v>
      </c>
      <c r="M181" s="85">
        <f t="shared" si="13"/>
        <v>-115.85000000000002</v>
      </c>
      <c r="N181" s="7">
        <f t="shared" si="14"/>
        <v>-0.31950688105022207</v>
      </c>
    </row>
    <row r="182" spans="1:14" x14ac:dyDescent="0.25">
      <c r="A182" s="4" t="s">
        <v>51</v>
      </c>
      <c r="B182" s="5" t="s">
        <v>50</v>
      </c>
      <c r="C182" s="4">
        <v>16</v>
      </c>
      <c r="D182" s="84">
        <v>208.45</v>
      </c>
      <c r="E182" s="4">
        <v>0</v>
      </c>
      <c r="F182" s="84">
        <v>0</v>
      </c>
      <c r="G182" s="6">
        <f t="shared" si="18"/>
        <v>0</v>
      </c>
      <c r="H182" s="4">
        <v>16</v>
      </c>
      <c r="I182" s="84">
        <v>208.45</v>
      </c>
      <c r="J182" s="4">
        <v>23</v>
      </c>
      <c r="K182" s="84">
        <v>356.84</v>
      </c>
      <c r="L182" s="4">
        <f t="shared" si="12"/>
        <v>-7</v>
      </c>
      <c r="M182" s="85">
        <f t="shared" si="13"/>
        <v>-148.38999999999999</v>
      </c>
      <c r="N182" s="7">
        <f t="shared" si="14"/>
        <v>-0.41584463625154128</v>
      </c>
    </row>
    <row r="183" spans="1:14" x14ac:dyDescent="0.25">
      <c r="A183" s="4" t="s">
        <v>373</v>
      </c>
      <c r="B183" s="5" t="s">
        <v>372</v>
      </c>
      <c r="C183" s="4">
        <v>11</v>
      </c>
      <c r="D183" s="84">
        <v>526.74</v>
      </c>
      <c r="E183" s="4">
        <v>0</v>
      </c>
      <c r="F183" s="84">
        <v>0</v>
      </c>
      <c r="G183" s="6">
        <f t="shared" si="18"/>
        <v>0</v>
      </c>
      <c r="H183" s="4">
        <v>11</v>
      </c>
      <c r="I183" s="84">
        <v>526.74</v>
      </c>
      <c r="J183" s="4">
        <v>7</v>
      </c>
      <c r="K183" s="84">
        <v>342.03999999999996</v>
      </c>
      <c r="L183" s="4">
        <f t="shared" si="12"/>
        <v>4</v>
      </c>
      <c r="M183" s="85">
        <f t="shared" si="13"/>
        <v>184.70000000000005</v>
      </c>
      <c r="N183" s="7">
        <f t="shared" si="14"/>
        <v>0.53999532218454005</v>
      </c>
    </row>
    <row r="184" spans="1:14" x14ac:dyDescent="0.25">
      <c r="A184" s="4" t="s">
        <v>419</v>
      </c>
      <c r="B184" s="5" t="s">
        <v>418</v>
      </c>
      <c r="C184" s="4">
        <v>852</v>
      </c>
      <c r="D184" s="84">
        <v>7431.43</v>
      </c>
      <c r="E184" s="4">
        <v>0</v>
      </c>
      <c r="F184" s="84">
        <v>0</v>
      </c>
      <c r="G184" s="6">
        <f t="shared" si="18"/>
        <v>0</v>
      </c>
      <c r="H184" s="4">
        <v>852</v>
      </c>
      <c r="I184" s="84">
        <v>7431.43</v>
      </c>
      <c r="J184" s="4">
        <v>38</v>
      </c>
      <c r="K184" s="84">
        <v>323.26</v>
      </c>
      <c r="L184" s="4">
        <f t="shared" si="12"/>
        <v>814</v>
      </c>
      <c r="M184" s="85">
        <f t="shared" si="13"/>
        <v>7108.17</v>
      </c>
      <c r="N184" s="7">
        <f t="shared" si="14"/>
        <v>21.989018127822806</v>
      </c>
    </row>
    <row r="185" spans="1:14" x14ac:dyDescent="0.25">
      <c r="A185" s="4" t="s">
        <v>255</v>
      </c>
      <c r="B185" s="5" t="s">
        <v>254</v>
      </c>
      <c r="C185" s="4">
        <v>7</v>
      </c>
      <c r="D185" s="84">
        <v>332.12</v>
      </c>
      <c r="E185" s="4">
        <v>0</v>
      </c>
      <c r="F185" s="84">
        <v>0</v>
      </c>
      <c r="G185" s="6">
        <f t="shared" si="18"/>
        <v>0</v>
      </c>
      <c r="H185" s="4">
        <v>7</v>
      </c>
      <c r="I185" s="84">
        <v>332.12</v>
      </c>
      <c r="J185" s="4">
        <v>8</v>
      </c>
      <c r="K185" s="84">
        <v>321.81</v>
      </c>
      <c r="L185" s="4">
        <f t="shared" si="12"/>
        <v>-1</v>
      </c>
      <c r="M185" s="85">
        <f t="shared" si="13"/>
        <v>10.310000000000002</v>
      </c>
      <c r="N185" s="7">
        <f t="shared" si="14"/>
        <v>3.2037537677511579E-2</v>
      </c>
    </row>
    <row r="186" spans="1:14" x14ac:dyDescent="0.25">
      <c r="A186" s="4" t="s">
        <v>169</v>
      </c>
      <c r="B186" s="5" t="s">
        <v>168</v>
      </c>
      <c r="C186" s="4">
        <v>28</v>
      </c>
      <c r="D186" s="84">
        <v>194.35000000000002</v>
      </c>
      <c r="E186" s="4">
        <v>0</v>
      </c>
      <c r="F186" s="84">
        <v>0</v>
      </c>
      <c r="G186" s="6">
        <f t="shared" si="18"/>
        <v>0</v>
      </c>
      <c r="H186" s="4">
        <v>28</v>
      </c>
      <c r="I186" s="84">
        <v>194.35000000000002</v>
      </c>
      <c r="J186" s="4">
        <v>32</v>
      </c>
      <c r="K186" s="84">
        <v>308.63</v>
      </c>
      <c r="L186" s="4">
        <f t="shared" si="12"/>
        <v>-4</v>
      </c>
      <c r="M186" s="85">
        <f t="shared" si="13"/>
        <v>-114.27999999999997</v>
      </c>
      <c r="N186" s="7">
        <f t="shared" si="14"/>
        <v>-0.37028156692479658</v>
      </c>
    </row>
    <row r="187" spans="1:14" x14ac:dyDescent="0.25">
      <c r="A187" s="4" t="s">
        <v>109</v>
      </c>
      <c r="B187" s="5" t="s">
        <v>108</v>
      </c>
      <c r="C187" s="4">
        <v>2</v>
      </c>
      <c r="D187" s="84">
        <v>183.2</v>
      </c>
      <c r="E187" s="4">
        <v>0</v>
      </c>
      <c r="F187" s="84">
        <v>0</v>
      </c>
      <c r="G187" s="6">
        <f t="shared" si="18"/>
        <v>0</v>
      </c>
      <c r="H187" s="4">
        <v>2</v>
      </c>
      <c r="I187" s="84">
        <v>183.2</v>
      </c>
      <c r="J187" s="4">
        <v>5</v>
      </c>
      <c r="K187" s="84">
        <v>307.46000000000004</v>
      </c>
      <c r="L187" s="4">
        <f t="shared" si="12"/>
        <v>-3</v>
      </c>
      <c r="M187" s="85">
        <f t="shared" si="13"/>
        <v>-124.26000000000005</v>
      </c>
      <c r="N187" s="7">
        <f t="shared" si="14"/>
        <v>-0.4041501333506799</v>
      </c>
    </row>
    <row r="188" spans="1:14" x14ac:dyDescent="0.25">
      <c r="A188" s="4" t="s">
        <v>351</v>
      </c>
      <c r="B188" s="5" t="s">
        <v>350</v>
      </c>
      <c r="C188" s="4">
        <v>21</v>
      </c>
      <c r="D188" s="84">
        <v>307.53999999999996</v>
      </c>
      <c r="E188" s="4">
        <v>0</v>
      </c>
      <c r="F188" s="84">
        <v>0</v>
      </c>
      <c r="G188" s="6">
        <f t="shared" si="18"/>
        <v>0</v>
      </c>
      <c r="H188" s="4">
        <v>21</v>
      </c>
      <c r="I188" s="84">
        <v>307.53999999999996</v>
      </c>
      <c r="J188" s="4">
        <v>19</v>
      </c>
      <c r="K188" s="84">
        <v>300.14999999999998</v>
      </c>
      <c r="L188" s="4">
        <f t="shared" si="12"/>
        <v>2</v>
      </c>
      <c r="M188" s="85">
        <f t="shared" si="13"/>
        <v>7.3899999999999864</v>
      </c>
      <c r="N188" s="7">
        <f t="shared" si="14"/>
        <v>2.4621022821922328E-2</v>
      </c>
    </row>
    <row r="189" spans="1:14" x14ac:dyDescent="0.25">
      <c r="A189" s="4" t="s">
        <v>253</v>
      </c>
      <c r="B189" s="5" t="s">
        <v>252</v>
      </c>
      <c r="C189" s="4">
        <v>0</v>
      </c>
      <c r="D189" s="84">
        <v>0</v>
      </c>
      <c r="E189" s="4">
        <v>0</v>
      </c>
      <c r="F189" s="84">
        <v>0</v>
      </c>
      <c r="G189" s="6"/>
      <c r="H189" s="4">
        <v>0</v>
      </c>
      <c r="I189" s="84">
        <v>0</v>
      </c>
      <c r="J189" s="4">
        <v>32</v>
      </c>
      <c r="K189" s="84">
        <v>289.83999999999997</v>
      </c>
      <c r="L189" s="4">
        <f t="shared" si="12"/>
        <v>-32</v>
      </c>
      <c r="M189" s="85">
        <f t="shared" si="13"/>
        <v>-289.83999999999997</v>
      </c>
      <c r="N189" s="7">
        <f t="shared" si="14"/>
        <v>-1</v>
      </c>
    </row>
    <row r="190" spans="1:14" x14ac:dyDescent="0.25">
      <c r="A190" s="4" t="s">
        <v>668</v>
      </c>
      <c r="B190" s="5" t="s">
        <v>669</v>
      </c>
      <c r="C190" s="4">
        <v>0</v>
      </c>
      <c r="D190" s="84">
        <v>0</v>
      </c>
      <c r="E190" s="4">
        <v>0</v>
      </c>
      <c r="F190" s="84">
        <v>0</v>
      </c>
      <c r="G190" s="6"/>
      <c r="H190" s="4">
        <v>0</v>
      </c>
      <c r="I190" s="84">
        <v>0</v>
      </c>
      <c r="J190" s="4">
        <v>13</v>
      </c>
      <c r="K190" s="84">
        <v>284.15999999999997</v>
      </c>
      <c r="L190" s="4">
        <f t="shared" si="12"/>
        <v>-13</v>
      </c>
      <c r="M190" s="85">
        <f t="shared" si="13"/>
        <v>-284.15999999999997</v>
      </c>
      <c r="N190" s="7">
        <f t="shared" si="14"/>
        <v>-1</v>
      </c>
    </row>
    <row r="191" spans="1:14" x14ac:dyDescent="0.25">
      <c r="A191" s="4" t="s">
        <v>49</v>
      </c>
      <c r="B191" s="5" t="s">
        <v>48</v>
      </c>
      <c r="C191" s="4">
        <v>6</v>
      </c>
      <c r="D191" s="84">
        <v>79.599999999999994</v>
      </c>
      <c r="E191" s="4">
        <v>0</v>
      </c>
      <c r="F191" s="84">
        <v>0</v>
      </c>
      <c r="G191" s="6">
        <f>F191/I191</f>
        <v>0</v>
      </c>
      <c r="H191" s="4">
        <v>6</v>
      </c>
      <c r="I191" s="84">
        <v>79.599999999999994</v>
      </c>
      <c r="J191" s="4">
        <v>24</v>
      </c>
      <c r="K191" s="84">
        <v>283.84000000000003</v>
      </c>
      <c r="L191" s="4">
        <f t="shared" si="12"/>
        <v>-18</v>
      </c>
      <c r="M191" s="85">
        <f t="shared" si="13"/>
        <v>-204.24000000000004</v>
      </c>
      <c r="N191" s="7">
        <f t="shared" si="14"/>
        <v>-0.71956031567080048</v>
      </c>
    </row>
    <row r="192" spans="1:14" x14ac:dyDescent="0.25">
      <c r="A192" s="4" t="s">
        <v>387</v>
      </c>
      <c r="B192" s="5" t="s">
        <v>386</v>
      </c>
      <c r="C192" s="4">
        <v>266</v>
      </c>
      <c r="D192" s="84">
        <v>11938.17</v>
      </c>
      <c r="E192" s="4">
        <v>0</v>
      </c>
      <c r="F192" s="84">
        <v>0</v>
      </c>
      <c r="G192" s="6">
        <f>F192/I192</f>
        <v>0</v>
      </c>
      <c r="H192" s="4">
        <v>266</v>
      </c>
      <c r="I192" s="84">
        <v>11938.17</v>
      </c>
      <c r="J192" s="4">
        <v>7</v>
      </c>
      <c r="K192" s="84">
        <v>282.31</v>
      </c>
      <c r="L192" s="4">
        <f t="shared" si="12"/>
        <v>259</v>
      </c>
      <c r="M192" s="85">
        <f t="shared" si="13"/>
        <v>11655.86</v>
      </c>
      <c r="N192" s="7">
        <f t="shared" si="14"/>
        <v>41.287449966349051</v>
      </c>
    </row>
    <row r="193" spans="1:14" x14ac:dyDescent="0.25">
      <c r="A193" s="4" t="s">
        <v>656</v>
      </c>
      <c r="B193" s="5" t="s">
        <v>657</v>
      </c>
      <c r="C193" s="4">
        <v>0</v>
      </c>
      <c r="D193" s="84">
        <v>0</v>
      </c>
      <c r="E193" s="4">
        <v>0</v>
      </c>
      <c r="F193" s="84">
        <v>0</v>
      </c>
      <c r="G193" s="6"/>
      <c r="H193" s="4">
        <v>0</v>
      </c>
      <c r="I193" s="84">
        <v>0</v>
      </c>
      <c r="J193" s="4">
        <v>4</v>
      </c>
      <c r="K193" s="84">
        <v>279.06</v>
      </c>
      <c r="L193" s="4">
        <f t="shared" si="12"/>
        <v>-4</v>
      </c>
      <c r="M193" s="85">
        <f t="shared" si="13"/>
        <v>-279.06</v>
      </c>
      <c r="N193" s="7">
        <f t="shared" si="14"/>
        <v>-1</v>
      </c>
    </row>
    <row r="194" spans="1:14" x14ac:dyDescent="0.25">
      <c r="A194" s="4" t="s">
        <v>197</v>
      </c>
      <c r="B194" s="5" t="s">
        <v>196</v>
      </c>
      <c r="C194" s="4">
        <v>2</v>
      </c>
      <c r="D194" s="84">
        <v>20.309999999999999</v>
      </c>
      <c r="E194" s="4">
        <v>0</v>
      </c>
      <c r="F194" s="84">
        <v>0</v>
      </c>
      <c r="G194" s="6">
        <f>F194/I194</f>
        <v>0</v>
      </c>
      <c r="H194" s="4">
        <v>2</v>
      </c>
      <c r="I194" s="84">
        <v>20.309999999999999</v>
      </c>
      <c r="J194" s="4">
        <v>23</v>
      </c>
      <c r="K194" s="84">
        <v>271.03999999999996</v>
      </c>
      <c r="L194" s="4">
        <f t="shared" ref="L194:L257" si="19">H194-J194</f>
        <v>-21</v>
      </c>
      <c r="M194" s="85">
        <f t="shared" ref="M194:M257" si="20">I194-K194</f>
        <v>-250.72999999999996</v>
      </c>
      <c r="N194" s="7">
        <f t="shared" si="14"/>
        <v>-0.92506641086186536</v>
      </c>
    </row>
    <row r="195" spans="1:14" x14ac:dyDescent="0.25">
      <c r="A195" s="4" t="s">
        <v>383</v>
      </c>
      <c r="B195" s="5" t="s">
        <v>382</v>
      </c>
      <c r="C195" s="4">
        <v>24</v>
      </c>
      <c r="D195" s="84">
        <v>324.88</v>
      </c>
      <c r="E195" s="4">
        <v>0</v>
      </c>
      <c r="F195" s="84">
        <v>0</v>
      </c>
      <c r="G195" s="6">
        <f>F195/I195</f>
        <v>0</v>
      </c>
      <c r="H195" s="4">
        <v>24</v>
      </c>
      <c r="I195" s="84">
        <v>324.88</v>
      </c>
      <c r="J195" s="4">
        <v>16</v>
      </c>
      <c r="K195" s="84">
        <v>270.68</v>
      </c>
      <c r="L195" s="4">
        <f t="shared" si="19"/>
        <v>8</v>
      </c>
      <c r="M195" s="85">
        <f t="shared" si="20"/>
        <v>54.199999999999989</v>
      </c>
      <c r="N195" s="7">
        <f t="shared" ref="N195:N258" si="21">M195/ABS(K195)</f>
        <v>0.20023644155460318</v>
      </c>
    </row>
    <row r="196" spans="1:14" x14ac:dyDescent="0.25">
      <c r="A196" s="4" t="s">
        <v>147</v>
      </c>
      <c r="B196" s="5" t="s">
        <v>146</v>
      </c>
      <c r="C196" s="4">
        <v>19</v>
      </c>
      <c r="D196" s="84">
        <v>96.37</v>
      </c>
      <c r="E196" s="4">
        <v>0</v>
      </c>
      <c r="F196" s="84">
        <v>0</v>
      </c>
      <c r="G196" s="6">
        <f>F196/I196</f>
        <v>0</v>
      </c>
      <c r="H196" s="4">
        <v>19</v>
      </c>
      <c r="I196" s="84">
        <v>96.37</v>
      </c>
      <c r="J196" s="4">
        <v>47</v>
      </c>
      <c r="K196" s="84">
        <v>268.74</v>
      </c>
      <c r="L196" s="4">
        <f t="shared" si="19"/>
        <v>-28</v>
      </c>
      <c r="M196" s="85">
        <f t="shared" si="20"/>
        <v>-172.37</v>
      </c>
      <c r="N196" s="7">
        <f t="shared" si="21"/>
        <v>-0.64140061025526529</v>
      </c>
    </row>
    <row r="197" spans="1:14" x14ac:dyDescent="0.25">
      <c r="A197" s="4" t="s">
        <v>119</v>
      </c>
      <c r="B197" s="5" t="s">
        <v>118</v>
      </c>
      <c r="C197" s="4">
        <v>12</v>
      </c>
      <c r="D197" s="84">
        <v>270.78999999999996</v>
      </c>
      <c r="E197" s="4">
        <v>0</v>
      </c>
      <c r="F197" s="84">
        <v>0</v>
      </c>
      <c r="G197" s="6">
        <f>F197/I197</f>
        <v>0</v>
      </c>
      <c r="H197" s="4">
        <v>12</v>
      </c>
      <c r="I197" s="84">
        <v>270.78999999999996</v>
      </c>
      <c r="J197" s="4">
        <v>13</v>
      </c>
      <c r="K197" s="84">
        <v>267.13</v>
      </c>
      <c r="L197" s="4">
        <f t="shared" si="19"/>
        <v>-1</v>
      </c>
      <c r="M197" s="85">
        <f t="shared" si="20"/>
        <v>3.6599999999999682</v>
      </c>
      <c r="N197" s="7">
        <f t="shared" si="21"/>
        <v>1.3701194175120609E-2</v>
      </c>
    </row>
    <row r="198" spans="1:14" x14ac:dyDescent="0.25">
      <c r="A198" s="4" t="s">
        <v>488</v>
      </c>
      <c r="B198" s="5" t="s">
        <v>487</v>
      </c>
      <c r="C198" s="4">
        <v>58</v>
      </c>
      <c r="D198" s="84">
        <v>837.36</v>
      </c>
      <c r="E198" s="4">
        <v>0</v>
      </c>
      <c r="F198" s="84">
        <v>0</v>
      </c>
      <c r="G198" s="6">
        <f>F198/I198</f>
        <v>0</v>
      </c>
      <c r="H198" s="4">
        <v>58</v>
      </c>
      <c r="I198" s="84">
        <v>837.36</v>
      </c>
      <c r="J198" s="4">
        <v>8</v>
      </c>
      <c r="K198" s="84">
        <v>230.14</v>
      </c>
      <c r="L198" s="4">
        <f t="shared" si="19"/>
        <v>50</v>
      </c>
      <c r="M198" s="85">
        <f t="shared" si="20"/>
        <v>607.22</v>
      </c>
      <c r="N198" s="7">
        <f t="shared" si="21"/>
        <v>2.6384809246545582</v>
      </c>
    </row>
    <row r="199" spans="1:14" x14ac:dyDescent="0.25">
      <c r="A199" s="4" t="s">
        <v>734</v>
      </c>
      <c r="B199" s="5" t="s">
        <v>735</v>
      </c>
      <c r="C199" s="4">
        <v>0</v>
      </c>
      <c r="D199" s="84">
        <v>0</v>
      </c>
      <c r="E199" s="4">
        <v>0</v>
      </c>
      <c r="F199" s="84">
        <v>0</v>
      </c>
      <c r="G199" s="6"/>
      <c r="H199" s="4">
        <v>0</v>
      </c>
      <c r="I199" s="84">
        <v>0</v>
      </c>
      <c r="J199" s="4">
        <v>56</v>
      </c>
      <c r="K199" s="84">
        <v>225.26999999999998</v>
      </c>
      <c r="L199" s="4">
        <f t="shared" si="19"/>
        <v>-56</v>
      </c>
      <c r="M199" s="85">
        <f t="shared" si="20"/>
        <v>-225.26999999999998</v>
      </c>
      <c r="N199" s="7">
        <f t="shared" si="21"/>
        <v>-1</v>
      </c>
    </row>
    <row r="200" spans="1:14" x14ac:dyDescent="0.25">
      <c r="A200" s="4" t="s">
        <v>588</v>
      </c>
      <c r="B200" s="5" t="s">
        <v>589</v>
      </c>
      <c r="C200" s="4">
        <v>0</v>
      </c>
      <c r="D200" s="84">
        <v>0</v>
      </c>
      <c r="E200" s="4">
        <v>0</v>
      </c>
      <c r="F200" s="84">
        <v>0</v>
      </c>
      <c r="G200" s="6"/>
      <c r="H200" s="4">
        <v>0</v>
      </c>
      <c r="I200" s="84">
        <v>0</v>
      </c>
      <c r="J200" s="4">
        <v>38</v>
      </c>
      <c r="K200" s="84">
        <v>219.99</v>
      </c>
      <c r="L200" s="4">
        <f t="shared" si="19"/>
        <v>-38</v>
      </c>
      <c r="M200" s="85">
        <f t="shared" si="20"/>
        <v>-219.99</v>
      </c>
      <c r="N200" s="7">
        <f t="shared" si="21"/>
        <v>-1</v>
      </c>
    </row>
    <row r="201" spans="1:14" x14ac:dyDescent="0.25">
      <c r="A201" s="4" t="s">
        <v>594</v>
      </c>
      <c r="B201" s="5" t="s">
        <v>595</v>
      </c>
      <c r="C201" s="4">
        <v>0</v>
      </c>
      <c r="D201" s="84">
        <v>0</v>
      </c>
      <c r="E201" s="4">
        <v>0</v>
      </c>
      <c r="F201" s="84">
        <v>0</v>
      </c>
      <c r="G201" s="6"/>
      <c r="H201" s="4">
        <v>0</v>
      </c>
      <c r="I201" s="84">
        <v>0</v>
      </c>
      <c r="J201" s="4">
        <v>2</v>
      </c>
      <c r="K201" s="84">
        <v>216.5</v>
      </c>
      <c r="L201" s="4">
        <f t="shared" si="19"/>
        <v>-2</v>
      </c>
      <c r="M201" s="85">
        <f t="shared" si="20"/>
        <v>-216.5</v>
      </c>
      <c r="N201" s="7">
        <f t="shared" si="21"/>
        <v>-1</v>
      </c>
    </row>
    <row r="202" spans="1:14" x14ac:dyDescent="0.25">
      <c r="A202" s="4" t="s">
        <v>321</v>
      </c>
      <c r="B202" s="5" t="s">
        <v>320</v>
      </c>
      <c r="C202" s="4">
        <v>19</v>
      </c>
      <c r="D202" s="84">
        <v>314.53000000000003</v>
      </c>
      <c r="E202" s="4">
        <v>0</v>
      </c>
      <c r="F202" s="84">
        <v>0</v>
      </c>
      <c r="G202" s="6">
        <f>F202/I202</f>
        <v>0</v>
      </c>
      <c r="H202" s="4">
        <v>19</v>
      </c>
      <c r="I202" s="84">
        <v>314.53000000000003</v>
      </c>
      <c r="J202" s="4">
        <v>9</v>
      </c>
      <c r="K202" s="84">
        <v>212.49</v>
      </c>
      <c r="L202" s="4">
        <f t="shared" si="19"/>
        <v>10</v>
      </c>
      <c r="M202" s="85">
        <f t="shared" si="20"/>
        <v>102.04000000000002</v>
      </c>
      <c r="N202" s="7">
        <f t="shared" si="21"/>
        <v>0.48021083345098603</v>
      </c>
    </row>
    <row r="203" spans="1:14" x14ac:dyDescent="0.25">
      <c r="A203" s="4" t="s">
        <v>213</v>
      </c>
      <c r="B203" s="5" t="s">
        <v>212</v>
      </c>
      <c r="C203" s="4">
        <v>0</v>
      </c>
      <c r="D203" s="84">
        <v>0</v>
      </c>
      <c r="E203" s="4">
        <v>0</v>
      </c>
      <c r="F203" s="84">
        <v>0</v>
      </c>
      <c r="G203" s="6"/>
      <c r="H203" s="4">
        <v>0</v>
      </c>
      <c r="I203" s="84">
        <v>0</v>
      </c>
      <c r="J203" s="4">
        <v>12</v>
      </c>
      <c r="K203" s="84">
        <v>199.66000000000003</v>
      </c>
      <c r="L203" s="4">
        <f t="shared" si="19"/>
        <v>-12</v>
      </c>
      <c r="M203" s="85">
        <f t="shared" si="20"/>
        <v>-199.66000000000003</v>
      </c>
      <c r="N203" s="7">
        <f t="shared" si="21"/>
        <v>-1</v>
      </c>
    </row>
    <row r="204" spans="1:14" x14ac:dyDescent="0.25">
      <c r="A204" s="4" t="s">
        <v>309</v>
      </c>
      <c r="B204" s="5" t="s">
        <v>308</v>
      </c>
      <c r="C204" s="4">
        <v>7</v>
      </c>
      <c r="D204" s="84">
        <v>219.50000000000003</v>
      </c>
      <c r="E204" s="4">
        <v>0</v>
      </c>
      <c r="F204" s="84">
        <v>0</v>
      </c>
      <c r="G204" s="6">
        <f>F204/I204</f>
        <v>0</v>
      </c>
      <c r="H204" s="4">
        <v>7</v>
      </c>
      <c r="I204" s="84">
        <v>219.50000000000003</v>
      </c>
      <c r="J204" s="4">
        <v>9</v>
      </c>
      <c r="K204" s="84">
        <v>195.04</v>
      </c>
      <c r="L204" s="4">
        <f t="shared" si="19"/>
        <v>-2</v>
      </c>
      <c r="M204" s="85">
        <f t="shared" si="20"/>
        <v>24.460000000000036</v>
      </c>
      <c r="N204" s="7">
        <f t="shared" si="21"/>
        <v>0.12541017227235457</v>
      </c>
    </row>
    <row r="205" spans="1:14" x14ac:dyDescent="0.25">
      <c r="A205" s="4" t="s">
        <v>257</v>
      </c>
      <c r="B205" s="5" t="s">
        <v>256</v>
      </c>
      <c r="C205" s="4">
        <v>9</v>
      </c>
      <c r="D205" s="84">
        <v>136.22999999999999</v>
      </c>
      <c r="E205" s="4">
        <v>0</v>
      </c>
      <c r="F205" s="84">
        <v>0</v>
      </c>
      <c r="G205" s="6">
        <f>F205/I205</f>
        <v>0</v>
      </c>
      <c r="H205" s="4">
        <v>9</v>
      </c>
      <c r="I205" s="84">
        <v>136.22999999999999</v>
      </c>
      <c r="J205" s="4">
        <v>17</v>
      </c>
      <c r="K205" s="84">
        <v>192.38</v>
      </c>
      <c r="L205" s="4">
        <f t="shared" si="19"/>
        <v>-8</v>
      </c>
      <c r="M205" s="85">
        <f t="shared" si="20"/>
        <v>-56.150000000000006</v>
      </c>
      <c r="N205" s="7">
        <f t="shared" si="21"/>
        <v>-0.29187025678344947</v>
      </c>
    </row>
    <row r="206" spans="1:14" x14ac:dyDescent="0.25">
      <c r="A206" s="4" t="s">
        <v>237</v>
      </c>
      <c r="B206" s="5" t="s">
        <v>236</v>
      </c>
      <c r="C206" s="4">
        <v>23</v>
      </c>
      <c r="D206" s="84">
        <v>377.45000000000005</v>
      </c>
      <c r="E206" s="4">
        <v>0</v>
      </c>
      <c r="F206" s="84">
        <v>0</v>
      </c>
      <c r="G206" s="6">
        <f>F206/I206</f>
        <v>0</v>
      </c>
      <c r="H206" s="4">
        <v>23</v>
      </c>
      <c r="I206" s="84">
        <v>377.45000000000005</v>
      </c>
      <c r="J206" s="4">
        <v>11</v>
      </c>
      <c r="K206" s="84">
        <v>191.88</v>
      </c>
      <c r="L206" s="4">
        <f t="shared" si="19"/>
        <v>12</v>
      </c>
      <c r="M206" s="85">
        <f t="shared" si="20"/>
        <v>185.57000000000005</v>
      </c>
      <c r="N206" s="7">
        <f t="shared" si="21"/>
        <v>0.96711486345632713</v>
      </c>
    </row>
    <row r="207" spans="1:14" x14ac:dyDescent="0.25">
      <c r="A207" s="4" t="s">
        <v>19</v>
      </c>
      <c r="B207" s="5" t="s">
        <v>18</v>
      </c>
      <c r="C207" s="4">
        <v>0</v>
      </c>
      <c r="D207" s="84">
        <v>0</v>
      </c>
      <c r="E207" s="4">
        <v>0</v>
      </c>
      <c r="F207" s="84">
        <v>0</v>
      </c>
      <c r="G207" s="6"/>
      <c r="H207" s="4">
        <v>0</v>
      </c>
      <c r="I207" s="84">
        <v>0</v>
      </c>
      <c r="J207" s="4">
        <v>23</v>
      </c>
      <c r="K207" s="84">
        <v>178.88</v>
      </c>
      <c r="L207" s="4">
        <f t="shared" si="19"/>
        <v>-23</v>
      </c>
      <c r="M207" s="85">
        <f t="shared" si="20"/>
        <v>-178.88</v>
      </c>
      <c r="N207" s="7">
        <f t="shared" si="21"/>
        <v>-1</v>
      </c>
    </row>
    <row r="208" spans="1:14" x14ac:dyDescent="0.25">
      <c r="A208" s="4" t="s">
        <v>473</v>
      </c>
      <c r="B208" s="5" t="s">
        <v>472</v>
      </c>
      <c r="C208" s="4">
        <v>0</v>
      </c>
      <c r="D208" s="84">
        <v>0</v>
      </c>
      <c r="E208" s="4">
        <v>0</v>
      </c>
      <c r="F208" s="84">
        <v>0</v>
      </c>
      <c r="G208" s="6"/>
      <c r="H208" s="4">
        <v>0</v>
      </c>
      <c r="I208" s="84">
        <v>0</v>
      </c>
      <c r="J208" s="4">
        <v>13</v>
      </c>
      <c r="K208" s="84">
        <v>175.98000000000002</v>
      </c>
      <c r="L208" s="4">
        <f t="shared" si="19"/>
        <v>-13</v>
      </c>
      <c r="M208" s="85">
        <f t="shared" si="20"/>
        <v>-175.98000000000002</v>
      </c>
      <c r="N208" s="7">
        <f t="shared" si="21"/>
        <v>-1</v>
      </c>
    </row>
    <row r="209" spans="1:14" x14ac:dyDescent="0.25">
      <c r="A209" s="4" t="s">
        <v>411</v>
      </c>
      <c r="B209" s="5" t="s">
        <v>410</v>
      </c>
      <c r="C209" s="4">
        <v>28</v>
      </c>
      <c r="D209" s="84">
        <v>115.10999999999999</v>
      </c>
      <c r="E209" s="4">
        <v>0</v>
      </c>
      <c r="F209" s="84">
        <v>0</v>
      </c>
      <c r="G209" s="6">
        <f>F209/I209</f>
        <v>0</v>
      </c>
      <c r="H209" s="4">
        <v>28</v>
      </c>
      <c r="I209" s="84">
        <v>115.10999999999999</v>
      </c>
      <c r="J209" s="4">
        <v>23</v>
      </c>
      <c r="K209" s="84">
        <v>157.31</v>
      </c>
      <c r="L209" s="4">
        <f t="shared" si="19"/>
        <v>5</v>
      </c>
      <c r="M209" s="85">
        <f t="shared" si="20"/>
        <v>-42.200000000000017</v>
      </c>
      <c r="N209" s="7">
        <f t="shared" si="21"/>
        <v>-0.26826012332337434</v>
      </c>
    </row>
    <row r="210" spans="1:14" x14ac:dyDescent="0.25">
      <c r="A210" s="4" t="s">
        <v>199</v>
      </c>
      <c r="B210" s="5" t="s">
        <v>198</v>
      </c>
      <c r="C210" s="4">
        <v>2</v>
      </c>
      <c r="D210" s="84">
        <v>148.86000000000001</v>
      </c>
      <c r="E210" s="4">
        <v>0</v>
      </c>
      <c r="F210" s="84">
        <v>0</v>
      </c>
      <c r="G210" s="6">
        <f>F210/I210</f>
        <v>0</v>
      </c>
      <c r="H210" s="4">
        <v>2</v>
      </c>
      <c r="I210" s="84">
        <v>148.86000000000001</v>
      </c>
      <c r="J210" s="4">
        <v>2</v>
      </c>
      <c r="K210" s="84">
        <v>155.96</v>
      </c>
      <c r="L210" s="4">
        <f t="shared" si="19"/>
        <v>0</v>
      </c>
      <c r="M210" s="85">
        <f t="shared" si="20"/>
        <v>-7.0999999999999943</v>
      </c>
      <c r="N210" s="7">
        <f t="shared" si="21"/>
        <v>-4.5524493459861468E-2</v>
      </c>
    </row>
    <row r="211" spans="1:14" x14ac:dyDescent="0.25">
      <c r="A211" s="4" t="s">
        <v>644</v>
      </c>
      <c r="B211" s="5" t="s">
        <v>645</v>
      </c>
      <c r="C211" s="4">
        <v>0</v>
      </c>
      <c r="D211" s="84">
        <v>0</v>
      </c>
      <c r="E211" s="4">
        <v>0</v>
      </c>
      <c r="F211" s="84">
        <v>0</v>
      </c>
      <c r="G211" s="6"/>
      <c r="H211" s="4">
        <v>0</v>
      </c>
      <c r="I211" s="84">
        <v>0</v>
      </c>
      <c r="J211" s="4">
        <v>28</v>
      </c>
      <c r="K211" s="84">
        <v>143.36000000000001</v>
      </c>
      <c r="L211" s="4">
        <f t="shared" si="19"/>
        <v>-28</v>
      </c>
      <c r="M211" s="85">
        <f t="shared" si="20"/>
        <v>-143.36000000000001</v>
      </c>
      <c r="N211" s="7">
        <f t="shared" si="21"/>
        <v>-1</v>
      </c>
    </row>
    <row r="212" spans="1:14" x14ac:dyDescent="0.25">
      <c r="A212" s="4" t="s">
        <v>650</v>
      </c>
      <c r="B212" s="5" t="s">
        <v>651</v>
      </c>
      <c r="C212" s="4">
        <v>0</v>
      </c>
      <c r="D212" s="84">
        <v>0</v>
      </c>
      <c r="E212" s="4">
        <v>0</v>
      </c>
      <c r="F212" s="84">
        <v>0</v>
      </c>
      <c r="G212" s="6"/>
      <c r="H212" s="4">
        <v>0</v>
      </c>
      <c r="I212" s="84">
        <v>0</v>
      </c>
      <c r="J212" s="4">
        <v>2</v>
      </c>
      <c r="K212" s="84">
        <v>143.11000000000001</v>
      </c>
      <c r="L212" s="4">
        <f t="shared" si="19"/>
        <v>-2</v>
      </c>
      <c r="M212" s="85">
        <f t="shared" si="20"/>
        <v>-143.11000000000001</v>
      </c>
      <c r="N212" s="7">
        <f t="shared" si="21"/>
        <v>-1</v>
      </c>
    </row>
    <row r="213" spans="1:14" x14ac:dyDescent="0.25">
      <c r="A213" s="4" t="s">
        <v>101</v>
      </c>
      <c r="B213" s="5" t="s">
        <v>100</v>
      </c>
      <c r="C213" s="4">
        <v>0</v>
      </c>
      <c r="D213" s="84">
        <v>0</v>
      </c>
      <c r="E213" s="4">
        <v>0</v>
      </c>
      <c r="F213" s="84">
        <v>0</v>
      </c>
      <c r="G213" s="6"/>
      <c r="H213" s="4">
        <v>0</v>
      </c>
      <c r="I213" s="84">
        <v>0</v>
      </c>
      <c r="J213" s="4">
        <v>24</v>
      </c>
      <c r="K213" s="84">
        <v>141.28</v>
      </c>
      <c r="L213" s="4">
        <f t="shared" si="19"/>
        <v>-24</v>
      </c>
      <c r="M213" s="85">
        <f t="shared" si="20"/>
        <v>-141.28</v>
      </c>
      <c r="N213" s="7">
        <f t="shared" si="21"/>
        <v>-1</v>
      </c>
    </row>
    <row r="214" spans="1:14" x14ac:dyDescent="0.25">
      <c r="A214" s="4" t="s">
        <v>353</v>
      </c>
      <c r="B214" s="5" t="s">
        <v>352</v>
      </c>
      <c r="C214" s="4">
        <v>0</v>
      </c>
      <c r="D214" s="84">
        <v>0</v>
      </c>
      <c r="E214" s="4">
        <v>0</v>
      </c>
      <c r="F214" s="84">
        <v>0</v>
      </c>
      <c r="G214" s="6"/>
      <c r="H214" s="4">
        <v>0</v>
      </c>
      <c r="I214" s="84">
        <v>0</v>
      </c>
      <c r="J214" s="4">
        <v>2</v>
      </c>
      <c r="K214" s="84">
        <v>131.85</v>
      </c>
      <c r="L214" s="4">
        <f t="shared" si="19"/>
        <v>-2</v>
      </c>
      <c r="M214" s="85">
        <f t="shared" si="20"/>
        <v>-131.85</v>
      </c>
      <c r="N214" s="7">
        <f t="shared" si="21"/>
        <v>-1</v>
      </c>
    </row>
    <row r="215" spans="1:14" x14ac:dyDescent="0.25">
      <c r="A215" s="4" t="s">
        <v>235</v>
      </c>
      <c r="B215" s="5" t="s">
        <v>234</v>
      </c>
      <c r="C215" s="4">
        <v>8</v>
      </c>
      <c r="D215" s="84">
        <v>39.64</v>
      </c>
      <c r="E215" s="4">
        <v>0</v>
      </c>
      <c r="F215" s="84">
        <v>0</v>
      </c>
      <c r="G215" s="6">
        <f>F215/I215</f>
        <v>0</v>
      </c>
      <c r="H215" s="4">
        <v>8</v>
      </c>
      <c r="I215" s="84">
        <v>39.64</v>
      </c>
      <c r="J215" s="4">
        <v>32</v>
      </c>
      <c r="K215" s="84">
        <v>128.63999999999999</v>
      </c>
      <c r="L215" s="4">
        <f t="shared" si="19"/>
        <v>-24</v>
      </c>
      <c r="M215" s="85">
        <f t="shared" si="20"/>
        <v>-88.999999999999986</v>
      </c>
      <c r="N215" s="7">
        <f t="shared" si="21"/>
        <v>-0.69185323383084574</v>
      </c>
    </row>
    <row r="216" spans="1:14" x14ac:dyDescent="0.25">
      <c r="A216" s="4" t="s">
        <v>622</v>
      </c>
      <c r="B216" s="5" t="s">
        <v>623</v>
      </c>
      <c r="C216" s="4">
        <v>1</v>
      </c>
      <c r="D216" s="84">
        <v>20.92</v>
      </c>
      <c r="E216" s="4">
        <v>0</v>
      </c>
      <c r="F216" s="84">
        <v>0</v>
      </c>
      <c r="G216" s="6">
        <f>F216/I216</f>
        <v>0</v>
      </c>
      <c r="H216" s="4">
        <v>1</v>
      </c>
      <c r="I216" s="84">
        <v>20.92</v>
      </c>
      <c r="J216" s="4">
        <v>7</v>
      </c>
      <c r="K216" s="84">
        <v>121.98000000000002</v>
      </c>
      <c r="L216" s="4">
        <f t="shared" si="19"/>
        <v>-6</v>
      </c>
      <c r="M216" s="85">
        <f t="shared" si="20"/>
        <v>-101.06000000000002</v>
      </c>
      <c r="N216" s="7">
        <f t="shared" si="21"/>
        <v>-0.82849647483193967</v>
      </c>
    </row>
    <row r="217" spans="1:14" x14ac:dyDescent="0.25">
      <c r="A217" s="4" t="s">
        <v>572</v>
      </c>
      <c r="B217" s="5" t="s">
        <v>573</v>
      </c>
      <c r="C217" s="4">
        <v>0</v>
      </c>
      <c r="D217" s="84">
        <v>0</v>
      </c>
      <c r="E217" s="4">
        <v>0</v>
      </c>
      <c r="F217" s="84">
        <v>0</v>
      </c>
      <c r="G217" s="6"/>
      <c r="H217" s="4">
        <v>0</v>
      </c>
      <c r="I217" s="84">
        <v>0</v>
      </c>
      <c r="J217" s="4">
        <v>1</v>
      </c>
      <c r="K217" s="84">
        <v>119.51</v>
      </c>
      <c r="L217" s="4">
        <f t="shared" si="19"/>
        <v>-1</v>
      </c>
      <c r="M217" s="85">
        <f t="shared" si="20"/>
        <v>-119.51</v>
      </c>
      <c r="N217" s="7">
        <f t="shared" si="21"/>
        <v>-1</v>
      </c>
    </row>
    <row r="218" spans="1:14" x14ac:dyDescent="0.25">
      <c r="A218" s="4" t="s">
        <v>506</v>
      </c>
      <c r="B218" s="5" t="s">
        <v>505</v>
      </c>
      <c r="C218" s="4">
        <v>4</v>
      </c>
      <c r="D218" s="84">
        <v>180.38</v>
      </c>
      <c r="E218" s="4">
        <v>0</v>
      </c>
      <c r="F218" s="84">
        <v>0</v>
      </c>
      <c r="G218" s="6">
        <f t="shared" ref="G218:G224" si="22">F218/I218</f>
        <v>0</v>
      </c>
      <c r="H218" s="4">
        <v>4</v>
      </c>
      <c r="I218" s="84">
        <v>180.38</v>
      </c>
      <c r="J218" s="4">
        <v>2</v>
      </c>
      <c r="K218" s="84">
        <v>118.81</v>
      </c>
      <c r="L218" s="4">
        <f t="shared" si="19"/>
        <v>2</v>
      </c>
      <c r="M218" s="85">
        <f t="shared" si="20"/>
        <v>61.569999999999993</v>
      </c>
      <c r="N218" s="7">
        <f t="shared" si="21"/>
        <v>0.51822237185422093</v>
      </c>
    </row>
    <row r="219" spans="1:14" x14ac:dyDescent="0.25">
      <c r="A219" s="4" t="s">
        <v>327</v>
      </c>
      <c r="B219" s="5" t="s">
        <v>326</v>
      </c>
      <c r="C219" s="4">
        <v>5</v>
      </c>
      <c r="D219" s="84">
        <v>295.04000000000002</v>
      </c>
      <c r="E219" s="4">
        <v>0</v>
      </c>
      <c r="F219" s="84">
        <v>0</v>
      </c>
      <c r="G219" s="6">
        <f t="shared" si="22"/>
        <v>0</v>
      </c>
      <c r="H219" s="4">
        <v>5</v>
      </c>
      <c r="I219" s="84">
        <v>295.04000000000002</v>
      </c>
      <c r="J219" s="4">
        <v>2</v>
      </c>
      <c r="K219" s="84">
        <v>116.27</v>
      </c>
      <c r="L219" s="4">
        <f t="shared" si="19"/>
        <v>3</v>
      </c>
      <c r="M219" s="85">
        <f t="shared" si="20"/>
        <v>178.77000000000004</v>
      </c>
      <c r="N219" s="7">
        <f t="shared" si="21"/>
        <v>1.5375419282704055</v>
      </c>
    </row>
    <row r="220" spans="1:14" x14ac:dyDescent="0.25">
      <c r="A220" s="4" t="s">
        <v>117</v>
      </c>
      <c r="B220" s="5" t="s">
        <v>116</v>
      </c>
      <c r="C220" s="4">
        <v>2</v>
      </c>
      <c r="D220" s="84">
        <v>109.8</v>
      </c>
      <c r="E220" s="4">
        <v>0</v>
      </c>
      <c r="F220" s="84">
        <v>0</v>
      </c>
      <c r="G220" s="6">
        <f t="shared" si="22"/>
        <v>0</v>
      </c>
      <c r="H220" s="4">
        <v>2</v>
      </c>
      <c r="I220" s="84">
        <v>109.8</v>
      </c>
      <c r="J220" s="4">
        <v>2</v>
      </c>
      <c r="K220" s="84">
        <v>115.25</v>
      </c>
      <c r="L220" s="4">
        <f t="shared" si="19"/>
        <v>0</v>
      </c>
      <c r="M220" s="85">
        <f t="shared" si="20"/>
        <v>-5.4500000000000028</v>
      </c>
      <c r="N220" s="7">
        <f t="shared" si="21"/>
        <v>-4.7288503253796119E-2</v>
      </c>
    </row>
    <row r="221" spans="1:14" x14ac:dyDescent="0.25">
      <c r="A221" s="4" t="s">
        <v>397</v>
      </c>
      <c r="B221" s="5" t="s">
        <v>396</v>
      </c>
      <c r="C221" s="4">
        <v>2</v>
      </c>
      <c r="D221" s="84">
        <v>117.48</v>
      </c>
      <c r="E221" s="4">
        <v>0</v>
      </c>
      <c r="F221" s="84">
        <v>0</v>
      </c>
      <c r="G221" s="6">
        <f t="shared" si="22"/>
        <v>0</v>
      </c>
      <c r="H221" s="4">
        <v>2</v>
      </c>
      <c r="I221" s="84">
        <v>117.48</v>
      </c>
      <c r="J221" s="4">
        <v>2</v>
      </c>
      <c r="K221" s="84">
        <v>114.6</v>
      </c>
      <c r="L221" s="4">
        <f t="shared" si="19"/>
        <v>0</v>
      </c>
      <c r="M221" s="85">
        <f t="shared" si="20"/>
        <v>2.8800000000000097</v>
      </c>
      <c r="N221" s="7">
        <f t="shared" si="21"/>
        <v>2.5130890052356105E-2</v>
      </c>
    </row>
    <row r="222" spans="1:14" x14ac:dyDescent="0.25">
      <c r="A222" s="4" t="s">
        <v>508</v>
      </c>
      <c r="B222" s="5" t="s">
        <v>507</v>
      </c>
      <c r="C222" s="4">
        <v>9</v>
      </c>
      <c r="D222" s="84">
        <v>31.200000000000003</v>
      </c>
      <c r="E222" s="4">
        <v>0</v>
      </c>
      <c r="F222" s="84">
        <v>0</v>
      </c>
      <c r="G222" s="6">
        <f t="shared" si="22"/>
        <v>0</v>
      </c>
      <c r="H222" s="4">
        <v>9</v>
      </c>
      <c r="I222" s="84">
        <v>31.200000000000003</v>
      </c>
      <c r="J222" s="4">
        <v>33</v>
      </c>
      <c r="K222" s="84">
        <v>114.10999999999999</v>
      </c>
      <c r="L222" s="4">
        <f t="shared" si="19"/>
        <v>-24</v>
      </c>
      <c r="M222" s="85">
        <f t="shared" si="20"/>
        <v>-82.909999999999982</v>
      </c>
      <c r="N222" s="7">
        <f t="shared" si="21"/>
        <v>-0.72657961615984568</v>
      </c>
    </row>
    <row r="223" spans="1:14" x14ac:dyDescent="0.25">
      <c r="A223" s="4" t="s">
        <v>580</v>
      </c>
      <c r="B223" s="5" t="s">
        <v>581</v>
      </c>
      <c r="C223" s="4">
        <v>1</v>
      </c>
      <c r="D223" s="84">
        <v>10.57</v>
      </c>
      <c r="E223" s="4">
        <v>0</v>
      </c>
      <c r="F223" s="84">
        <v>0</v>
      </c>
      <c r="G223" s="6">
        <f t="shared" si="22"/>
        <v>0</v>
      </c>
      <c r="H223" s="4">
        <v>1</v>
      </c>
      <c r="I223" s="84">
        <v>10.57</v>
      </c>
      <c r="J223" s="4">
        <v>10</v>
      </c>
      <c r="K223" s="84">
        <v>102.84</v>
      </c>
      <c r="L223" s="4">
        <f t="shared" si="19"/>
        <v>-9</v>
      </c>
      <c r="M223" s="85">
        <f t="shared" si="20"/>
        <v>-92.27000000000001</v>
      </c>
      <c r="N223" s="7">
        <f t="shared" si="21"/>
        <v>-0.89721898094126806</v>
      </c>
    </row>
    <row r="224" spans="1:14" x14ac:dyDescent="0.25">
      <c r="A224" s="4" t="s">
        <v>273</v>
      </c>
      <c r="B224" s="5" t="s">
        <v>272</v>
      </c>
      <c r="C224" s="4">
        <v>9</v>
      </c>
      <c r="D224" s="84">
        <v>105.85</v>
      </c>
      <c r="E224" s="4">
        <v>0</v>
      </c>
      <c r="F224" s="84">
        <v>0</v>
      </c>
      <c r="G224" s="6">
        <f t="shared" si="22"/>
        <v>0</v>
      </c>
      <c r="H224" s="4">
        <v>9</v>
      </c>
      <c r="I224" s="84">
        <v>105.85</v>
      </c>
      <c r="J224" s="4">
        <v>6</v>
      </c>
      <c r="K224" s="84">
        <v>102.24</v>
      </c>
      <c r="L224" s="4">
        <f t="shared" si="19"/>
        <v>3</v>
      </c>
      <c r="M224" s="85">
        <f t="shared" si="20"/>
        <v>3.6099999999999994</v>
      </c>
      <c r="N224" s="7">
        <f t="shared" si="21"/>
        <v>3.5309076682316115E-2</v>
      </c>
    </row>
    <row r="225" spans="1:14" x14ac:dyDescent="0.25">
      <c r="A225" s="4" t="s">
        <v>676</v>
      </c>
      <c r="B225" s="5" t="s">
        <v>677</v>
      </c>
      <c r="C225" s="4">
        <v>0</v>
      </c>
      <c r="D225" s="84">
        <v>0</v>
      </c>
      <c r="E225" s="4">
        <v>0</v>
      </c>
      <c r="F225" s="84">
        <v>0</v>
      </c>
      <c r="G225" s="6"/>
      <c r="H225" s="4">
        <v>0</v>
      </c>
      <c r="I225" s="84">
        <v>0</v>
      </c>
      <c r="J225" s="4">
        <v>9</v>
      </c>
      <c r="K225" s="84">
        <v>101.35</v>
      </c>
      <c r="L225" s="4">
        <f t="shared" si="19"/>
        <v>-9</v>
      </c>
      <c r="M225" s="85">
        <f t="shared" si="20"/>
        <v>-101.35</v>
      </c>
      <c r="N225" s="7">
        <f t="shared" si="21"/>
        <v>-1</v>
      </c>
    </row>
    <row r="226" spans="1:14" x14ac:dyDescent="0.25">
      <c r="A226" s="4" t="s">
        <v>363</v>
      </c>
      <c r="B226" s="5" t="s">
        <v>362</v>
      </c>
      <c r="C226" s="4">
        <v>8</v>
      </c>
      <c r="D226" s="84">
        <v>86.89</v>
      </c>
      <c r="E226" s="4">
        <v>0</v>
      </c>
      <c r="F226" s="84">
        <v>0</v>
      </c>
      <c r="G226" s="6">
        <f>F226/I226</f>
        <v>0</v>
      </c>
      <c r="H226" s="4">
        <v>8</v>
      </c>
      <c r="I226" s="84">
        <v>86.89</v>
      </c>
      <c r="J226" s="4">
        <v>8</v>
      </c>
      <c r="K226" s="84">
        <v>100.77000000000001</v>
      </c>
      <c r="L226" s="4">
        <f t="shared" si="19"/>
        <v>0</v>
      </c>
      <c r="M226" s="85">
        <f t="shared" si="20"/>
        <v>-13.88000000000001</v>
      </c>
      <c r="N226" s="7">
        <f t="shared" si="21"/>
        <v>-0.13773940656941558</v>
      </c>
    </row>
    <row r="227" spans="1:14" x14ac:dyDescent="0.25">
      <c r="A227" s="4" t="s">
        <v>17</v>
      </c>
      <c r="B227" s="5" t="s">
        <v>16</v>
      </c>
      <c r="C227" s="4">
        <v>2</v>
      </c>
      <c r="D227" s="84">
        <v>30.36</v>
      </c>
      <c r="E227" s="4">
        <v>0</v>
      </c>
      <c r="F227" s="84">
        <v>0</v>
      </c>
      <c r="G227" s="6">
        <f>F227/I227</f>
        <v>0</v>
      </c>
      <c r="H227" s="4">
        <v>2</v>
      </c>
      <c r="I227" s="84">
        <v>30.36</v>
      </c>
      <c r="J227" s="4">
        <v>6</v>
      </c>
      <c r="K227" s="84">
        <v>100.33999999999999</v>
      </c>
      <c r="L227" s="4">
        <f t="shared" si="19"/>
        <v>-4</v>
      </c>
      <c r="M227" s="85">
        <f t="shared" si="20"/>
        <v>-69.97999999999999</v>
      </c>
      <c r="N227" s="7">
        <f t="shared" si="21"/>
        <v>-0.69742874227626073</v>
      </c>
    </row>
    <row r="228" spans="1:14" x14ac:dyDescent="0.25">
      <c r="A228" s="4" t="s">
        <v>775</v>
      </c>
      <c r="B228" s="5" t="s">
        <v>776</v>
      </c>
      <c r="C228" s="4">
        <v>0</v>
      </c>
      <c r="D228" s="84">
        <v>0</v>
      </c>
      <c r="E228" s="4">
        <v>0</v>
      </c>
      <c r="F228" s="84">
        <v>0</v>
      </c>
      <c r="G228" s="6"/>
      <c r="H228" s="4">
        <v>0</v>
      </c>
      <c r="I228" s="84">
        <v>0</v>
      </c>
      <c r="J228" s="4">
        <v>2</v>
      </c>
      <c r="K228" s="84">
        <v>98.2</v>
      </c>
      <c r="L228" s="4">
        <f t="shared" si="19"/>
        <v>-2</v>
      </c>
      <c r="M228" s="85">
        <f t="shared" si="20"/>
        <v>-98.2</v>
      </c>
      <c r="N228" s="7">
        <f t="shared" si="21"/>
        <v>-1</v>
      </c>
    </row>
    <row r="229" spans="1:14" x14ac:dyDescent="0.25">
      <c r="A229" s="4" t="s">
        <v>173</v>
      </c>
      <c r="B229" s="5" t="s">
        <v>172</v>
      </c>
      <c r="C229" s="4">
        <v>44</v>
      </c>
      <c r="D229" s="84">
        <v>891.34</v>
      </c>
      <c r="E229" s="4">
        <v>0</v>
      </c>
      <c r="F229" s="84">
        <v>0</v>
      </c>
      <c r="G229" s="6">
        <f>F229/I229</f>
        <v>0</v>
      </c>
      <c r="H229" s="4">
        <v>44</v>
      </c>
      <c r="I229" s="84">
        <v>891.34</v>
      </c>
      <c r="J229" s="4">
        <v>5</v>
      </c>
      <c r="K229" s="84">
        <v>96.95</v>
      </c>
      <c r="L229" s="4">
        <f t="shared" si="19"/>
        <v>39</v>
      </c>
      <c r="M229" s="85">
        <f t="shared" si="20"/>
        <v>794.39</v>
      </c>
      <c r="N229" s="7">
        <f t="shared" si="21"/>
        <v>8.1938112429087155</v>
      </c>
    </row>
    <row r="230" spans="1:14" x14ac:dyDescent="0.25">
      <c r="A230" s="4" t="s">
        <v>107</v>
      </c>
      <c r="B230" s="5" t="s">
        <v>106</v>
      </c>
      <c r="C230" s="4">
        <v>12</v>
      </c>
      <c r="D230" s="84">
        <v>196.69</v>
      </c>
      <c r="E230" s="4">
        <v>0</v>
      </c>
      <c r="F230" s="84">
        <v>0</v>
      </c>
      <c r="G230" s="6">
        <f>F230/I230</f>
        <v>0</v>
      </c>
      <c r="H230" s="4">
        <v>12</v>
      </c>
      <c r="I230" s="84">
        <v>196.69</v>
      </c>
      <c r="J230" s="4">
        <v>4</v>
      </c>
      <c r="K230" s="84">
        <v>94.41</v>
      </c>
      <c r="L230" s="4">
        <f t="shared" si="19"/>
        <v>8</v>
      </c>
      <c r="M230" s="85">
        <f t="shared" si="20"/>
        <v>102.28</v>
      </c>
      <c r="N230" s="7">
        <f t="shared" si="21"/>
        <v>1.0833598135790701</v>
      </c>
    </row>
    <row r="231" spans="1:14" x14ac:dyDescent="0.25">
      <c r="A231" s="4" t="s">
        <v>355</v>
      </c>
      <c r="B231" s="5" t="s">
        <v>354</v>
      </c>
      <c r="C231" s="4">
        <v>0</v>
      </c>
      <c r="D231" s="84">
        <v>0</v>
      </c>
      <c r="E231" s="4">
        <v>0</v>
      </c>
      <c r="F231" s="84">
        <v>0</v>
      </c>
      <c r="G231" s="6"/>
      <c r="H231" s="4">
        <v>0</v>
      </c>
      <c r="I231" s="84">
        <v>0</v>
      </c>
      <c r="J231" s="4">
        <v>3</v>
      </c>
      <c r="K231" s="84">
        <v>92.82</v>
      </c>
      <c r="L231" s="4">
        <f t="shared" si="19"/>
        <v>-3</v>
      </c>
      <c r="M231" s="85">
        <f t="shared" si="20"/>
        <v>-92.82</v>
      </c>
      <c r="N231" s="7">
        <f t="shared" si="21"/>
        <v>-1</v>
      </c>
    </row>
    <row r="232" spans="1:14" x14ac:dyDescent="0.25">
      <c r="A232" s="4" t="s">
        <v>45</v>
      </c>
      <c r="B232" s="5" t="s">
        <v>44</v>
      </c>
      <c r="C232" s="4">
        <v>17</v>
      </c>
      <c r="D232" s="84">
        <v>103.81</v>
      </c>
      <c r="E232" s="4">
        <v>0</v>
      </c>
      <c r="F232" s="84">
        <v>0</v>
      </c>
      <c r="G232" s="6">
        <f>F232/I232</f>
        <v>0</v>
      </c>
      <c r="H232" s="4">
        <v>17</v>
      </c>
      <c r="I232" s="84">
        <v>103.81</v>
      </c>
      <c r="J232" s="4">
        <v>15</v>
      </c>
      <c r="K232" s="84">
        <v>88.34</v>
      </c>
      <c r="L232" s="4">
        <f t="shared" si="19"/>
        <v>2</v>
      </c>
      <c r="M232" s="85">
        <f t="shared" si="20"/>
        <v>15.469999999999999</v>
      </c>
      <c r="N232" s="7">
        <f t="shared" si="21"/>
        <v>0.1751188589540412</v>
      </c>
    </row>
    <row r="233" spans="1:14" x14ac:dyDescent="0.25">
      <c r="A233" s="4" t="s">
        <v>193</v>
      </c>
      <c r="B233" s="5" t="s">
        <v>192</v>
      </c>
      <c r="C233" s="4">
        <v>10</v>
      </c>
      <c r="D233" s="84">
        <v>97.83</v>
      </c>
      <c r="E233" s="4">
        <v>0</v>
      </c>
      <c r="F233" s="84">
        <v>0</v>
      </c>
      <c r="G233" s="6">
        <f>F233/I233</f>
        <v>0</v>
      </c>
      <c r="H233" s="4">
        <v>10</v>
      </c>
      <c r="I233" s="84">
        <v>97.83</v>
      </c>
      <c r="J233" s="4">
        <v>8</v>
      </c>
      <c r="K233" s="84">
        <v>86.31</v>
      </c>
      <c r="L233" s="4">
        <f t="shared" si="19"/>
        <v>2</v>
      </c>
      <c r="M233" s="85">
        <f t="shared" si="20"/>
        <v>11.519999999999996</v>
      </c>
      <c r="N233" s="7">
        <f t="shared" si="21"/>
        <v>0.13347236704900933</v>
      </c>
    </row>
    <row r="234" spans="1:14" x14ac:dyDescent="0.25">
      <c r="A234" s="4" t="s">
        <v>413</v>
      </c>
      <c r="B234" s="5" t="s">
        <v>412</v>
      </c>
      <c r="C234" s="4">
        <v>5</v>
      </c>
      <c r="D234" s="84">
        <v>321.74</v>
      </c>
      <c r="E234" s="4">
        <v>0</v>
      </c>
      <c r="F234" s="84">
        <v>0</v>
      </c>
      <c r="G234" s="6">
        <f>F234/I234</f>
        <v>0</v>
      </c>
      <c r="H234" s="4">
        <v>5</v>
      </c>
      <c r="I234" s="84">
        <v>321.74</v>
      </c>
      <c r="J234" s="4">
        <v>1</v>
      </c>
      <c r="K234" s="84">
        <v>83.19</v>
      </c>
      <c r="L234" s="4">
        <f t="shared" si="19"/>
        <v>4</v>
      </c>
      <c r="M234" s="85">
        <f t="shared" si="20"/>
        <v>238.55</v>
      </c>
      <c r="N234" s="7">
        <f t="shared" si="21"/>
        <v>2.8675321553071287</v>
      </c>
    </row>
    <row r="235" spans="1:14" x14ac:dyDescent="0.25">
      <c r="A235" s="4" t="s">
        <v>504</v>
      </c>
      <c r="B235" s="5" t="s">
        <v>503</v>
      </c>
      <c r="C235" s="4">
        <v>41</v>
      </c>
      <c r="D235" s="84">
        <v>167.45</v>
      </c>
      <c r="E235" s="4">
        <v>0</v>
      </c>
      <c r="F235" s="84">
        <v>0</v>
      </c>
      <c r="G235" s="6">
        <f>F235/I235</f>
        <v>0</v>
      </c>
      <c r="H235" s="4">
        <v>41</v>
      </c>
      <c r="I235" s="84">
        <v>167.45</v>
      </c>
      <c r="J235" s="4">
        <v>17</v>
      </c>
      <c r="K235" s="84">
        <v>81.430000000000007</v>
      </c>
      <c r="L235" s="4">
        <f t="shared" si="19"/>
        <v>24</v>
      </c>
      <c r="M235" s="85">
        <f t="shared" si="20"/>
        <v>86.019999999999982</v>
      </c>
      <c r="N235" s="7">
        <f t="shared" si="21"/>
        <v>1.0563674321503129</v>
      </c>
    </row>
    <row r="236" spans="1:14" x14ac:dyDescent="0.25">
      <c r="A236" s="4" t="s">
        <v>131</v>
      </c>
      <c r="B236" s="5" t="s">
        <v>130</v>
      </c>
      <c r="C236" s="4">
        <v>1</v>
      </c>
      <c r="D236" s="84">
        <v>37.729999999999997</v>
      </c>
      <c r="E236" s="4">
        <v>0</v>
      </c>
      <c r="F236" s="84">
        <v>0</v>
      </c>
      <c r="G236" s="6">
        <f>F236/I236</f>
        <v>0</v>
      </c>
      <c r="H236" s="4">
        <v>1</v>
      </c>
      <c r="I236" s="84">
        <v>37.729999999999997</v>
      </c>
      <c r="J236" s="4">
        <v>3</v>
      </c>
      <c r="K236" s="84">
        <v>80.52</v>
      </c>
      <c r="L236" s="4">
        <f t="shared" si="19"/>
        <v>-2</v>
      </c>
      <c r="M236" s="85">
        <f t="shared" si="20"/>
        <v>-42.79</v>
      </c>
      <c r="N236" s="7">
        <f t="shared" si="21"/>
        <v>-0.53142076502732238</v>
      </c>
    </row>
    <row r="237" spans="1:14" x14ac:dyDescent="0.25">
      <c r="A237" s="4" t="s">
        <v>65</v>
      </c>
      <c r="B237" s="5" t="s">
        <v>64</v>
      </c>
      <c r="C237" s="4">
        <v>0</v>
      </c>
      <c r="D237" s="84">
        <v>0</v>
      </c>
      <c r="E237" s="4">
        <v>0</v>
      </c>
      <c r="F237" s="84">
        <v>0</v>
      </c>
      <c r="G237" s="6"/>
      <c r="H237" s="4">
        <v>0</v>
      </c>
      <c r="I237" s="84">
        <v>0</v>
      </c>
      <c r="J237" s="4">
        <v>3</v>
      </c>
      <c r="K237" s="84">
        <v>75.91</v>
      </c>
      <c r="L237" s="4">
        <f t="shared" si="19"/>
        <v>-3</v>
      </c>
      <c r="M237" s="85">
        <f t="shared" si="20"/>
        <v>-75.91</v>
      </c>
      <c r="N237" s="7">
        <f t="shared" si="21"/>
        <v>-1</v>
      </c>
    </row>
    <row r="238" spans="1:14" x14ac:dyDescent="0.25">
      <c r="A238" s="4" t="s">
        <v>688</v>
      </c>
      <c r="B238" s="5" t="s">
        <v>689</v>
      </c>
      <c r="C238" s="4">
        <v>3</v>
      </c>
      <c r="D238" s="84">
        <v>167.51999999999998</v>
      </c>
      <c r="E238" s="4">
        <v>0</v>
      </c>
      <c r="F238" s="84">
        <v>0</v>
      </c>
      <c r="G238" s="6">
        <f>F238/I238</f>
        <v>0</v>
      </c>
      <c r="H238" s="4">
        <v>3</v>
      </c>
      <c r="I238" s="84">
        <v>167.51999999999998</v>
      </c>
      <c r="J238" s="4">
        <v>2</v>
      </c>
      <c r="K238" s="84">
        <v>75.819999999999993</v>
      </c>
      <c r="L238" s="4">
        <f t="shared" si="19"/>
        <v>1</v>
      </c>
      <c r="M238" s="85">
        <f t="shared" si="20"/>
        <v>91.699999999999989</v>
      </c>
      <c r="N238" s="7">
        <f t="shared" si="21"/>
        <v>1.2094434186230545</v>
      </c>
    </row>
    <row r="239" spans="1:14" x14ac:dyDescent="0.25">
      <c r="A239" s="4" t="s">
        <v>586</v>
      </c>
      <c r="B239" s="5" t="s">
        <v>587</v>
      </c>
      <c r="C239" s="4">
        <v>0</v>
      </c>
      <c r="D239" s="84">
        <v>0</v>
      </c>
      <c r="E239" s="4">
        <v>0</v>
      </c>
      <c r="F239" s="84">
        <v>0</v>
      </c>
      <c r="G239" s="6"/>
      <c r="H239" s="4">
        <v>0</v>
      </c>
      <c r="I239" s="84">
        <v>0</v>
      </c>
      <c r="J239" s="4">
        <v>3</v>
      </c>
      <c r="K239" s="84">
        <v>75.55</v>
      </c>
      <c r="L239" s="4">
        <f t="shared" si="19"/>
        <v>-3</v>
      </c>
      <c r="M239" s="85">
        <f t="shared" si="20"/>
        <v>-75.55</v>
      </c>
      <c r="N239" s="7">
        <f t="shared" si="21"/>
        <v>-1</v>
      </c>
    </row>
    <row r="240" spans="1:14" x14ac:dyDescent="0.25">
      <c r="A240" s="4" t="s">
        <v>514</v>
      </c>
      <c r="B240" s="5" t="s">
        <v>513</v>
      </c>
      <c r="C240" s="4">
        <v>1</v>
      </c>
      <c r="D240" s="84">
        <v>24.41</v>
      </c>
      <c r="E240" s="4">
        <v>1</v>
      </c>
      <c r="F240" s="84">
        <v>28.93</v>
      </c>
      <c r="G240" s="6">
        <f>F240/I240</f>
        <v>0.54236970378702665</v>
      </c>
      <c r="H240" s="4">
        <v>2</v>
      </c>
      <c r="I240" s="84">
        <v>53.339999999999996</v>
      </c>
      <c r="J240" s="4">
        <v>3</v>
      </c>
      <c r="K240" s="84">
        <v>74.5</v>
      </c>
      <c r="L240" s="4">
        <f t="shared" si="19"/>
        <v>-1</v>
      </c>
      <c r="M240" s="85">
        <f t="shared" si="20"/>
        <v>-21.160000000000004</v>
      </c>
      <c r="N240" s="7">
        <f t="shared" si="21"/>
        <v>-0.28402684563758396</v>
      </c>
    </row>
    <row r="241" spans="1:14" x14ac:dyDescent="0.25">
      <c r="A241" s="4" t="s">
        <v>281</v>
      </c>
      <c r="B241" s="5" t="s">
        <v>280</v>
      </c>
      <c r="C241" s="4">
        <v>8</v>
      </c>
      <c r="D241" s="84">
        <v>47.9</v>
      </c>
      <c r="E241" s="4">
        <v>0</v>
      </c>
      <c r="F241" s="84">
        <v>0</v>
      </c>
      <c r="G241" s="6">
        <f>F241/I241</f>
        <v>0</v>
      </c>
      <c r="H241" s="4">
        <v>8</v>
      </c>
      <c r="I241" s="84">
        <v>47.9</v>
      </c>
      <c r="J241" s="4">
        <v>9</v>
      </c>
      <c r="K241" s="84">
        <v>74.25</v>
      </c>
      <c r="L241" s="4">
        <f t="shared" si="19"/>
        <v>-1</v>
      </c>
      <c r="M241" s="85">
        <f t="shared" si="20"/>
        <v>-26.35</v>
      </c>
      <c r="N241" s="7">
        <f t="shared" si="21"/>
        <v>-0.35488215488215491</v>
      </c>
    </row>
    <row r="242" spans="1:14" x14ac:dyDescent="0.25">
      <c r="A242" s="4" t="s">
        <v>115</v>
      </c>
      <c r="B242" s="5" t="s">
        <v>114</v>
      </c>
      <c r="C242" s="4">
        <v>2</v>
      </c>
      <c r="D242" s="84">
        <v>66.5</v>
      </c>
      <c r="E242" s="4">
        <v>0</v>
      </c>
      <c r="F242" s="84">
        <v>0</v>
      </c>
      <c r="G242" s="6">
        <f>F242/I242</f>
        <v>0</v>
      </c>
      <c r="H242" s="4">
        <v>2</v>
      </c>
      <c r="I242" s="84">
        <v>66.5</v>
      </c>
      <c r="J242" s="4">
        <v>2</v>
      </c>
      <c r="K242" s="84">
        <v>71.099999999999994</v>
      </c>
      <c r="L242" s="4">
        <f t="shared" si="19"/>
        <v>0</v>
      </c>
      <c r="M242" s="85">
        <f t="shared" si="20"/>
        <v>-4.5999999999999943</v>
      </c>
      <c r="N242" s="7">
        <f t="shared" si="21"/>
        <v>-6.4697609001406392E-2</v>
      </c>
    </row>
    <row r="243" spans="1:14" x14ac:dyDescent="0.25">
      <c r="A243" s="4" t="s">
        <v>578</v>
      </c>
      <c r="B243" s="5" t="s">
        <v>579</v>
      </c>
      <c r="C243" s="4">
        <v>3</v>
      </c>
      <c r="D243" s="84">
        <v>61.3</v>
      </c>
      <c r="E243" s="4">
        <v>0</v>
      </c>
      <c r="F243" s="84">
        <v>0</v>
      </c>
      <c r="G243" s="6">
        <f>F243/I243</f>
        <v>0</v>
      </c>
      <c r="H243" s="4">
        <v>3</v>
      </c>
      <c r="I243" s="84">
        <v>61.3</v>
      </c>
      <c r="J243" s="4">
        <v>4</v>
      </c>
      <c r="K243" s="84">
        <v>69.7</v>
      </c>
      <c r="L243" s="4">
        <f t="shared" si="19"/>
        <v>-1</v>
      </c>
      <c r="M243" s="85">
        <f t="shared" si="20"/>
        <v>-8.4000000000000057</v>
      </c>
      <c r="N243" s="7">
        <f t="shared" si="21"/>
        <v>-0.12051649928263997</v>
      </c>
    </row>
    <row r="244" spans="1:14" x14ac:dyDescent="0.25">
      <c r="A244" s="4" t="s">
        <v>646</v>
      </c>
      <c r="B244" s="5" t="s">
        <v>647</v>
      </c>
      <c r="C244" s="4">
        <v>0</v>
      </c>
      <c r="D244" s="84">
        <v>0</v>
      </c>
      <c r="E244" s="4">
        <v>0</v>
      </c>
      <c r="F244" s="84">
        <v>0</v>
      </c>
      <c r="G244" s="6"/>
      <c r="H244" s="4">
        <v>0</v>
      </c>
      <c r="I244" s="84">
        <v>0</v>
      </c>
      <c r="J244" s="4">
        <v>1</v>
      </c>
      <c r="K244" s="84">
        <v>64.61</v>
      </c>
      <c r="L244" s="4">
        <f t="shared" si="19"/>
        <v>-1</v>
      </c>
      <c r="M244" s="85">
        <f t="shared" si="20"/>
        <v>-64.61</v>
      </c>
      <c r="N244" s="7">
        <f t="shared" si="21"/>
        <v>-1</v>
      </c>
    </row>
    <row r="245" spans="1:14" x14ac:dyDescent="0.25">
      <c r="A245" s="4" t="s">
        <v>279</v>
      </c>
      <c r="B245" s="5" t="s">
        <v>278</v>
      </c>
      <c r="C245" s="4">
        <v>32</v>
      </c>
      <c r="D245" s="84">
        <v>347.05</v>
      </c>
      <c r="E245" s="4">
        <v>0</v>
      </c>
      <c r="F245" s="84">
        <v>0</v>
      </c>
      <c r="G245" s="6">
        <f t="shared" ref="G245:G250" si="23">F245/I245</f>
        <v>0</v>
      </c>
      <c r="H245" s="4">
        <v>32</v>
      </c>
      <c r="I245" s="84">
        <v>347.05</v>
      </c>
      <c r="J245" s="4">
        <v>5</v>
      </c>
      <c r="K245" s="84">
        <v>61.260000000000005</v>
      </c>
      <c r="L245" s="4">
        <f t="shared" si="19"/>
        <v>27</v>
      </c>
      <c r="M245" s="85">
        <f t="shared" si="20"/>
        <v>285.79000000000002</v>
      </c>
      <c r="N245" s="7">
        <f t="shared" si="21"/>
        <v>4.6651975187724455</v>
      </c>
    </row>
    <row r="246" spans="1:14" x14ac:dyDescent="0.25">
      <c r="A246" s="4" t="s">
        <v>113</v>
      </c>
      <c r="B246" s="5" t="s">
        <v>112</v>
      </c>
      <c r="C246" s="4">
        <v>7</v>
      </c>
      <c r="D246" s="84">
        <v>105.13</v>
      </c>
      <c r="E246" s="4">
        <v>0</v>
      </c>
      <c r="F246" s="84">
        <v>0</v>
      </c>
      <c r="G246" s="6">
        <f t="shared" si="23"/>
        <v>0</v>
      </c>
      <c r="H246" s="4">
        <v>7</v>
      </c>
      <c r="I246" s="84">
        <v>105.13</v>
      </c>
      <c r="J246" s="4">
        <v>4</v>
      </c>
      <c r="K246" s="84">
        <v>59.63</v>
      </c>
      <c r="L246" s="4">
        <f t="shared" si="19"/>
        <v>3</v>
      </c>
      <c r="M246" s="85">
        <f t="shared" si="20"/>
        <v>45.499999999999993</v>
      </c>
      <c r="N246" s="7">
        <f t="shared" si="21"/>
        <v>0.76303873888982043</v>
      </c>
    </row>
    <row r="247" spans="1:14" x14ac:dyDescent="0.25">
      <c r="A247" s="4" t="s">
        <v>15</v>
      </c>
      <c r="B247" s="5" t="s">
        <v>14</v>
      </c>
      <c r="C247" s="4">
        <v>22</v>
      </c>
      <c r="D247" s="84">
        <v>277.54999999999995</v>
      </c>
      <c r="E247" s="4">
        <v>0</v>
      </c>
      <c r="F247" s="84">
        <v>0</v>
      </c>
      <c r="G247" s="6">
        <f t="shared" si="23"/>
        <v>0</v>
      </c>
      <c r="H247" s="4">
        <v>22</v>
      </c>
      <c r="I247" s="84">
        <v>277.54999999999995</v>
      </c>
      <c r="J247" s="4">
        <v>3</v>
      </c>
      <c r="K247" s="84">
        <v>56.319999999999993</v>
      </c>
      <c r="L247" s="4">
        <f t="shared" si="19"/>
        <v>19</v>
      </c>
      <c r="M247" s="85">
        <f t="shared" si="20"/>
        <v>221.22999999999996</v>
      </c>
      <c r="N247" s="7">
        <f t="shared" si="21"/>
        <v>3.9280894886363633</v>
      </c>
    </row>
    <row r="248" spans="1:14" x14ac:dyDescent="0.25">
      <c r="A248" s="4" t="s">
        <v>177</v>
      </c>
      <c r="B248" s="5" t="s">
        <v>176</v>
      </c>
      <c r="C248" s="4">
        <v>33</v>
      </c>
      <c r="D248" s="84">
        <v>1743.8199999999997</v>
      </c>
      <c r="E248" s="4">
        <v>0</v>
      </c>
      <c r="F248" s="84">
        <v>0</v>
      </c>
      <c r="G248" s="6">
        <f t="shared" si="23"/>
        <v>0</v>
      </c>
      <c r="H248" s="4">
        <v>33</v>
      </c>
      <c r="I248" s="84">
        <v>1743.8199999999997</v>
      </c>
      <c r="J248" s="4">
        <v>1</v>
      </c>
      <c r="K248" s="84">
        <v>51.7</v>
      </c>
      <c r="L248" s="4">
        <f t="shared" si="19"/>
        <v>32</v>
      </c>
      <c r="M248" s="85">
        <f t="shared" si="20"/>
        <v>1692.1199999999997</v>
      </c>
      <c r="N248" s="7">
        <f t="shared" si="21"/>
        <v>32.729593810444868</v>
      </c>
    </row>
    <row r="249" spans="1:14" x14ac:dyDescent="0.25">
      <c r="A249" s="4" t="s">
        <v>730</v>
      </c>
      <c r="B249" s="5" t="s">
        <v>731</v>
      </c>
      <c r="C249" s="4">
        <v>1</v>
      </c>
      <c r="D249" s="84">
        <v>24.71</v>
      </c>
      <c r="E249" s="4">
        <v>0</v>
      </c>
      <c r="F249" s="84">
        <v>0</v>
      </c>
      <c r="G249" s="6">
        <f t="shared" si="23"/>
        <v>0</v>
      </c>
      <c r="H249" s="4">
        <v>1</v>
      </c>
      <c r="I249" s="84">
        <v>24.71</v>
      </c>
      <c r="J249" s="4">
        <v>2</v>
      </c>
      <c r="K249" s="84">
        <v>49.63</v>
      </c>
      <c r="L249" s="4">
        <f t="shared" si="19"/>
        <v>-1</v>
      </c>
      <c r="M249" s="85">
        <f t="shared" si="20"/>
        <v>-24.92</v>
      </c>
      <c r="N249" s="7">
        <f t="shared" si="21"/>
        <v>-0.50211565585331452</v>
      </c>
    </row>
    <row r="250" spans="1:14" x14ac:dyDescent="0.25">
      <c r="A250" s="4" t="s">
        <v>75</v>
      </c>
      <c r="B250" s="5" t="s">
        <v>74</v>
      </c>
      <c r="C250" s="4">
        <v>3</v>
      </c>
      <c r="D250" s="84">
        <v>76.64</v>
      </c>
      <c r="E250" s="4">
        <v>0</v>
      </c>
      <c r="F250" s="84">
        <v>0</v>
      </c>
      <c r="G250" s="6">
        <f t="shared" si="23"/>
        <v>0</v>
      </c>
      <c r="H250" s="4">
        <v>3</v>
      </c>
      <c r="I250" s="84">
        <v>76.64</v>
      </c>
      <c r="J250" s="4">
        <v>2</v>
      </c>
      <c r="K250" s="84">
        <v>49.42</v>
      </c>
      <c r="L250" s="4">
        <f t="shared" si="19"/>
        <v>1</v>
      </c>
      <c r="M250" s="85">
        <f t="shared" si="20"/>
        <v>27.22</v>
      </c>
      <c r="N250" s="7">
        <f t="shared" si="21"/>
        <v>0.55078915418858754</v>
      </c>
    </row>
    <row r="251" spans="1:14" x14ac:dyDescent="0.25">
      <c r="A251" s="4" t="s">
        <v>767</v>
      </c>
      <c r="B251" s="5" t="s">
        <v>768</v>
      </c>
      <c r="C251" s="4">
        <v>0</v>
      </c>
      <c r="D251" s="84">
        <v>0</v>
      </c>
      <c r="E251" s="4">
        <v>0</v>
      </c>
      <c r="F251" s="84">
        <v>0</v>
      </c>
      <c r="G251" s="6"/>
      <c r="H251" s="4">
        <v>0</v>
      </c>
      <c r="I251" s="84">
        <v>0</v>
      </c>
      <c r="J251" s="4">
        <v>2</v>
      </c>
      <c r="K251" s="84">
        <v>49.02</v>
      </c>
      <c r="L251" s="4">
        <f t="shared" si="19"/>
        <v>-2</v>
      </c>
      <c r="M251" s="85">
        <f t="shared" si="20"/>
        <v>-49.02</v>
      </c>
      <c r="N251" s="7">
        <f t="shared" si="21"/>
        <v>-1</v>
      </c>
    </row>
    <row r="252" spans="1:14" x14ac:dyDescent="0.25">
      <c r="A252" s="4" t="s">
        <v>684</v>
      </c>
      <c r="B252" s="5" t="s">
        <v>685</v>
      </c>
      <c r="C252" s="4">
        <v>0</v>
      </c>
      <c r="D252" s="84">
        <v>0</v>
      </c>
      <c r="E252" s="4">
        <v>0</v>
      </c>
      <c r="F252" s="84">
        <v>0</v>
      </c>
      <c r="G252" s="6"/>
      <c r="H252" s="4">
        <v>0</v>
      </c>
      <c r="I252" s="84">
        <v>0</v>
      </c>
      <c r="J252" s="4">
        <v>1</v>
      </c>
      <c r="K252" s="84">
        <v>47.98</v>
      </c>
      <c r="L252" s="4">
        <f t="shared" si="19"/>
        <v>-1</v>
      </c>
      <c r="M252" s="85">
        <f t="shared" si="20"/>
        <v>-47.98</v>
      </c>
      <c r="N252" s="7">
        <f t="shared" si="21"/>
        <v>-1</v>
      </c>
    </row>
    <row r="253" spans="1:14" x14ac:dyDescent="0.25">
      <c r="A253" s="4" t="s">
        <v>263</v>
      </c>
      <c r="B253" s="5" t="s">
        <v>262</v>
      </c>
      <c r="C253" s="4">
        <v>4</v>
      </c>
      <c r="D253" s="84">
        <v>70.400000000000006</v>
      </c>
      <c r="E253" s="4">
        <v>0</v>
      </c>
      <c r="F253" s="84">
        <v>0</v>
      </c>
      <c r="G253" s="6">
        <f>F253/I253</f>
        <v>0</v>
      </c>
      <c r="H253" s="4">
        <v>4</v>
      </c>
      <c r="I253" s="84">
        <v>70.400000000000006</v>
      </c>
      <c r="J253" s="4">
        <v>4</v>
      </c>
      <c r="K253" s="84">
        <v>45.769999999999996</v>
      </c>
      <c r="L253" s="4">
        <f t="shared" si="19"/>
        <v>0</v>
      </c>
      <c r="M253" s="85">
        <f t="shared" si="20"/>
        <v>24.63000000000001</v>
      </c>
      <c r="N253" s="7">
        <f t="shared" si="21"/>
        <v>0.53812540965698086</v>
      </c>
    </row>
    <row r="254" spans="1:14" x14ac:dyDescent="0.25">
      <c r="A254" s="4" t="s">
        <v>666</v>
      </c>
      <c r="B254" s="5" t="s">
        <v>667</v>
      </c>
      <c r="C254" s="4">
        <v>0</v>
      </c>
      <c r="D254" s="84">
        <v>0</v>
      </c>
      <c r="E254" s="4">
        <v>0</v>
      </c>
      <c r="F254" s="84">
        <v>0</v>
      </c>
      <c r="G254" s="6"/>
      <c r="H254" s="4">
        <v>0</v>
      </c>
      <c r="I254" s="84">
        <v>0</v>
      </c>
      <c r="J254" s="4">
        <v>1</v>
      </c>
      <c r="K254" s="84">
        <v>44.57</v>
      </c>
      <c r="L254" s="4">
        <f t="shared" si="19"/>
        <v>-1</v>
      </c>
      <c r="M254" s="85">
        <f t="shared" si="20"/>
        <v>-44.57</v>
      </c>
      <c r="N254" s="7">
        <f t="shared" si="21"/>
        <v>-1</v>
      </c>
    </row>
    <row r="255" spans="1:14" x14ac:dyDescent="0.25">
      <c r="A255" s="4" t="s">
        <v>612</v>
      </c>
      <c r="B255" s="5" t="s">
        <v>613</v>
      </c>
      <c r="C255" s="4">
        <v>0</v>
      </c>
      <c r="D255" s="84">
        <v>0</v>
      </c>
      <c r="E255" s="4">
        <v>0</v>
      </c>
      <c r="F255" s="84">
        <v>0</v>
      </c>
      <c r="G255" s="6"/>
      <c r="H255" s="4">
        <v>0</v>
      </c>
      <c r="I255" s="84">
        <v>0</v>
      </c>
      <c r="J255" s="4">
        <v>2</v>
      </c>
      <c r="K255" s="84">
        <v>43.21</v>
      </c>
      <c r="L255" s="4">
        <f t="shared" si="19"/>
        <v>-2</v>
      </c>
      <c r="M255" s="85">
        <f t="shared" si="20"/>
        <v>-43.21</v>
      </c>
      <c r="N255" s="7">
        <f t="shared" si="21"/>
        <v>-1</v>
      </c>
    </row>
    <row r="256" spans="1:14" x14ac:dyDescent="0.25">
      <c r="A256" s="4" t="s">
        <v>724</v>
      </c>
      <c r="B256" s="5" t="s">
        <v>725</v>
      </c>
      <c r="C256" s="4">
        <v>0</v>
      </c>
      <c r="D256" s="84">
        <v>0</v>
      </c>
      <c r="E256" s="4">
        <v>0</v>
      </c>
      <c r="F256" s="84">
        <v>0</v>
      </c>
      <c r="G256" s="6"/>
      <c r="H256" s="4">
        <v>0</v>
      </c>
      <c r="I256" s="84">
        <v>0</v>
      </c>
      <c r="J256" s="4">
        <v>1</v>
      </c>
      <c r="K256" s="84">
        <v>40.94</v>
      </c>
      <c r="L256" s="4">
        <f t="shared" si="19"/>
        <v>-1</v>
      </c>
      <c r="M256" s="85">
        <f t="shared" si="20"/>
        <v>-40.94</v>
      </c>
      <c r="N256" s="7">
        <f t="shared" si="21"/>
        <v>-1</v>
      </c>
    </row>
    <row r="257" spans="1:14" x14ac:dyDescent="0.25">
      <c r="A257" s="4" t="s">
        <v>702</v>
      </c>
      <c r="B257" s="5" t="s">
        <v>703</v>
      </c>
      <c r="C257" s="4">
        <v>2</v>
      </c>
      <c r="D257" s="84">
        <v>61.62</v>
      </c>
      <c r="E257" s="4">
        <v>0</v>
      </c>
      <c r="F257" s="84">
        <v>0</v>
      </c>
      <c r="G257" s="6">
        <f>F257/I257</f>
        <v>0</v>
      </c>
      <c r="H257" s="4">
        <v>2</v>
      </c>
      <c r="I257" s="84">
        <v>61.62</v>
      </c>
      <c r="J257" s="4">
        <v>1</v>
      </c>
      <c r="K257" s="84">
        <v>40.85</v>
      </c>
      <c r="L257" s="4">
        <f t="shared" si="19"/>
        <v>1</v>
      </c>
      <c r="M257" s="85">
        <f t="shared" si="20"/>
        <v>20.769999999999996</v>
      </c>
      <c r="N257" s="7">
        <f t="shared" si="21"/>
        <v>0.50844553243574042</v>
      </c>
    </row>
    <row r="258" spans="1:14" x14ac:dyDescent="0.25">
      <c r="A258" s="4" t="s">
        <v>672</v>
      </c>
      <c r="B258" s="5" t="s">
        <v>673</v>
      </c>
      <c r="C258" s="4">
        <v>0</v>
      </c>
      <c r="D258" s="84">
        <v>0</v>
      </c>
      <c r="E258" s="4">
        <v>0</v>
      </c>
      <c r="F258" s="84">
        <v>0</v>
      </c>
      <c r="G258" s="6"/>
      <c r="H258" s="4">
        <v>0</v>
      </c>
      <c r="I258" s="84">
        <v>0</v>
      </c>
      <c r="J258" s="4">
        <v>2</v>
      </c>
      <c r="K258" s="84">
        <v>40.74</v>
      </c>
      <c r="L258" s="4">
        <f t="shared" ref="L258:L321" si="24">H258-J258</f>
        <v>-2</v>
      </c>
      <c r="M258" s="85">
        <f t="shared" ref="M258:M321" si="25">I258-K258</f>
        <v>-40.74</v>
      </c>
      <c r="N258" s="7">
        <f t="shared" si="21"/>
        <v>-1</v>
      </c>
    </row>
    <row r="259" spans="1:14" x14ac:dyDescent="0.25">
      <c r="A259" s="4" t="s">
        <v>359</v>
      </c>
      <c r="B259" s="5" t="s">
        <v>358</v>
      </c>
      <c r="C259" s="4">
        <v>7</v>
      </c>
      <c r="D259" s="84">
        <v>247.94</v>
      </c>
      <c r="E259" s="4">
        <v>0</v>
      </c>
      <c r="F259" s="84">
        <v>0</v>
      </c>
      <c r="G259" s="6">
        <f t="shared" ref="G259:G264" si="26">F259/I259</f>
        <v>0</v>
      </c>
      <c r="H259" s="4">
        <v>7</v>
      </c>
      <c r="I259" s="84">
        <v>247.94</v>
      </c>
      <c r="J259" s="4">
        <v>2</v>
      </c>
      <c r="K259" s="84">
        <v>38.61</v>
      </c>
      <c r="L259" s="4">
        <f t="shared" si="24"/>
        <v>5</v>
      </c>
      <c r="M259" s="85">
        <f t="shared" si="25"/>
        <v>209.32999999999998</v>
      </c>
      <c r="N259" s="7">
        <f t="shared" ref="N259:N322" si="27">M259/ABS(K259)</f>
        <v>5.4216524216524213</v>
      </c>
    </row>
    <row r="260" spans="1:14" x14ac:dyDescent="0.25">
      <c r="A260" s="4" t="s">
        <v>179</v>
      </c>
      <c r="B260" s="5" t="s">
        <v>178</v>
      </c>
      <c r="C260" s="4">
        <v>10</v>
      </c>
      <c r="D260" s="84">
        <v>330.9</v>
      </c>
      <c r="E260" s="4">
        <v>0</v>
      </c>
      <c r="F260" s="84">
        <v>0</v>
      </c>
      <c r="G260" s="6">
        <f t="shared" si="26"/>
        <v>0</v>
      </c>
      <c r="H260" s="4">
        <v>10</v>
      </c>
      <c r="I260" s="84">
        <v>330.9</v>
      </c>
      <c r="J260" s="4">
        <v>1</v>
      </c>
      <c r="K260" s="84">
        <v>37.03</v>
      </c>
      <c r="L260" s="4">
        <f t="shared" si="24"/>
        <v>9</v>
      </c>
      <c r="M260" s="85">
        <f t="shared" si="25"/>
        <v>293.87</v>
      </c>
      <c r="N260" s="7">
        <f t="shared" si="27"/>
        <v>7.9359978395895219</v>
      </c>
    </row>
    <row r="261" spans="1:14" x14ac:dyDescent="0.25">
      <c r="A261" s="4" t="s">
        <v>97</v>
      </c>
      <c r="B261" s="5" t="s">
        <v>96</v>
      </c>
      <c r="C261" s="4">
        <v>2</v>
      </c>
      <c r="D261" s="84">
        <v>111.24</v>
      </c>
      <c r="E261" s="4">
        <v>0</v>
      </c>
      <c r="F261" s="84">
        <v>0</v>
      </c>
      <c r="G261" s="6">
        <f t="shared" si="26"/>
        <v>0</v>
      </c>
      <c r="H261" s="4">
        <v>2</v>
      </c>
      <c r="I261" s="84">
        <v>111.24</v>
      </c>
      <c r="J261" s="4">
        <v>1</v>
      </c>
      <c r="K261" s="84">
        <v>36.46</v>
      </c>
      <c r="L261" s="4">
        <f t="shared" si="24"/>
        <v>1</v>
      </c>
      <c r="M261" s="85">
        <f t="shared" si="25"/>
        <v>74.78</v>
      </c>
      <c r="N261" s="7">
        <f t="shared" si="27"/>
        <v>2.0510148107515085</v>
      </c>
    </row>
    <row r="262" spans="1:14" x14ac:dyDescent="0.25">
      <c r="A262" s="4" t="s">
        <v>91</v>
      </c>
      <c r="B262" s="5" t="s">
        <v>90</v>
      </c>
      <c r="C262" s="4">
        <v>20</v>
      </c>
      <c r="D262" s="84">
        <v>462.66</v>
      </c>
      <c r="E262" s="4">
        <v>0</v>
      </c>
      <c r="F262" s="84">
        <v>0</v>
      </c>
      <c r="G262" s="6">
        <f t="shared" si="26"/>
        <v>0</v>
      </c>
      <c r="H262" s="4">
        <v>20</v>
      </c>
      <c r="I262" s="84">
        <v>462.66</v>
      </c>
      <c r="J262" s="4">
        <v>2</v>
      </c>
      <c r="K262" s="84">
        <v>34.89</v>
      </c>
      <c r="L262" s="4">
        <f t="shared" si="24"/>
        <v>18</v>
      </c>
      <c r="M262" s="85">
        <f t="shared" si="25"/>
        <v>427.77000000000004</v>
      </c>
      <c r="N262" s="7">
        <f t="shared" si="27"/>
        <v>12.260533104041274</v>
      </c>
    </row>
    <row r="263" spans="1:14" x14ac:dyDescent="0.25">
      <c r="A263" s="4" t="s">
        <v>95</v>
      </c>
      <c r="B263" s="5" t="s">
        <v>94</v>
      </c>
      <c r="C263" s="4">
        <v>3</v>
      </c>
      <c r="D263" s="84">
        <v>86.9</v>
      </c>
      <c r="E263" s="3">
        <v>0</v>
      </c>
      <c r="F263" s="84">
        <v>0</v>
      </c>
      <c r="G263" s="6">
        <f t="shared" si="26"/>
        <v>0</v>
      </c>
      <c r="H263" s="4">
        <v>3</v>
      </c>
      <c r="I263" s="84">
        <v>86.9</v>
      </c>
      <c r="J263" s="4">
        <v>1</v>
      </c>
      <c r="K263" s="84">
        <v>33.5</v>
      </c>
      <c r="L263" s="4">
        <f t="shared" si="24"/>
        <v>2</v>
      </c>
      <c r="M263" s="85">
        <f t="shared" si="25"/>
        <v>53.400000000000006</v>
      </c>
      <c r="N263" s="7">
        <f t="shared" si="27"/>
        <v>1.5940298507462689</v>
      </c>
    </row>
    <row r="264" spans="1:14" x14ac:dyDescent="0.25">
      <c r="A264" s="4" t="s">
        <v>13</v>
      </c>
      <c r="B264" s="5" t="s">
        <v>12</v>
      </c>
      <c r="C264" s="4">
        <v>2</v>
      </c>
      <c r="D264" s="84">
        <v>10.06</v>
      </c>
      <c r="E264" s="3">
        <v>0</v>
      </c>
      <c r="F264" s="84">
        <v>0</v>
      </c>
      <c r="G264" s="6">
        <f t="shared" si="26"/>
        <v>0</v>
      </c>
      <c r="H264" s="4">
        <v>2</v>
      </c>
      <c r="I264" s="84">
        <v>10.06</v>
      </c>
      <c r="J264" s="4">
        <v>4</v>
      </c>
      <c r="K264" s="84">
        <v>33.15</v>
      </c>
      <c r="L264" s="4">
        <f t="shared" si="24"/>
        <v>-2</v>
      </c>
      <c r="M264" s="85">
        <f t="shared" si="25"/>
        <v>-23.089999999999996</v>
      </c>
      <c r="N264" s="7">
        <f t="shared" si="27"/>
        <v>-0.69653092006033179</v>
      </c>
    </row>
    <row r="265" spans="1:14" x14ac:dyDescent="0.25">
      <c r="A265" s="4" t="s">
        <v>658</v>
      </c>
      <c r="B265" s="5" t="s">
        <v>659</v>
      </c>
      <c r="C265" s="4">
        <v>0</v>
      </c>
      <c r="D265" s="84">
        <v>0</v>
      </c>
      <c r="E265" s="3">
        <v>0</v>
      </c>
      <c r="F265" s="84">
        <v>0</v>
      </c>
      <c r="G265" s="6"/>
      <c r="H265" s="4">
        <v>0</v>
      </c>
      <c r="I265" s="84">
        <v>0</v>
      </c>
      <c r="J265" s="4">
        <v>1</v>
      </c>
      <c r="K265" s="84">
        <v>32.979999999999997</v>
      </c>
      <c r="L265" s="4">
        <f t="shared" si="24"/>
        <v>-1</v>
      </c>
      <c r="M265" s="85">
        <f t="shared" si="25"/>
        <v>-32.979999999999997</v>
      </c>
      <c r="N265" s="7">
        <f t="shared" si="27"/>
        <v>-1</v>
      </c>
    </row>
    <row r="266" spans="1:14" x14ac:dyDescent="0.25">
      <c r="A266" s="4" t="s">
        <v>751</v>
      </c>
      <c r="B266" s="5" t="s">
        <v>752</v>
      </c>
      <c r="C266" s="4">
        <v>0</v>
      </c>
      <c r="D266" s="84">
        <v>0</v>
      </c>
      <c r="E266" s="3">
        <v>0</v>
      </c>
      <c r="F266" s="84">
        <v>0</v>
      </c>
      <c r="G266" s="6"/>
      <c r="H266" s="4">
        <v>0</v>
      </c>
      <c r="I266" s="84">
        <v>0</v>
      </c>
      <c r="J266" s="4">
        <v>1</v>
      </c>
      <c r="K266" s="84">
        <v>31.23</v>
      </c>
      <c r="L266" s="4">
        <f t="shared" si="24"/>
        <v>-1</v>
      </c>
      <c r="M266" s="85">
        <f t="shared" si="25"/>
        <v>-31.23</v>
      </c>
      <c r="N266" s="7">
        <f t="shared" si="27"/>
        <v>-1</v>
      </c>
    </row>
    <row r="267" spans="1:14" x14ac:dyDescent="0.25">
      <c r="A267" s="4" t="s">
        <v>664</v>
      </c>
      <c r="B267" s="5" t="s">
        <v>665</v>
      </c>
      <c r="C267" s="4">
        <v>0</v>
      </c>
      <c r="D267" s="84">
        <v>0</v>
      </c>
      <c r="E267" s="3">
        <v>0</v>
      </c>
      <c r="F267" s="84">
        <v>0</v>
      </c>
      <c r="G267" s="6"/>
      <c r="H267" s="4">
        <v>0</v>
      </c>
      <c r="I267" s="84">
        <v>0</v>
      </c>
      <c r="J267" s="4">
        <v>1</v>
      </c>
      <c r="K267" s="84">
        <v>28.84</v>
      </c>
      <c r="L267" s="4">
        <f t="shared" si="24"/>
        <v>-1</v>
      </c>
      <c r="M267" s="85">
        <f t="shared" si="25"/>
        <v>-28.84</v>
      </c>
      <c r="N267" s="7">
        <f t="shared" si="27"/>
        <v>-1</v>
      </c>
    </row>
    <row r="268" spans="1:14" x14ac:dyDescent="0.25">
      <c r="A268" s="4" t="s">
        <v>706</v>
      </c>
      <c r="B268" s="5" t="s">
        <v>707</v>
      </c>
      <c r="C268" s="4">
        <v>0</v>
      </c>
      <c r="D268" s="84">
        <v>0</v>
      </c>
      <c r="E268" s="3">
        <v>0</v>
      </c>
      <c r="F268" s="84">
        <v>0</v>
      </c>
      <c r="G268" s="6"/>
      <c r="H268" s="4">
        <v>0</v>
      </c>
      <c r="I268" s="84">
        <v>0</v>
      </c>
      <c r="J268" s="4">
        <v>7</v>
      </c>
      <c r="K268" s="84">
        <v>28.66</v>
      </c>
      <c r="L268" s="4">
        <f t="shared" si="24"/>
        <v>-7</v>
      </c>
      <c r="M268" s="85">
        <f t="shared" si="25"/>
        <v>-28.66</v>
      </c>
      <c r="N268" s="7">
        <f t="shared" si="27"/>
        <v>-1</v>
      </c>
    </row>
    <row r="269" spans="1:14" x14ac:dyDescent="0.25">
      <c r="A269" s="4" t="s">
        <v>576</v>
      </c>
      <c r="B269" s="5" t="s">
        <v>577</v>
      </c>
      <c r="C269" s="4">
        <v>1</v>
      </c>
      <c r="D269" s="84">
        <v>41.24</v>
      </c>
      <c r="E269" s="3">
        <v>0</v>
      </c>
      <c r="F269" s="84">
        <v>0</v>
      </c>
      <c r="G269" s="6">
        <f>F269/I269</f>
        <v>0</v>
      </c>
      <c r="H269" s="4">
        <v>1</v>
      </c>
      <c r="I269" s="84">
        <v>41.24</v>
      </c>
      <c r="J269" s="4">
        <v>1</v>
      </c>
      <c r="K269" s="84">
        <v>28.03</v>
      </c>
      <c r="L269" s="4">
        <f t="shared" si="24"/>
        <v>0</v>
      </c>
      <c r="M269" s="85">
        <f t="shared" si="25"/>
        <v>13.21</v>
      </c>
      <c r="N269" s="7">
        <f t="shared" si="27"/>
        <v>0.47128077060292545</v>
      </c>
    </row>
    <row r="270" spans="1:14" x14ac:dyDescent="0.25">
      <c r="A270" s="4" t="s">
        <v>598</v>
      </c>
      <c r="B270" s="5" t="s">
        <v>599</v>
      </c>
      <c r="C270" s="4">
        <v>0</v>
      </c>
      <c r="D270" s="84">
        <v>0</v>
      </c>
      <c r="E270" s="3">
        <v>0</v>
      </c>
      <c r="F270" s="84">
        <v>0</v>
      </c>
      <c r="G270" s="6"/>
      <c r="H270" s="4">
        <v>0</v>
      </c>
      <c r="I270" s="84">
        <v>0</v>
      </c>
      <c r="J270" s="4">
        <v>1</v>
      </c>
      <c r="K270" s="84">
        <v>27.93</v>
      </c>
      <c r="L270" s="4">
        <f t="shared" si="24"/>
        <v>-1</v>
      </c>
      <c r="M270" s="85">
        <f t="shared" si="25"/>
        <v>-27.93</v>
      </c>
      <c r="N270" s="7">
        <f t="shared" si="27"/>
        <v>-1</v>
      </c>
    </row>
    <row r="271" spans="1:14" x14ac:dyDescent="0.25">
      <c r="A271" s="4" t="s">
        <v>686</v>
      </c>
      <c r="B271" s="5" t="s">
        <v>687</v>
      </c>
      <c r="C271" s="4">
        <v>0</v>
      </c>
      <c r="D271" s="84">
        <v>0</v>
      </c>
      <c r="E271" s="3">
        <v>0</v>
      </c>
      <c r="F271" s="84">
        <v>0</v>
      </c>
      <c r="G271" s="6"/>
      <c r="H271" s="4">
        <v>0</v>
      </c>
      <c r="I271" s="84">
        <v>0</v>
      </c>
      <c r="J271" s="4">
        <v>1</v>
      </c>
      <c r="K271" s="84">
        <v>25.13</v>
      </c>
      <c r="L271" s="4">
        <f t="shared" si="24"/>
        <v>-1</v>
      </c>
      <c r="M271" s="85">
        <f t="shared" si="25"/>
        <v>-25.13</v>
      </c>
      <c r="N271" s="7">
        <f t="shared" si="27"/>
        <v>-1</v>
      </c>
    </row>
    <row r="272" spans="1:14" x14ac:dyDescent="0.25">
      <c r="A272" s="4" t="s">
        <v>777</v>
      </c>
      <c r="B272" s="5" t="s">
        <v>778</v>
      </c>
      <c r="C272" s="4">
        <v>0</v>
      </c>
      <c r="D272" s="84">
        <v>0</v>
      </c>
      <c r="E272" s="3">
        <v>0</v>
      </c>
      <c r="F272" s="84">
        <v>0</v>
      </c>
      <c r="G272" s="6"/>
      <c r="H272" s="4">
        <v>0</v>
      </c>
      <c r="I272" s="84">
        <v>0</v>
      </c>
      <c r="J272" s="4">
        <v>1</v>
      </c>
      <c r="K272" s="84">
        <v>24.92</v>
      </c>
      <c r="L272" s="4">
        <f t="shared" si="24"/>
        <v>-1</v>
      </c>
      <c r="M272" s="85">
        <f t="shared" si="25"/>
        <v>-24.92</v>
      </c>
      <c r="N272" s="7">
        <f t="shared" si="27"/>
        <v>-1</v>
      </c>
    </row>
    <row r="273" spans="1:14" x14ac:dyDescent="0.25">
      <c r="A273" s="4" t="s">
        <v>763</v>
      </c>
      <c r="B273" s="5" t="s">
        <v>764</v>
      </c>
      <c r="C273" s="4">
        <v>0</v>
      </c>
      <c r="D273" s="84">
        <v>0</v>
      </c>
      <c r="E273" s="3">
        <v>0</v>
      </c>
      <c r="F273" s="84">
        <v>0</v>
      </c>
      <c r="G273" s="6"/>
      <c r="H273" s="4">
        <v>0</v>
      </c>
      <c r="I273" s="84">
        <v>0</v>
      </c>
      <c r="J273" s="4">
        <v>2</v>
      </c>
      <c r="K273" s="84">
        <v>23.6</v>
      </c>
      <c r="L273" s="4">
        <f t="shared" si="24"/>
        <v>-2</v>
      </c>
      <c r="M273" s="85">
        <f t="shared" si="25"/>
        <v>-23.6</v>
      </c>
      <c r="N273" s="7">
        <f t="shared" si="27"/>
        <v>-1</v>
      </c>
    </row>
    <row r="274" spans="1:14" x14ac:dyDescent="0.25">
      <c r="A274" s="4" t="s">
        <v>634</v>
      </c>
      <c r="B274" s="5" t="s">
        <v>635</v>
      </c>
      <c r="C274" s="4">
        <v>0</v>
      </c>
      <c r="D274" s="84">
        <v>0</v>
      </c>
      <c r="E274" s="3">
        <v>0</v>
      </c>
      <c r="F274" s="84">
        <v>0</v>
      </c>
      <c r="G274" s="6"/>
      <c r="H274" s="4">
        <v>0</v>
      </c>
      <c r="I274" s="84">
        <v>0</v>
      </c>
      <c r="J274" s="4">
        <v>1</v>
      </c>
      <c r="K274" s="84">
        <v>22.42</v>
      </c>
      <c r="L274" s="4">
        <f t="shared" si="24"/>
        <v>-1</v>
      </c>
      <c r="M274" s="85">
        <f t="shared" si="25"/>
        <v>-22.42</v>
      </c>
      <c r="N274" s="7">
        <f t="shared" si="27"/>
        <v>-1</v>
      </c>
    </row>
    <row r="275" spans="1:14" x14ac:dyDescent="0.25">
      <c r="A275" s="4" t="s">
        <v>305</v>
      </c>
      <c r="B275" s="5" t="s">
        <v>304</v>
      </c>
      <c r="C275" s="4">
        <v>16</v>
      </c>
      <c r="D275" s="84">
        <v>68.13</v>
      </c>
      <c r="E275" s="4">
        <v>0</v>
      </c>
      <c r="F275" s="84">
        <v>0</v>
      </c>
      <c r="G275" s="6">
        <f>F275/I275</f>
        <v>0</v>
      </c>
      <c r="H275" s="4">
        <v>16</v>
      </c>
      <c r="I275" s="84">
        <v>68.13</v>
      </c>
      <c r="J275" s="4">
        <v>2</v>
      </c>
      <c r="K275" s="84">
        <v>22.380000000000003</v>
      </c>
      <c r="L275" s="4">
        <f t="shared" si="24"/>
        <v>14</v>
      </c>
      <c r="M275" s="85">
        <f t="shared" si="25"/>
        <v>45.749999999999993</v>
      </c>
      <c r="N275" s="7">
        <f t="shared" si="27"/>
        <v>2.0442359249329751</v>
      </c>
    </row>
    <row r="276" spans="1:14" x14ac:dyDescent="0.25">
      <c r="A276" s="4" t="s">
        <v>638</v>
      </c>
      <c r="B276" s="5" t="s">
        <v>639</v>
      </c>
      <c r="C276" s="4">
        <v>0</v>
      </c>
      <c r="D276" s="84">
        <v>0</v>
      </c>
      <c r="E276" s="4">
        <v>0</v>
      </c>
      <c r="F276" s="84">
        <v>0</v>
      </c>
      <c r="G276" s="6"/>
      <c r="H276" s="4">
        <v>0</v>
      </c>
      <c r="I276" s="84">
        <v>0</v>
      </c>
      <c r="J276" s="4">
        <v>1</v>
      </c>
      <c r="K276" s="84">
        <v>21.51</v>
      </c>
      <c r="L276" s="4">
        <f t="shared" si="24"/>
        <v>-1</v>
      </c>
      <c r="M276" s="85">
        <f t="shared" si="25"/>
        <v>-21.51</v>
      </c>
      <c r="N276" s="7">
        <f t="shared" si="27"/>
        <v>-1</v>
      </c>
    </row>
    <row r="277" spans="1:14" x14ac:dyDescent="0.25">
      <c r="A277" s="4" t="s">
        <v>652</v>
      </c>
      <c r="B277" s="5" t="s">
        <v>653</v>
      </c>
      <c r="C277" s="4">
        <v>0</v>
      </c>
      <c r="D277" s="84">
        <v>0</v>
      </c>
      <c r="E277" s="4">
        <v>0</v>
      </c>
      <c r="F277" s="84">
        <v>0</v>
      </c>
      <c r="G277" s="6"/>
      <c r="H277" s="4">
        <v>0</v>
      </c>
      <c r="I277" s="84">
        <v>0</v>
      </c>
      <c r="J277" s="4">
        <v>1</v>
      </c>
      <c r="K277" s="84">
        <v>20.41</v>
      </c>
      <c r="L277" s="4">
        <f t="shared" si="24"/>
        <v>-1</v>
      </c>
      <c r="M277" s="85">
        <f t="shared" si="25"/>
        <v>-20.41</v>
      </c>
      <c r="N277" s="7">
        <f t="shared" si="27"/>
        <v>-1</v>
      </c>
    </row>
    <row r="278" spans="1:14" x14ac:dyDescent="0.25">
      <c r="A278" s="4" t="s">
        <v>614</v>
      </c>
      <c r="B278" s="5" t="s">
        <v>615</v>
      </c>
      <c r="C278" s="4">
        <v>0</v>
      </c>
      <c r="D278" s="84">
        <v>0</v>
      </c>
      <c r="E278" s="4">
        <v>0</v>
      </c>
      <c r="F278" s="84">
        <v>0</v>
      </c>
      <c r="G278" s="6"/>
      <c r="H278" s="4">
        <v>0</v>
      </c>
      <c r="I278" s="84">
        <v>0</v>
      </c>
      <c r="J278" s="4">
        <v>1</v>
      </c>
      <c r="K278" s="84">
        <v>18.93</v>
      </c>
      <c r="L278" s="4">
        <f t="shared" si="24"/>
        <v>-1</v>
      </c>
      <c r="M278" s="85">
        <f t="shared" si="25"/>
        <v>-18.93</v>
      </c>
      <c r="N278" s="7">
        <f t="shared" si="27"/>
        <v>-1</v>
      </c>
    </row>
    <row r="279" spans="1:14" x14ac:dyDescent="0.25">
      <c r="A279" s="4" t="s">
        <v>620</v>
      </c>
      <c r="B279" s="5" t="s">
        <v>621</v>
      </c>
      <c r="C279" s="4">
        <v>0</v>
      </c>
      <c r="D279" s="84">
        <v>0</v>
      </c>
      <c r="E279" s="4">
        <v>0</v>
      </c>
      <c r="F279" s="84">
        <v>0</v>
      </c>
      <c r="G279" s="6"/>
      <c r="H279" s="4">
        <v>0</v>
      </c>
      <c r="I279" s="84">
        <v>0</v>
      </c>
      <c r="J279" s="4">
        <v>1</v>
      </c>
      <c r="K279" s="84">
        <v>18.489999999999998</v>
      </c>
      <c r="L279" s="4">
        <f t="shared" si="24"/>
        <v>-1</v>
      </c>
      <c r="M279" s="85">
        <f t="shared" si="25"/>
        <v>-18.489999999999998</v>
      </c>
      <c r="N279" s="7">
        <f t="shared" si="27"/>
        <v>-1</v>
      </c>
    </row>
    <row r="280" spans="1:14" x14ac:dyDescent="0.25">
      <c r="A280" s="4" t="s">
        <v>582</v>
      </c>
      <c r="B280" s="5" t="s">
        <v>583</v>
      </c>
      <c r="C280" s="4">
        <v>0</v>
      </c>
      <c r="D280" s="84">
        <v>0</v>
      </c>
      <c r="E280" s="4">
        <v>0</v>
      </c>
      <c r="F280" s="84">
        <v>0</v>
      </c>
      <c r="G280" s="6"/>
      <c r="H280" s="4">
        <v>0</v>
      </c>
      <c r="I280" s="84">
        <v>0</v>
      </c>
      <c r="J280" s="4">
        <v>1</v>
      </c>
      <c r="K280" s="84">
        <v>17.07</v>
      </c>
      <c r="L280" s="4">
        <f t="shared" si="24"/>
        <v>-1</v>
      </c>
      <c r="M280" s="85">
        <f t="shared" si="25"/>
        <v>-17.07</v>
      </c>
      <c r="N280" s="7">
        <f t="shared" si="27"/>
        <v>-1</v>
      </c>
    </row>
    <row r="281" spans="1:14" x14ac:dyDescent="0.25">
      <c r="A281" s="4" t="s">
        <v>600</v>
      </c>
      <c r="B281" s="5" t="s">
        <v>601</v>
      </c>
      <c r="C281" s="4">
        <v>0</v>
      </c>
      <c r="D281" s="84">
        <v>0</v>
      </c>
      <c r="E281" s="4">
        <v>0</v>
      </c>
      <c r="F281" s="84">
        <v>0</v>
      </c>
      <c r="G281" s="6"/>
      <c r="H281" s="4">
        <v>0</v>
      </c>
      <c r="I281" s="84">
        <v>0</v>
      </c>
      <c r="J281" s="4">
        <v>1</v>
      </c>
      <c r="K281" s="84">
        <v>16.72</v>
      </c>
      <c r="L281" s="4">
        <f t="shared" si="24"/>
        <v>-1</v>
      </c>
      <c r="M281" s="85">
        <f t="shared" si="25"/>
        <v>-16.72</v>
      </c>
      <c r="N281" s="7">
        <f t="shared" si="27"/>
        <v>-1</v>
      </c>
    </row>
    <row r="282" spans="1:14" x14ac:dyDescent="0.25">
      <c r="A282" s="4" t="s">
        <v>93</v>
      </c>
      <c r="B282" s="5" t="s">
        <v>92</v>
      </c>
      <c r="C282" s="4">
        <v>16</v>
      </c>
      <c r="D282" s="84">
        <v>71.180000000000007</v>
      </c>
      <c r="E282" s="4">
        <v>0</v>
      </c>
      <c r="F282" s="84">
        <v>0</v>
      </c>
      <c r="G282" s="6">
        <f>F282/I282</f>
        <v>0</v>
      </c>
      <c r="H282" s="4">
        <v>16</v>
      </c>
      <c r="I282" s="84">
        <v>71.180000000000007</v>
      </c>
      <c r="J282" s="4">
        <v>3</v>
      </c>
      <c r="K282" s="84">
        <v>13.57</v>
      </c>
      <c r="L282" s="4">
        <f t="shared" si="24"/>
        <v>13</v>
      </c>
      <c r="M282" s="85">
        <f t="shared" si="25"/>
        <v>57.610000000000007</v>
      </c>
      <c r="N282" s="7">
        <f t="shared" si="27"/>
        <v>4.2453942520265295</v>
      </c>
    </row>
    <row r="283" spans="1:14" x14ac:dyDescent="0.25">
      <c r="A283" s="4" t="s">
        <v>542</v>
      </c>
      <c r="B283" s="5" t="s">
        <v>541</v>
      </c>
      <c r="C283" s="4">
        <v>-2</v>
      </c>
      <c r="D283" s="84">
        <v>-10.24</v>
      </c>
      <c r="E283" s="4">
        <v>0</v>
      </c>
      <c r="F283" s="84">
        <v>0</v>
      </c>
      <c r="G283" s="6">
        <f>F283/I283</f>
        <v>0</v>
      </c>
      <c r="H283" s="4">
        <v>-2</v>
      </c>
      <c r="I283" s="84">
        <v>-10.24</v>
      </c>
      <c r="J283" s="4">
        <v>2</v>
      </c>
      <c r="K283" s="84">
        <v>13.36</v>
      </c>
      <c r="L283" s="4">
        <f t="shared" si="24"/>
        <v>-4</v>
      </c>
      <c r="M283" s="85">
        <f t="shared" si="25"/>
        <v>-23.6</v>
      </c>
      <c r="N283" s="7">
        <f t="shared" si="27"/>
        <v>-1.7664670658682637</v>
      </c>
    </row>
    <row r="284" spans="1:14" x14ac:dyDescent="0.25">
      <c r="A284" s="4" t="s">
        <v>628</v>
      </c>
      <c r="B284" s="5" t="s">
        <v>629</v>
      </c>
      <c r="C284" s="4">
        <v>0</v>
      </c>
      <c r="D284" s="84">
        <v>0</v>
      </c>
      <c r="E284" s="4">
        <v>0</v>
      </c>
      <c r="F284" s="84">
        <v>0</v>
      </c>
      <c r="G284" s="6"/>
      <c r="H284" s="4">
        <v>0</v>
      </c>
      <c r="I284" s="84">
        <v>0</v>
      </c>
      <c r="J284" s="4">
        <v>1</v>
      </c>
      <c r="K284" s="84">
        <v>13.06</v>
      </c>
      <c r="L284" s="4">
        <f t="shared" si="24"/>
        <v>-1</v>
      </c>
      <c r="M284" s="85">
        <f t="shared" si="25"/>
        <v>-13.06</v>
      </c>
      <c r="N284" s="7">
        <f t="shared" si="27"/>
        <v>-1</v>
      </c>
    </row>
    <row r="285" spans="1:14" x14ac:dyDescent="0.25">
      <c r="A285" s="4" t="s">
        <v>349</v>
      </c>
      <c r="B285" s="5" t="s">
        <v>348</v>
      </c>
      <c r="C285" s="4">
        <v>5</v>
      </c>
      <c r="D285" s="84">
        <v>42.49</v>
      </c>
      <c r="E285" s="4">
        <v>0</v>
      </c>
      <c r="F285" s="84">
        <v>0</v>
      </c>
      <c r="G285" s="6">
        <f>F285/I285</f>
        <v>0</v>
      </c>
      <c r="H285" s="4">
        <v>5</v>
      </c>
      <c r="I285" s="84">
        <v>42.49</v>
      </c>
      <c r="J285" s="4">
        <v>1</v>
      </c>
      <c r="K285" s="84">
        <v>11.83</v>
      </c>
      <c r="L285" s="4">
        <f t="shared" si="24"/>
        <v>4</v>
      </c>
      <c r="M285" s="85">
        <f t="shared" si="25"/>
        <v>30.660000000000004</v>
      </c>
      <c r="N285" s="7">
        <f t="shared" si="27"/>
        <v>2.5917159763313613</v>
      </c>
    </row>
    <row r="286" spans="1:14" x14ac:dyDescent="0.25">
      <c r="A286" s="4" t="s">
        <v>596</v>
      </c>
      <c r="B286" s="5" t="s">
        <v>597</v>
      </c>
      <c r="C286" s="4">
        <v>1</v>
      </c>
      <c r="D286" s="84">
        <v>16.309999999999999</v>
      </c>
      <c r="E286" s="4">
        <v>0</v>
      </c>
      <c r="F286" s="84">
        <v>0</v>
      </c>
      <c r="G286" s="6">
        <f>F286/I286</f>
        <v>0</v>
      </c>
      <c r="H286" s="4">
        <v>1</v>
      </c>
      <c r="I286" s="84">
        <v>16.309999999999999</v>
      </c>
      <c r="J286" s="4">
        <v>1</v>
      </c>
      <c r="K286" s="84">
        <v>11.82</v>
      </c>
      <c r="L286" s="4">
        <f t="shared" si="24"/>
        <v>0</v>
      </c>
      <c r="M286" s="85">
        <f t="shared" si="25"/>
        <v>4.4899999999999984</v>
      </c>
      <c r="N286" s="7">
        <f t="shared" si="27"/>
        <v>0.37986463620981376</v>
      </c>
    </row>
    <row r="287" spans="1:14" x14ac:dyDescent="0.25">
      <c r="A287" s="4" t="s">
        <v>29</v>
      </c>
      <c r="B287" s="5" t="s">
        <v>28</v>
      </c>
      <c r="C287" s="4">
        <v>4</v>
      </c>
      <c r="D287" s="84">
        <v>25.92</v>
      </c>
      <c r="E287" s="4">
        <v>0</v>
      </c>
      <c r="F287" s="84">
        <v>0</v>
      </c>
      <c r="G287" s="6">
        <f>F287/I287</f>
        <v>0</v>
      </c>
      <c r="H287" s="4">
        <v>4</v>
      </c>
      <c r="I287" s="84">
        <v>25.92</v>
      </c>
      <c r="J287" s="4">
        <v>3</v>
      </c>
      <c r="K287" s="84">
        <v>10.75</v>
      </c>
      <c r="L287" s="4">
        <f t="shared" si="24"/>
        <v>1</v>
      </c>
      <c r="M287" s="85">
        <f t="shared" si="25"/>
        <v>15.170000000000002</v>
      </c>
      <c r="N287" s="7">
        <f t="shared" si="27"/>
        <v>1.4111627906976745</v>
      </c>
    </row>
    <row r="288" spans="1:14" x14ac:dyDescent="0.25">
      <c r="A288" s="4" t="s">
        <v>486</v>
      </c>
      <c r="B288" s="5" t="s">
        <v>485</v>
      </c>
      <c r="C288" s="4">
        <v>0</v>
      </c>
      <c r="D288" s="84">
        <v>0</v>
      </c>
      <c r="E288" s="4">
        <v>0</v>
      </c>
      <c r="F288" s="84">
        <v>0</v>
      </c>
      <c r="G288" s="6"/>
      <c r="H288" s="4">
        <v>0</v>
      </c>
      <c r="I288" s="84">
        <v>0</v>
      </c>
      <c r="J288" s="4">
        <v>1</v>
      </c>
      <c r="K288" s="84">
        <v>9.86</v>
      </c>
      <c r="L288" s="4">
        <f t="shared" si="24"/>
        <v>-1</v>
      </c>
      <c r="M288" s="85">
        <f t="shared" si="25"/>
        <v>-9.86</v>
      </c>
      <c r="N288" s="7">
        <f t="shared" si="27"/>
        <v>-1</v>
      </c>
    </row>
    <row r="289" spans="1:14" x14ac:dyDescent="0.25">
      <c r="A289" s="4" t="s">
        <v>714</v>
      </c>
      <c r="B289" s="5" t="s">
        <v>715</v>
      </c>
      <c r="C289" s="4">
        <v>0</v>
      </c>
      <c r="D289" s="84">
        <v>0</v>
      </c>
      <c r="E289" s="4">
        <v>0</v>
      </c>
      <c r="F289" s="84">
        <v>0</v>
      </c>
      <c r="G289" s="6"/>
      <c r="H289" s="4">
        <v>0</v>
      </c>
      <c r="I289" s="84">
        <v>0</v>
      </c>
      <c r="J289" s="4">
        <v>1</v>
      </c>
      <c r="K289" s="84">
        <v>8.11</v>
      </c>
      <c r="L289" s="4">
        <f t="shared" si="24"/>
        <v>-1</v>
      </c>
      <c r="M289" s="85">
        <f t="shared" si="25"/>
        <v>-8.11</v>
      </c>
      <c r="N289" s="7">
        <f t="shared" si="27"/>
        <v>-1</v>
      </c>
    </row>
    <row r="290" spans="1:14" x14ac:dyDescent="0.25">
      <c r="A290" s="4" t="s">
        <v>155</v>
      </c>
      <c r="B290" s="5" t="s">
        <v>154</v>
      </c>
      <c r="C290" s="4">
        <v>5</v>
      </c>
      <c r="D290" s="84">
        <v>33.400000000000006</v>
      </c>
      <c r="E290" s="4">
        <v>0</v>
      </c>
      <c r="F290" s="84">
        <v>0</v>
      </c>
      <c r="G290" s="6">
        <f>F290/I290</f>
        <v>0</v>
      </c>
      <c r="H290" s="4">
        <v>5</v>
      </c>
      <c r="I290" s="84">
        <v>33.400000000000006</v>
      </c>
      <c r="J290" s="4">
        <v>1</v>
      </c>
      <c r="K290" s="84">
        <v>8.11</v>
      </c>
      <c r="L290" s="4">
        <f t="shared" si="24"/>
        <v>4</v>
      </c>
      <c r="M290" s="85">
        <f t="shared" si="25"/>
        <v>25.290000000000006</v>
      </c>
      <c r="N290" s="7">
        <f t="shared" si="27"/>
        <v>3.1183723797780529</v>
      </c>
    </row>
    <row r="291" spans="1:14" x14ac:dyDescent="0.25">
      <c r="A291" s="4" t="s">
        <v>315</v>
      </c>
      <c r="B291" s="5" t="s">
        <v>314</v>
      </c>
      <c r="C291" s="4">
        <v>42</v>
      </c>
      <c r="D291" s="84">
        <v>5.86</v>
      </c>
      <c r="E291" s="4">
        <v>0</v>
      </c>
      <c r="F291" s="84">
        <v>0</v>
      </c>
      <c r="G291" s="6">
        <f>F291/I291</f>
        <v>0</v>
      </c>
      <c r="H291" s="4">
        <v>42</v>
      </c>
      <c r="I291" s="84">
        <v>5.86</v>
      </c>
      <c r="J291" s="4">
        <v>2</v>
      </c>
      <c r="K291" s="84">
        <v>8.0399999999999991</v>
      </c>
      <c r="L291" s="4">
        <f t="shared" si="24"/>
        <v>40</v>
      </c>
      <c r="M291" s="85">
        <f t="shared" si="25"/>
        <v>-2.1799999999999988</v>
      </c>
      <c r="N291" s="7">
        <f t="shared" si="27"/>
        <v>-0.27114427860696505</v>
      </c>
    </row>
    <row r="292" spans="1:14" x14ac:dyDescent="0.25">
      <c r="A292" s="4" t="s">
        <v>718</v>
      </c>
      <c r="B292" s="5" t="s">
        <v>719</v>
      </c>
      <c r="C292" s="4">
        <v>0</v>
      </c>
      <c r="D292" s="84">
        <v>0</v>
      </c>
      <c r="E292" s="4">
        <v>0</v>
      </c>
      <c r="F292" s="84">
        <v>0</v>
      </c>
      <c r="G292" s="6"/>
      <c r="H292" s="4">
        <v>0</v>
      </c>
      <c r="I292" s="84">
        <v>0</v>
      </c>
      <c r="J292" s="4">
        <v>1</v>
      </c>
      <c r="K292" s="84">
        <v>7.86</v>
      </c>
      <c r="L292" s="4">
        <f t="shared" si="24"/>
        <v>-1</v>
      </c>
      <c r="M292" s="85">
        <f t="shared" si="25"/>
        <v>-7.86</v>
      </c>
      <c r="N292" s="7">
        <f t="shared" si="27"/>
        <v>-1</v>
      </c>
    </row>
    <row r="293" spans="1:14" x14ac:dyDescent="0.25">
      <c r="A293" s="4" t="s">
        <v>753</v>
      </c>
      <c r="B293" s="5" t="s">
        <v>754</v>
      </c>
      <c r="C293" s="4">
        <v>0</v>
      </c>
      <c r="D293" s="84">
        <v>0</v>
      </c>
      <c r="E293" s="4">
        <v>0</v>
      </c>
      <c r="F293" s="84">
        <v>0</v>
      </c>
      <c r="G293" s="6"/>
      <c r="H293" s="4">
        <v>0</v>
      </c>
      <c r="I293" s="84">
        <v>0</v>
      </c>
      <c r="J293" s="4">
        <v>1</v>
      </c>
      <c r="K293" s="84">
        <v>5.54</v>
      </c>
      <c r="L293" s="4">
        <f t="shared" si="24"/>
        <v>-1</v>
      </c>
      <c r="M293" s="85">
        <f t="shared" si="25"/>
        <v>-5.54</v>
      </c>
      <c r="N293" s="7">
        <f t="shared" si="27"/>
        <v>-1</v>
      </c>
    </row>
    <row r="294" spans="1:14" x14ac:dyDescent="0.25">
      <c r="A294" s="4" t="s">
        <v>670</v>
      </c>
      <c r="B294" s="5" t="s">
        <v>671</v>
      </c>
      <c r="C294" s="4">
        <v>0</v>
      </c>
      <c r="D294" s="84">
        <v>0</v>
      </c>
      <c r="E294" s="4">
        <v>0</v>
      </c>
      <c r="F294" s="84">
        <v>0</v>
      </c>
      <c r="G294" s="6"/>
      <c r="H294" s="4">
        <v>0</v>
      </c>
      <c r="I294" s="84">
        <v>0</v>
      </c>
      <c r="J294" s="4">
        <v>0</v>
      </c>
      <c r="K294" s="84">
        <v>7.0000000000000284E-2</v>
      </c>
      <c r="L294" s="4">
        <f t="shared" si="24"/>
        <v>0</v>
      </c>
      <c r="M294" s="85">
        <f t="shared" si="25"/>
        <v>-7.0000000000000284E-2</v>
      </c>
      <c r="N294" s="7">
        <f t="shared" si="27"/>
        <v>-1</v>
      </c>
    </row>
    <row r="295" spans="1:14" x14ac:dyDescent="0.25">
      <c r="A295" s="4" t="s">
        <v>700</v>
      </c>
      <c r="B295" s="5" t="s">
        <v>701</v>
      </c>
      <c r="C295" s="4">
        <v>-1</v>
      </c>
      <c r="D295" s="84">
        <v>-32.700000000000003</v>
      </c>
      <c r="E295" s="4">
        <v>0</v>
      </c>
      <c r="F295" s="84">
        <v>0</v>
      </c>
      <c r="G295" s="6">
        <f>F295/I295</f>
        <v>0</v>
      </c>
      <c r="H295" s="4">
        <v>-1</v>
      </c>
      <c r="I295" s="84">
        <v>-32.700000000000003</v>
      </c>
      <c r="J295" s="4">
        <v>0</v>
      </c>
      <c r="K295" s="84">
        <v>0</v>
      </c>
      <c r="L295" s="4">
        <f t="shared" si="24"/>
        <v>-1</v>
      </c>
      <c r="M295" s="85">
        <f t="shared" si="25"/>
        <v>-32.700000000000003</v>
      </c>
      <c r="N295" s="7"/>
    </row>
    <row r="296" spans="1:14" x14ac:dyDescent="0.25">
      <c r="A296" s="4" t="s">
        <v>678</v>
      </c>
      <c r="B296" s="5" t="s">
        <v>679</v>
      </c>
      <c r="C296" s="4">
        <v>-1</v>
      </c>
      <c r="D296" s="84">
        <v>-4.3600000000000003</v>
      </c>
      <c r="E296" s="4">
        <v>0</v>
      </c>
      <c r="F296" s="84">
        <v>0</v>
      </c>
      <c r="G296" s="6">
        <f>F296/I296</f>
        <v>0</v>
      </c>
      <c r="H296" s="4">
        <v>-1</v>
      </c>
      <c r="I296" s="84">
        <v>-4.3600000000000003</v>
      </c>
      <c r="J296" s="4">
        <v>0</v>
      </c>
      <c r="K296" s="84">
        <v>0</v>
      </c>
      <c r="L296" s="4">
        <f t="shared" si="24"/>
        <v>-1</v>
      </c>
      <c r="M296" s="85">
        <f t="shared" si="25"/>
        <v>-4.3600000000000003</v>
      </c>
      <c r="N296" s="7"/>
    </row>
    <row r="297" spans="1:14" x14ac:dyDescent="0.25">
      <c r="A297" s="4" t="s">
        <v>747</v>
      </c>
      <c r="B297" s="5" t="s">
        <v>748</v>
      </c>
      <c r="C297" s="4">
        <v>0</v>
      </c>
      <c r="D297" s="84">
        <v>0</v>
      </c>
      <c r="E297" s="4">
        <v>0</v>
      </c>
      <c r="F297" s="84">
        <v>0</v>
      </c>
      <c r="G297" s="6"/>
      <c r="H297" s="4">
        <v>0</v>
      </c>
      <c r="I297" s="84">
        <v>0</v>
      </c>
      <c r="J297" s="4">
        <v>0</v>
      </c>
      <c r="K297" s="84">
        <v>0</v>
      </c>
      <c r="L297" s="4">
        <f t="shared" si="24"/>
        <v>0</v>
      </c>
      <c r="M297" s="85">
        <f t="shared" si="25"/>
        <v>0</v>
      </c>
      <c r="N297" s="7"/>
    </row>
    <row r="298" spans="1:14" x14ac:dyDescent="0.25">
      <c r="A298" s="4" t="s">
        <v>554</v>
      </c>
      <c r="B298" s="5" t="s">
        <v>553</v>
      </c>
      <c r="C298" s="4">
        <v>0</v>
      </c>
      <c r="D298" s="84">
        <v>0</v>
      </c>
      <c r="E298" s="4">
        <v>0</v>
      </c>
      <c r="F298" s="84">
        <v>0</v>
      </c>
      <c r="G298" s="6"/>
      <c r="H298" s="4">
        <v>0</v>
      </c>
      <c r="I298" s="84">
        <v>0</v>
      </c>
      <c r="J298" s="4">
        <v>0</v>
      </c>
      <c r="K298" s="84">
        <v>0</v>
      </c>
      <c r="L298" s="4">
        <f t="shared" si="24"/>
        <v>0</v>
      </c>
      <c r="M298" s="85">
        <f t="shared" si="25"/>
        <v>0</v>
      </c>
      <c r="N298" s="7"/>
    </row>
    <row r="299" spans="1:14" x14ac:dyDescent="0.25">
      <c r="A299" s="4" t="s">
        <v>616</v>
      </c>
      <c r="B299" s="5" t="s">
        <v>617</v>
      </c>
      <c r="C299" s="4">
        <v>0</v>
      </c>
      <c r="D299" s="84">
        <v>0</v>
      </c>
      <c r="E299" s="4">
        <v>0</v>
      </c>
      <c r="F299" s="84">
        <v>0</v>
      </c>
      <c r="G299" s="6"/>
      <c r="H299" s="4">
        <v>0</v>
      </c>
      <c r="I299" s="84">
        <v>0</v>
      </c>
      <c r="J299" s="4">
        <v>0</v>
      </c>
      <c r="K299" s="84">
        <v>0</v>
      </c>
      <c r="L299" s="4">
        <f t="shared" si="24"/>
        <v>0</v>
      </c>
      <c r="M299" s="85">
        <f t="shared" si="25"/>
        <v>0</v>
      </c>
      <c r="N299" s="7"/>
    </row>
    <row r="300" spans="1:14" x14ac:dyDescent="0.25">
      <c r="A300" s="4" t="s">
        <v>757</v>
      </c>
      <c r="B300" s="5" t="s">
        <v>758</v>
      </c>
      <c r="C300" s="4">
        <v>0</v>
      </c>
      <c r="D300" s="84">
        <v>0</v>
      </c>
      <c r="E300" s="4">
        <v>0</v>
      </c>
      <c r="F300" s="84">
        <v>0</v>
      </c>
      <c r="G300" s="6"/>
      <c r="H300" s="4">
        <v>0</v>
      </c>
      <c r="I300" s="84">
        <v>0</v>
      </c>
      <c r="J300" s="4">
        <v>0</v>
      </c>
      <c r="K300" s="84">
        <v>0</v>
      </c>
      <c r="L300" s="4">
        <f t="shared" si="24"/>
        <v>0</v>
      </c>
      <c r="M300" s="85">
        <f t="shared" si="25"/>
        <v>0</v>
      </c>
      <c r="N300" s="7"/>
    </row>
    <row r="301" spans="1:14" x14ac:dyDescent="0.25">
      <c r="A301" s="4" t="s">
        <v>498</v>
      </c>
      <c r="B301" s="5" t="s">
        <v>497</v>
      </c>
      <c r="C301" s="4">
        <v>0</v>
      </c>
      <c r="D301" s="84">
        <v>0</v>
      </c>
      <c r="E301" s="4">
        <v>0</v>
      </c>
      <c r="F301" s="84">
        <v>0</v>
      </c>
      <c r="G301" s="6"/>
      <c r="H301" s="4">
        <v>0</v>
      </c>
      <c r="I301" s="84">
        <v>0</v>
      </c>
      <c r="J301" s="4">
        <v>0</v>
      </c>
      <c r="K301" s="84">
        <v>0</v>
      </c>
      <c r="L301" s="4">
        <f t="shared" si="24"/>
        <v>0</v>
      </c>
      <c r="M301" s="85">
        <f t="shared" si="25"/>
        <v>0</v>
      </c>
      <c r="N301" s="7"/>
    </row>
    <row r="302" spans="1:14" x14ac:dyDescent="0.25">
      <c r="A302" s="4" t="s">
        <v>558</v>
      </c>
      <c r="B302" s="5" t="s">
        <v>557</v>
      </c>
      <c r="C302" s="4">
        <v>0</v>
      </c>
      <c r="D302" s="84">
        <v>0</v>
      </c>
      <c r="E302" s="4">
        <v>0</v>
      </c>
      <c r="F302" s="84">
        <v>0</v>
      </c>
      <c r="G302" s="6"/>
      <c r="H302" s="4">
        <v>0</v>
      </c>
      <c r="I302" s="84">
        <v>0</v>
      </c>
      <c r="J302" s="4">
        <v>0</v>
      </c>
      <c r="K302" s="84">
        <v>0</v>
      </c>
      <c r="L302" s="4">
        <f t="shared" si="24"/>
        <v>0</v>
      </c>
      <c r="M302" s="85">
        <f t="shared" si="25"/>
        <v>0</v>
      </c>
      <c r="N302" s="7"/>
    </row>
    <row r="303" spans="1:14" x14ac:dyDescent="0.25">
      <c r="A303" s="4" t="s">
        <v>53</v>
      </c>
      <c r="B303" s="5" t="s">
        <v>52</v>
      </c>
      <c r="C303" s="4">
        <v>0</v>
      </c>
      <c r="D303" s="84">
        <v>0</v>
      </c>
      <c r="E303" s="4">
        <v>0</v>
      </c>
      <c r="F303" s="84">
        <v>0</v>
      </c>
      <c r="G303" s="6"/>
      <c r="H303" s="4">
        <v>0</v>
      </c>
      <c r="I303" s="84">
        <v>0</v>
      </c>
      <c r="J303" s="4">
        <v>0</v>
      </c>
      <c r="K303" s="84">
        <v>0</v>
      </c>
      <c r="L303" s="4">
        <f t="shared" si="24"/>
        <v>0</v>
      </c>
      <c r="M303" s="85">
        <f t="shared" si="25"/>
        <v>0</v>
      </c>
      <c r="N303" s="7"/>
    </row>
    <row r="304" spans="1:14" x14ac:dyDescent="0.25">
      <c r="A304" s="4" t="s">
        <v>761</v>
      </c>
      <c r="B304" s="5" t="s">
        <v>762</v>
      </c>
      <c r="C304" s="4">
        <v>0</v>
      </c>
      <c r="D304" s="84">
        <v>0</v>
      </c>
      <c r="E304" s="4">
        <v>0</v>
      </c>
      <c r="F304" s="84">
        <v>0</v>
      </c>
      <c r="G304" s="6"/>
      <c r="H304" s="4">
        <v>0</v>
      </c>
      <c r="I304" s="84">
        <v>0</v>
      </c>
      <c r="J304" s="4">
        <v>0</v>
      </c>
      <c r="K304" s="84">
        <v>0</v>
      </c>
      <c r="L304" s="4">
        <f t="shared" si="24"/>
        <v>0</v>
      </c>
      <c r="M304" s="85">
        <f t="shared" si="25"/>
        <v>0</v>
      </c>
      <c r="N304" s="7"/>
    </row>
    <row r="305" spans="1:14" x14ac:dyDescent="0.25">
      <c r="A305" s="4" t="s">
        <v>642</v>
      </c>
      <c r="B305" s="5" t="s">
        <v>643</v>
      </c>
      <c r="C305" s="4">
        <v>0</v>
      </c>
      <c r="D305" s="84">
        <v>0</v>
      </c>
      <c r="E305" s="4">
        <v>0</v>
      </c>
      <c r="F305" s="84">
        <v>0</v>
      </c>
      <c r="G305" s="6"/>
      <c r="H305" s="4">
        <v>0</v>
      </c>
      <c r="I305" s="84">
        <v>0</v>
      </c>
      <c r="J305" s="4">
        <v>0</v>
      </c>
      <c r="K305" s="84">
        <v>0</v>
      </c>
      <c r="L305" s="4">
        <f t="shared" si="24"/>
        <v>0</v>
      </c>
      <c r="M305" s="85">
        <f t="shared" si="25"/>
        <v>0</v>
      </c>
      <c r="N305" s="7"/>
    </row>
    <row r="306" spans="1:14" x14ac:dyDescent="0.25">
      <c r="A306" s="4" t="s">
        <v>654</v>
      </c>
      <c r="B306" s="5" t="s">
        <v>655</v>
      </c>
      <c r="C306" s="4">
        <v>0</v>
      </c>
      <c r="D306" s="84">
        <v>0</v>
      </c>
      <c r="E306" s="4">
        <v>0</v>
      </c>
      <c r="F306" s="84">
        <v>0</v>
      </c>
      <c r="G306" s="6"/>
      <c r="H306" s="4">
        <v>0</v>
      </c>
      <c r="I306" s="84">
        <v>0</v>
      </c>
      <c r="J306" s="4">
        <v>0</v>
      </c>
      <c r="K306" s="84">
        <v>0</v>
      </c>
      <c r="L306" s="4">
        <f t="shared" si="24"/>
        <v>0</v>
      </c>
      <c r="M306" s="85">
        <f t="shared" si="25"/>
        <v>0</v>
      </c>
      <c r="N306" s="7"/>
    </row>
    <row r="307" spans="1:14" x14ac:dyDescent="0.25">
      <c r="A307" s="4" t="s">
        <v>769</v>
      </c>
      <c r="B307" s="5" t="s">
        <v>770</v>
      </c>
      <c r="C307" s="4">
        <v>0</v>
      </c>
      <c r="D307" s="84">
        <v>0</v>
      </c>
      <c r="E307" s="4">
        <v>0</v>
      </c>
      <c r="F307" s="84">
        <v>0</v>
      </c>
      <c r="G307" s="6"/>
      <c r="H307" s="4">
        <v>0</v>
      </c>
      <c r="I307" s="84">
        <v>0</v>
      </c>
      <c r="J307" s="4">
        <v>0</v>
      </c>
      <c r="K307" s="84">
        <v>0</v>
      </c>
      <c r="L307" s="4">
        <f t="shared" si="24"/>
        <v>0</v>
      </c>
      <c r="M307" s="85">
        <f t="shared" si="25"/>
        <v>0</v>
      </c>
      <c r="N307" s="7"/>
    </row>
    <row r="308" spans="1:14" x14ac:dyDescent="0.25">
      <c r="A308" s="4" t="s">
        <v>660</v>
      </c>
      <c r="B308" s="5" t="s">
        <v>661</v>
      </c>
      <c r="C308" s="4">
        <v>0</v>
      </c>
      <c r="D308" s="84">
        <v>0</v>
      </c>
      <c r="E308" s="4">
        <v>0</v>
      </c>
      <c r="F308" s="84">
        <v>0</v>
      </c>
      <c r="G308" s="6"/>
      <c r="H308" s="4">
        <v>0</v>
      </c>
      <c r="I308" s="84">
        <v>0</v>
      </c>
      <c r="J308" s="4">
        <v>0</v>
      </c>
      <c r="K308" s="84">
        <v>0</v>
      </c>
      <c r="L308" s="4">
        <f t="shared" si="24"/>
        <v>0</v>
      </c>
      <c r="M308" s="85">
        <f t="shared" si="25"/>
        <v>0</v>
      </c>
      <c r="N308" s="7"/>
    </row>
    <row r="309" spans="1:14" x14ac:dyDescent="0.25">
      <c r="A309" s="4" t="s">
        <v>771</v>
      </c>
      <c r="B309" s="5" t="s">
        <v>772</v>
      </c>
      <c r="C309" s="4">
        <v>0</v>
      </c>
      <c r="D309" s="84">
        <v>0</v>
      </c>
      <c r="E309" s="4">
        <v>0</v>
      </c>
      <c r="F309" s="84">
        <v>0</v>
      </c>
      <c r="G309" s="6"/>
      <c r="H309" s="4">
        <v>0</v>
      </c>
      <c r="I309" s="84">
        <v>0</v>
      </c>
      <c r="J309" s="4">
        <v>0</v>
      </c>
      <c r="K309" s="84">
        <v>0</v>
      </c>
      <c r="L309" s="4">
        <f t="shared" si="24"/>
        <v>0</v>
      </c>
      <c r="M309" s="85">
        <f t="shared" si="25"/>
        <v>0</v>
      </c>
      <c r="N309" s="7"/>
    </row>
    <row r="310" spans="1:14" x14ac:dyDescent="0.25">
      <c r="A310" s="4" t="s">
        <v>773</v>
      </c>
      <c r="B310" s="5" t="s">
        <v>774</v>
      </c>
      <c r="C310" s="4">
        <v>0</v>
      </c>
      <c r="D310" s="84">
        <v>0</v>
      </c>
      <c r="E310" s="4">
        <v>0</v>
      </c>
      <c r="F310" s="84">
        <v>0</v>
      </c>
      <c r="G310" s="6"/>
      <c r="H310" s="4">
        <v>0</v>
      </c>
      <c r="I310" s="84">
        <v>0</v>
      </c>
      <c r="J310" s="4">
        <v>0</v>
      </c>
      <c r="K310" s="84">
        <v>0</v>
      </c>
      <c r="L310" s="4">
        <f t="shared" si="24"/>
        <v>0</v>
      </c>
      <c r="M310" s="85">
        <f t="shared" si="25"/>
        <v>0</v>
      </c>
      <c r="N310" s="7"/>
    </row>
    <row r="311" spans="1:14" x14ac:dyDescent="0.25">
      <c r="A311" s="4" t="s">
        <v>564</v>
      </c>
      <c r="B311" s="5" t="s">
        <v>563</v>
      </c>
      <c r="C311" s="4">
        <v>0</v>
      </c>
      <c r="D311" s="84">
        <v>0</v>
      </c>
      <c r="E311" s="4">
        <v>0</v>
      </c>
      <c r="F311" s="84">
        <v>0</v>
      </c>
      <c r="G311" s="6"/>
      <c r="H311" s="4">
        <v>0</v>
      </c>
      <c r="I311" s="84">
        <v>0</v>
      </c>
      <c r="J311" s="4">
        <v>0</v>
      </c>
      <c r="K311" s="84">
        <v>0</v>
      </c>
      <c r="L311" s="4">
        <f t="shared" si="24"/>
        <v>0</v>
      </c>
      <c r="M311" s="85">
        <f t="shared" si="25"/>
        <v>0</v>
      </c>
      <c r="N311" s="7"/>
    </row>
    <row r="312" spans="1:14" x14ac:dyDescent="0.25">
      <c r="A312" s="4" t="s">
        <v>159</v>
      </c>
      <c r="B312" s="5" t="s">
        <v>158</v>
      </c>
      <c r="C312" s="4">
        <v>0</v>
      </c>
      <c r="D312" s="84">
        <v>0</v>
      </c>
      <c r="E312" s="4">
        <v>0</v>
      </c>
      <c r="F312" s="84">
        <v>0</v>
      </c>
      <c r="G312" s="6"/>
      <c r="H312" s="4">
        <v>0</v>
      </c>
      <c r="I312" s="84">
        <v>0</v>
      </c>
      <c r="J312" s="4">
        <v>0</v>
      </c>
      <c r="K312" s="84">
        <v>0</v>
      </c>
      <c r="L312" s="4">
        <f t="shared" si="24"/>
        <v>0</v>
      </c>
      <c r="M312" s="85">
        <f t="shared" si="25"/>
        <v>0</v>
      </c>
      <c r="N312" s="7"/>
    </row>
    <row r="313" spans="1:14" x14ac:dyDescent="0.25">
      <c r="A313" s="4" t="s">
        <v>708</v>
      </c>
      <c r="B313" s="5" t="s">
        <v>709</v>
      </c>
      <c r="C313" s="4">
        <v>0</v>
      </c>
      <c r="D313" s="84">
        <v>0</v>
      </c>
      <c r="E313" s="4">
        <v>0</v>
      </c>
      <c r="F313" s="84">
        <v>0</v>
      </c>
      <c r="G313" s="6"/>
      <c r="H313" s="4">
        <v>0</v>
      </c>
      <c r="I313" s="84">
        <v>0</v>
      </c>
      <c r="J313" s="4">
        <v>0</v>
      </c>
      <c r="K313" s="84">
        <v>0</v>
      </c>
      <c r="L313" s="4">
        <f t="shared" si="24"/>
        <v>0</v>
      </c>
      <c r="M313" s="85">
        <f t="shared" si="25"/>
        <v>0</v>
      </c>
      <c r="N313" s="7"/>
    </row>
    <row r="314" spans="1:14" x14ac:dyDescent="0.25">
      <c r="A314" s="4" t="s">
        <v>259</v>
      </c>
      <c r="B314" s="5" t="s">
        <v>258</v>
      </c>
      <c r="C314" s="4">
        <v>0</v>
      </c>
      <c r="D314" s="84">
        <v>0</v>
      </c>
      <c r="E314" s="4">
        <v>0</v>
      </c>
      <c r="F314" s="84">
        <v>0</v>
      </c>
      <c r="G314" s="6"/>
      <c r="H314" s="4">
        <v>0</v>
      </c>
      <c r="I314" s="84">
        <v>0</v>
      </c>
      <c r="J314" s="4">
        <v>0</v>
      </c>
      <c r="K314" s="84">
        <v>0</v>
      </c>
      <c r="L314" s="4">
        <f t="shared" si="24"/>
        <v>0</v>
      </c>
      <c r="M314" s="85">
        <f t="shared" si="25"/>
        <v>0</v>
      </c>
      <c r="N314" s="7"/>
    </row>
    <row r="315" spans="1:14" x14ac:dyDescent="0.25">
      <c r="A315" s="4" t="s">
        <v>265</v>
      </c>
      <c r="B315" s="5" t="s">
        <v>264</v>
      </c>
      <c r="C315" s="4">
        <v>0</v>
      </c>
      <c r="D315" s="84">
        <v>0</v>
      </c>
      <c r="E315" s="4">
        <v>0</v>
      </c>
      <c r="F315" s="84">
        <v>0</v>
      </c>
      <c r="G315" s="6"/>
      <c r="H315" s="4">
        <v>0</v>
      </c>
      <c r="I315" s="84">
        <v>0</v>
      </c>
      <c r="J315" s="4">
        <v>0</v>
      </c>
      <c r="K315" s="84">
        <v>0</v>
      </c>
      <c r="L315" s="4">
        <f t="shared" si="24"/>
        <v>0</v>
      </c>
      <c r="M315" s="85">
        <f t="shared" si="25"/>
        <v>0</v>
      </c>
      <c r="N315" s="7"/>
    </row>
    <row r="316" spans="1:14" x14ac:dyDescent="0.25">
      <c r="A316" s="4" t="s">
        <v>716</v>
      </c>
      <c r="B316" s="5" t="s">
        <v>717</v>
      </c>
      <c r="C316" s="4">
        <v>0</v>
      </c>
      <c r="D316" s="84">
        <v>0</v>
      </c>
      <c r="E316" s="4">
        <v>0</v>
      </c>
      <c r="F316" s="84">
        <v>0</v>
      </c>
      <c r="G316" s="6"/>
      <c r="H316" s="4">
        <v>0</v>
      </c>
      <c r="I316" s="84">
        <v>0</v>
      </c>
      <c r="J316" s="4">
        <v>0</v>
      </c>
      <c r="K316" s="84">
        <v>0</v>
      </c>
      <c r="L316" s="4">
        <f t="shared" si="24"/>
        <v>0</v>
      </c>
      <c r="M316" s="85">
        <f t="shared" si="25"/>
        <v>0</v>
      </c>
      <c r="N316" s="7"/>
    </row>
    <row r="317" spans="1:14" x14ac:dyDescent="0.25">
      <c r="A317" s="4" t="s">
        <v>779</v>
      </c>
      <c r="B317" s="5" t="s">
        <v>780</v>
      </c>
      <c r="C317" s="4">
        <v>0</v>
      </c>
      <c r="D317" s="84">
        <v>0</v>
      </c>
      <c r="E317" s="4">
        <v>0</v>
      </c>
      <c r="F317" s="84">
        <v>0</v>
      </c>
      <c r="G317" s="6"/>
      <c r="H317" s="4">
        <v>0</v>
      </c>
      <c r="I317" s="84">
        <v>0</v>
      </c>
      <c r="J317" s="4">
        <v>0</v>
      </c>
      <c r="K317" s="84">
        <v>0</v>
      </c>
      <c r="L317" s="4">
        <f t="shared" si="24"/>
        <v>0</v>
      </c>
      <c r="M317" s="85">
        <f t="shared" si="25"/>
        <v>0</v>
      </c>
      <c r="N317" s="7"/>
    </row>
    <row r="318" spans="1:14" x14ac:dyDescent="0.25">
      <c r="A318" s="4" t="s">
        <v>732</v>
      </c>
      <c r="B318" s="5" t="s">
        <v>733</v>
      </c>
      <c r="C318" s="4">
        <v>0</v>
      </c>
      <c r="D318" s="84">
        <v>0</v>
      </c>
      <c r="E318" s="4">
        <v>0</v>
      </c>
      <c r="F318" s="84">
        <v>0</v>
      </c>
      <c r="G318" s="6"/>
      <c r="H318" s="4">
        <v>0</v>
      </c>
      <c r="I318" s="84">
        <v>0</v>
      </c>
      <c r="J318" s="4">
        <v>0</v>
      </c>
      <c r="K318" s="84">
        <v>0</v>
      </c>
      <c r="L318" s="4">
        <f t="shared" si="24"/>
        <v>0</v>
      </c>
      <c r="M318" s="85">
        <f t="shared" si="25"/>
        <v>0</v>
      </c>
      <c r="N318" s="7"/>
    </row>
    <row r="319" spans="1:14" x14ac:dyDescent="0.25">
      <c r="A319" s="4" t="s">
        <v>738</v>
      </c>
      <c r="B319" s="5" t="s">
        <v>739</v>
      </c>
      <c r="C319" s="4">
        <v>0</v>
      </c>
      <c r="D319" s="84">
        <v>0</v>
      </c>
      <c r="E319" s="4">
        <v>0</v>
      </c>
      <c r="F319" s="84">
        <v>0</v>
      </c>
      <c r="G319" s="6"/>
      <c r="H319" s="4">
        <v>0</v>
      </c>
      <c r="I319" s="84">
        <v>0</v>
      </c>
      <c r="J319" s="4">
        <v>0</v>
      </c>
      <c r="K319" s="84">
        <v>0</v>
      </c>
      <c r="L319" s="4">
        <f t="shared" si="24"/>
        <v>0</v>
      </c>
      <c r="M319" s="85">
        <f t="shared" si="25"/>
        <v>0</v>
      </c>
      <c r="N319" s="7"/>
    </row>
    <row r="320" spans="1:14" x14ac:dyDescent="0.25">
      <c r="A320" s="4" t="s">
        <v>592</v>
      </c>
      <c r="B320" s="5" t="s">
        <v>593</v>
      </c>
      <c r="C320" s="4">
        <v>1</v>
      </c>
      <c r="D320" s="84">
        <v>4.83</v>
      </c>
      <c r="E320" s="4">
        <v>0</v>
      </c>
      <c r="F320" s="84">
        <v>0</v>
      </c>
      <c r="G320" s="6">
        <f t="shared" ref="G320:G351" si="28">F320/I320</f>
        <v>0</v>
      </c>
      <c r="H320" s="4">
        <v>1</v>
      </c>
      <c r="I320" s="84">
        <v>4.83</v>
      </c>
      <c r="J320" s="4">
        <v>0</v>
      </c>
      <c r="K320" s="84">
        <v>0</v>
      </c>
      <c r="L320" s="4">
        <f t="shared" si="24"/>
        <v>1</v>
      </c>
      <c r="M320" s="85">
        <f t="shared" si="25"/>
        <v>4.83</v>
      </c>
      <c r="N320" s="7"/>
    </row>
    <row r="321" spans="1:14" x14ac:dyDescent="0.25">
      <c r="A321" s="4" t="s">
        <v>590</v>
      </c>
      <c r="B321" s="5" t="s">
        <v>591</v>
      </c>
      <c r="C321" s="4">
        <v>1</v>
      </c>
      <c r="D321" s="84">
        <v>6.73</v>
      </c>
      <c r="E321" s="4">
        <v>0</v>
      </c>
      <c r="F321" s="84">
        <v>0</v>
      </c>
      <c r="G321" s="6">
        <f t="shared" si="28"/>
        <v>0</v>
      </c>
      <c r="H321" s="4">
        <v>1</v>
      </c>
      <c r="I321" s="84">
        <v>6.73</v>
      </c>
      <c r="J321" s="4">
        <v>0</v>
      </c>
      <c r="K321" s="84">
        <v>0</v>
      </c>
      <c r="L321" s="4">
        <f t="shared" si="24"/>
        <v>1</v>
      </c>
      <c r="M321" s="85">
        <f t="shared" si="25"/>
        <v>6.73</v>
      </c>
      <c r="N321" s="7"/>
    </row>
    <row r="322" spans="1:14" x14ac:dyDescent="0.25">
      <c r="A322" s="4" t="s">
        <v>606</v>
      </c>
      <c r="B322" s="5" t="s">
        <v>607</v>
      </c>
      <c r="C322" s="4">
        <v>1</v>
      </c>
      <c r="D322" s="84">
        <v>9.1300000000000008</v>
      </c>
      <c r="E322" s="4">
        <v>0</v>
      </c>
      <c r="F322" s="84">
        <v>0</v>
      </c>
      <c r="G322" s="6">
        <f t="shared" si="28"/>
        <v>0</v>
      </c>
      <c r="H322" s="4">
        <v>1</v>
      </c>
      <c r="I322" s="84">
        <v>9.1300000000000008</v>
      </c>
      <c r="J322" s="4">
        <v>0</v>
      </c>
      <c r="K322" s="84">
        <v>0</v>
      </c>
      <c r="L322" s="4">
        <f t="shared" ref="L322:L387" si="29">H322-J322</f>
        <v>1</v>
      </c>
      <c r="M322" s="85">
        <f t="shared" ref="M322:M387" si="30">I322-K322</f>
        <v>9.1300000000000008</v>
      </c>
      <c r="N322" s="7"/>
    </row>
    <row r="323" spans="1:14" x14ac:dyDescent="0.25">
      <c r="A323" s="4" t="s">
        <v>604</v>
      </c>
      <c r="B323" s="5" t="s">
        <v>605</v>
      </c>
      <c r="C323" s="4">
        <v>1</v>
      </c>
      <c r="D323" s="84">
        <v>11.39</v>
      </c>
      <c r="E323" s="4">
        <v>0</v>
      </c>
      <c r="F323" s="84">
        <v>0</v>
      </c>
      <c r="G323" s="6">
        <f t="shared" si="28"/>
        <v>0</v>
      </c>
      <c r="H323" s="4">
        <v>1</v>
      </c>
      <c r="I323" s="84">
        <v>11.39</v>
      </c>
      <c r="J323" s="4">
        <v>0</v>
      </c>
      <c r="K323" s="84">
        <v>0</v>
      </c>
      <c r="L323" s="4">
        <f t="shared" si="29"/>
        <v>1</v>
      </c>
      <c r="M323" s="85">
        <f t="shared" si="30"/>
        <v>11.39</v>
      </c>
      <c r="N323" s="7"/>
    </row>
    <row r="324" spans="1:14" x14ac:dyDescent="0.25">
      <c r="A324" s="4" t="s">
        <v>27</v>
      </c>
      <c r="B324" s="5" t="s">
        <v>26</v>
      </c>
      <c r="C324" s="4">
        <v>2</v>
      </c>
      <c r="D324" s="84">
        <v>14.86</v>
      </c>
      <c r="E324" s="4">
        <v>0</v>
      </c>
      <c r="F324" s="84">
        <v>0</v>
      </c>
      <c r="G324" s="6">
        <f t="shared" si="28"/>
        <v>0</v>
      </c>
      <c r="H324" s="4">
        <v>2</v>
      </c>
      <c r="I324" s="84">
        <v>14.86</v>
      </c>
      <c r="J324" s="4">
        <v>0</v>
      </c>
      <c r="K324" s="84">
        <v>0</v>
      </c>
      <c r="L324" s="4">
        <f t="shared" si="29"/>
        <v>2</v>
      </c>
      <c r="M324" s="85">
        <f t="shared" si="30"/>
        <v>14.86</v>
      </c>
      <c r="N324" s="7"/>
    </row>
    <row r="325" spans="1:14" x14ac:dyDescent="0.25">
      <c r="A325" s="4" t="s">
        <v>602</v>
      </c>
      <c r="B325" s="5" t="s">
        <v>603</v>
      </c>
      <c r="C325" s="4">
        <v>2</v>
      </c>
      <c r="D325" s="84">
        <v>19.03</v>
      </c>
      <c r="E325" s="4">
        <v>0</v>
      </c>
      <c r="F325" s="84">
        <v>0</v>
      </c>
      <c r="G325" s="6">
        <f t="shared" si="28"/>
        <v>0</v>
      </c>
      <c r="H325" s="4">
        <v>2</v>
      </c>
      <c r="I325" s="84">
        <v>19.03</v>
      </c>
      <c r="J325" s="4">
        <v>0</v>
      </c>
      <c r="K325" s="84">
        <v>0</v>
      </c>
      <c r="L325" s="4">
        <f t="shared" si="29"/>
        <v>2</v>
      </c>
      <c r="M325" s="85">
        <f t="shared" si="30"/>
        <v>19.03</v>
      </c>
      <c r="N325" s="7"/>
    </row>
    <row r="326" spans="1:14" x14ac:dyDescent="0.25">
      <c r="A326" s="4" t="s">
        <v>640</v>
      </c>
      <c r="B326" s="5" t="s">
        <v>641</v>
      </c>
      <c r="C326" s="4">
        <v>1</v>
      </c>
      <c r="D326" s="84">
        <v>20.41</v>
      </c>
      <c r="E326" s="4">
        <v>0</v>
      </c>
      <c r="F326" s="84">
        <v>0</v>
      </c>
      <c r="G326" s="6">
        <f t="shared" si="28"/>
        <v>0</v>
      </c>
      <c r="H326" s="4">
        <v>1</v>
      </c>
      <c r="I326" s="84">
        <v>20.41</v>
      </c>
      <c r="J326" s="4">
        <v>0</v>
      </c>
      <c r="K326" s="84">
        <v>0</v>
      </c>
      <c r="L326" s="4">
        <f t="shared" si="29"/>
        <v>1</v>
      </c>
      <c r="M326" s="85">
        <f t="shared" si="30"/>
        <v>20.41</v>
      </c>
      <c r="N326" s="7"/>
    </row>
    <row r="327" spans="1:14" x14ac:dyDescent="0.25">
      <c r="A327" s="4" t="s">
        <v>736</v>
      </c>
      <c r="B327" s="5" t="s">
        <v>737</v>
      </c>
      <c r="C327" s="4">
        <v>1</v>
      </c>
      <c r="D327" s="84">
        <v>32.9</v>
      </c>
      <c r="E327" s="4">
        <v>0</v>
      </c>
      <c r="F327" s="84">
        <v>0</v>
      </c>
      <c r="G327" s="6">
        <f t="shared" si="28"/>
        <v>0</v>
      </c>
      <c r="H327" s="4">
        <v>1</v>
      </c>
      <c r="I327" s="84">
        <v>32.9</v>
      </c>
      <c r="J327" s="4">
        <v>0</v>
      </c>
      <c r="K327" s="84">
        <v>0</v>
      </c>
      <c r="L327" s="4">
        <f t="shared" si="29"/>
        <v>1</v>
      </c>
      <c r="M327" s="85">
        <f t="shared" si="30"/>
        <v>32.9</v>
      </c>
      <c r="N327" s="7"/>
    </row>
    <row r="328" spans="1:14" x14ac:dyDescent="0.25">
      <c r="A328" s="4" t="s">
        <v>121</v>
      </c>
      <c r="B328" s="5" t="s">
        <v>120</v>
      </c>
      <c r="C328" s="4">
        <v>2</v>
      </c>
      <c r="D328" s="84">
        <v>34.14</v>
      </c>
      <c r="E328" s="4">
        <v>0</v>
      </c>
      <c r="F328" s="84">
        <v>0</v>
      </c>
      <c r="G328" s="6">
        <f t="shared" si="28"/>
        <v>0</v>
      </c>
      <c r="H328" s="4">
        <v>2</v>
      </c>
      <c r="I328" s="84">
        <v>34.14</v>
      </c>
      <c r="J328" s="4">
        <v>0</v>
      </c>
      <c r="K328" s="84">
        <v>0</v>
      </c>
      <c r="L328" s="4">
        <f t="shared" si="29"/>
        <v>2</v>
      </c>
      <c r="M328" s="85">
        <f t="shared" si="30"/>
        <v>34.14</v>
      </c>
      <c r="N328" s="7"/>
    </row>
    <row r="329" spans="1:14" x14ac:dyDescent="0.25">
      <c r="A329" s="4" t="s">
        <v>536</v>
      </c>
      <c r="B329" s="5" t="s">
        <v>535</v>
      </c>
      <c r="C329" s="4">
        <v>2</v>
      </c>
      <c r="D329" s="84">
        <v>36.06</v>
      </c>
      <c r="E329" s="4">
        <v>0</v>
      </c>
      <c r="F329" s="84">
        <v>0</v>
      </c>
      <c r="G329" s="6">
        <f t="shared" si="28"/>
        <v>0</v>
      </c>
      <c r="H329" s="4">
        <v>2</v>
      </c>
      <c r="I329" s="84">
        <v>36.06</v>
      </c>
      <c r="J329" s="4">
        <v>0</v>
      </c>
      <c r="K329" s="84">
        <v>0</v>
      </c>
      <c r="L329" s="4">
        <f t="shared" si="29"/>
        <v>2</v>
      </c>
      <c r="M329" s="85">
        <f t="shared" si="30"/>
        <v>36.06</v>
      </c>
      <c r="N329" s="7"/>
    </row>
    <row r="330" spans="1:14" x14ac:dyDescent="0.25">
      <c r="A330" s="4" t="s">
        <v>630</v>
      </c>
      <c r="B330" s="5" t="s">
        <v>631</v>
      </c>
      <c r="C330" s="4">
        <v>1</v>
      </c>
      <c r="D330" s="84">
        <v>36.58</v>
      </c>
      <c r="E330" s="4">
        <v>0</v>
      </c>
      <c r="F330" s="84">
        <v>0</v>
      </c>
      <c r="G330" s="6">
        <f t="shared" si="28"/>
        <v>0</v>
      </c>
      <c r="H330" s="4">
        <v>1</v>
      </c>
      <c r="I330" s="84">
        <v>36.58</v>
      </c>
      <c r="J330" s="4">
        <v>0</v>
      </c>
      <c r="K330" s="84">
        <v>0</v>
      </c>
      <c r="L330" s="4">
        <f t="shared" si="29"/>
        <v>1</v>
      </c>
      <c r="M330" s="85">
        <f t="shared" si="30"/>
        <v>36.58</v>
      </c>
      <c r="N330" s="7"/>
    </row>
    <row r="331" spans="1:14" x14ac:dyDescent="0.25">
      <c r="A331" s="4" t="s">
        <v>35</v>
      </c>
      <c r="B331" s="5" t="s">
        <v>34</v>
      </c>
      <c r="C331" s="4">
        <v>3</v>
      </c>
      <c r="D331" s="84">
        <v>39.64</v>
      </c>
      <c r="E331" s="4">
        <v>0</v>
      </c>
      <c r="F331" s="84">
        <v>0</v>
      </c>
      <c r="G331" s="6">
        <f t="shared" si="28"/>
        <v>0</v>
      </c>
      <c r="H331" s="4">
        <v>3</v>
      </c>
      <c r="I331" s="84">
        <v>39.64</v>
      </c>
      <c r="J331" s="4">
        <v>0</v>
      </c>
      <c r="K331" s="84">
        <v>0</v>
      </c>
      <c r="L331" s="4">
        <f t="shared" si="29"/>
        <v>3</v>
      </c>
      <c r="M331" s="85">
        <f t="shared" si="30"/>
        <v>39.64</v>
      </c>
      <c r="N331" s="7"/>
    </row>
    <row r="332" spans="1:14" x14ac:dyDescent="0.25">
      <c r="A332" s="4" t="s">
        <v>37</v>
      </c>
      <c r="B332" s="5" t="s">
        <v>36</v>
      </c>
      <c r="C332" s="4">
        <v>8</v>
      </c>
      <c r="D332" s="84">
        <v>45.19</v>
      </c>
      <c r="E332" s="4">
        <v>0</v>
      </c>
      <c r="F332" s="84">
        <v>0</v>
      </c>
      <c r="G332" s="6">
        <f t="shared" si="28"/>
        <v>0</v>
      </c>
      <c r="H332" s="4">
        <v>8</v>
      </c>
      <c r="I332" s="84">
        <v>45.19</v>
      </c>
      <c r="J332" s="4">
        <v>0</v>
      </c>
      <c r="K332" s="84">
        <v>0</v>
      </c>
      <c r="L332" s="4">
        <f t="shared" si="29"/>
        <v>8</v>
      </c>
      <c r="M332" s="85">
        <f t="shared" si="30"/>
        <v>45.19</v>
      </c>
      <c r="N332" s="7"/>
    </row>
    <row r="333" spans="1:14" x14ac:dyDescent="0.25">
      <c r="A333" s="4" t="s">
        <v>89</v>
      </c>
      <c r="B333" s="5" t="s">
        <v>88</v>
      </c>
      <c r="C333" s="4">
        <v>1</v>
      </c>
      <c r="D333" s="84">
        <v>55.84</v>
      </c>
      <c r="E333" s="4">
        <v>0</v>
      </c>
      <c r="F333" s="84">
        <v>0</v>
      </c>
      <c r="G333" s="6">
        <f t="shared" si="28"/>
        <v>0</v>
      </c>
      <c r="H333" s="4">
        <v>1</v>
      </c>
      <c r="I333" s="84">
        <v>55.84</v>
      </c>
      <c r="J333" s="4">
        <v>0</v>
      </c>
      <c r="K333" s="84">
        <v>0</v>
      </c>
      <c r="L333" s="4">
        <f t="shared" si="29"/>
        <v>1</v>
      </c>
      <c r="M333" s="85">
        <f t="shared" si="30"/>
        <v>55.84</v>
      </c>
      <c r="N333" s="7"/>
    </row>
    <row r="334" spans="1:14" x14ac:dyDescent="0.25">
      <c r="A334" s="4" t="s">
        <v>429</v>
      </c>
      <c r="B334" s="5" t="s">
        <v>428</v>
      </c>
      <c r="C334" s="4">
        <v>2</v>
      </c>
      <c r="D334" s="84">
        <v>64.739999999999995</v>
      </c>
      <c r="E334" s="4">
        <v>0</v>
      </c>
      <c r="F334" s="84">
        <v>0</v>
      </c>
      <c r="G334" s="6">
        <f t="shared" si="28"/>
        <v>0</v>
      </c>
      <c r="H334" s="4">
        <v>2</v>
      </c>
      <c r="I334" s="84">
        <v>64.739999999999995</v>
      </c>
      <c r="J334" s="4">
        <v>0</v>
      </c>
      <c r="K334" s="84">
        <v>0</v>
      </c>
      <c r="L334" s="4">
        <f t="shared" si="29"/>
        <v>2</v>
      </c>
      <c r="M334" s="85">
        <f t="shared" si="30"/>
        <v>64.739999999999995</v>
      </c>
      <c r="N334" s="7"/>
    </row>
    <row r="335" spans="1:14" x14ac:dyDescent="0.25">
      <c r="A335" s="4" t="s">
        <v>439</v>
      </c>
      <c r="B335" s="5" t="s">
        <v>438</v>
      </c>
      <c r="C335" s="4">
        <v>631</v>
      </c>
      <c r="D335" s="84">
        <v>71.399999999999991</v>
      </c>
      <c r="E335" s="4">
        <v>0</v>
      </c>
      <c r="F335" s="84">
        <v>0</v>
      </c>
      <c r="G335" s="6">
        <f t="shared" si="28"/>
        <v>0</v>
      </c>
      <c r="H335" s="4">
        <v>631</v>
      </c>
      <c r="I335" s="84">
        <v>71.399999999999991</v>
      </c>
      <c r="J335" s="4">
        <v>0</v>
      </c>
      <c r="K335" s="84">
        <v>0</v>
      </c>
      <c r="L335" s="4">
        <f t="shared" si="29"/>
        <v>631</v>
      </c>
      <c r="M335" s="85">
        <f t="shared" si="30"/>
        <v>71.399999999999991</v>
      </c>
      <c r="N335" s="7"/>
    </row>
    <row r="336" spans="1:14" x14ac:dyDescent="0.25">
      <c r="A336" s="4" t="s">
        <v>441</v>
      </c>
      <c r="B336" s="5" t="s">
        <v>440</v>
      </c>
      <c r="C336" s="4">
        <v>19</v>
      </c>
      <c r="D336" s="84">
        <v>74.599999999999994</v>
      </c>
      <c r="E336" s="4">
        <v>0</v>
      </c>
      <c r="F336" s="84">
        <v>0</v>
      </c>
      <c r="G336" s="6">
        <f t="shared" si="28"/>
        <v>0</v>
      </c>
      <c r="H336" s="4">
        <v>19</v>
      </c>
      <c r="I336" s="84">
        <v>74.599999999999994</v>
      </c>
      <c r="J336" s="4">
        <v>0</v>
      </c>
      <c r="K336" s="84">
        <v>0</v>
      </c>
      <c r="L336" s="4">
        <f t="shared" si="29"/>
        <v>19</v>
      </c>
      <c r="M336" s="85">
        <f t="shared" si="30"/>
        <v>74.599999999999994</v>
      </c>
      <c r="N336" s="7"/>
    </row>
    <row r="337" spans="1:14" x14ac:dyDescent="0.25">
      <c r="A337" s="4" t="s">
        <v>556</v>
      </c>
      <c r="B337" s="5" t="s">
        <v>555</v>
      </c>
      <c r="C337" s="4">
        <v>32</v>
      </c>
      <c r="D337" s="84">
        <v>127.69999999999999</v>
      </c>
      <c r="E337" s="4">
        <v>0</v>
      </c>
      <c r="F337" s="84">
        <v>0</v>
      </c>
      <c r="G337" s="6">
        <f t="shared" si="28"/>
        <v>0</v>
      </c>
      <c r="H337" s="4">
        <v>32</v>
      </c>
      <c r="I337" s="84">
        <v>127.69999999999999</v>
      </c>
      <c r="J337" s="4">
        <v>0</v>
      </c>
      <c r="K337" s="84">
        <v>0</v>
      </c>
      <c r="L337" s="4">
        <f t="shared" si="29"/>
        <v>32</v>
      </c>
      <c r="M337" s="85">
        <f t="shared" si="30"/>
        <v>127.69999999999999</v>
      </c>
      <c r="N337" s="7"/>
    </row>
    <row r="338" spans="1:14" x14ac:dyDescent="0.25">
      <c r="A338" s="4" t="s">
        <v>435</v>
      </c>
      <c r="B338" s="5" t="s">
        <v>434</v>
      </c>
      <c r="C338" s="4">
        <v>4</v>
      </c>
      <c r="D338" s="84">
        <v>134.18</v>
      </c>
      <c r="E338" s="4">
        <v>0</v>
      </c>
      <c r="F338" s="84">
        <v>0</v>
      </c>
      <c r="G338" s="6">
        <f t="shared" si="28"/>
        <v>0</v>
      </c>
      <c r="H338" s="4">
        <v>4</v>
      </c>
      <c r="I338" s="84">
        <v>134.18</v>
      </c>
      <c r="J338" s="4">
        <v>0</v>
      </c>
      <c r="K338" s="84">
        <v>0</v>
      </c>
      <c r="L338" s="4">
        <f t="shared" si="29"/>
        <v>4</v>
      </c>
      <c r="M338" s="85">
        <f t="shared" si="30"/>
        <v>134.18</v>
      </c>
      <c r="N338" s="7"/>
    </row>
    <row r="339" spans="1:14" x14ac:dyDescent="0.25">
      <c r="A339" s="4" t="s">
        <v>425</v>
      </c>
      <c r="B339" s="5" t="s">
        <v>424</v>
      </c>
      <c r="C339" s="4">
        <v>8</v>
      </c>
      <c r="D339" s="84">
        <v>156.62</v>
      </c>
      <c r="E339" s="4">
        <v>0</v>
      </c>
      <c r="F339" s="84">
        <v>0</v>
      </c>
      <c r="G339" s="6">
        <f t="shared" si="28"/>
        <v>0</v>
      </c>
      <c r="H339" s="4">
        <v>8</v>
      </c>
      <c r="I339" s="84">
        <v>156.62</v>
      </c>
      <c r="J339" s="4">
        <v>0</v>
      </c>
      <c r="K339" s="84">
        <v>0</v>
      </c>
      <c r="L339" s="4">
        <f t="shared" si="29"/>
        <v>8</v>
      </c>
      <c r="M339" s="85">
        <f t="shared" si="30"/>
        <v>156.62</v>
      </c>
      <c r="N339" s="7"/>
    </row>
    <row r="340" spans="1:14" x14ac:dyDescent="0.25">
      <c r="A340" s="4" t="s">
        <v>433</v>
      </c>
      <c r="B340" s="5" t="s">
        <v>432</v>
      </c>
      <c r="C340" s="4">
        <v>6</v>
      </c>
      <c r="D340" s="84">
        <v>183.79</v>
      </c>
      <c r="E340" s="4">
        <v>0</v>
      </c>
      <c r="F340" s="84">
        <v>0</v>
      </c>
      <c r="G340" s="6">
        <f t="shared" si="28"/>
        <v>0</v>
      </c>
      <c r="H340" s="4">
        <v>6</v>
      </c>
      <c r="I340" s="84">
        <v>183.79</v>
      </c>
      <c r="J340" s="4">
        <v>0</v>
      </c>
      <c r="K340" s="84">
        <v>0</v>
      </c>
      <c r="L340" s="4">
        <f t="shared" si="29"/>
        <v>6</v>
      </c>
      <c r="M340" s="85">
        <f t="shared" si="30"/>
        <v>183.79</v>
      </c>
      <c r="N340" s="7"/>
    </row>
    <row r="341" spans="1:14" x14ac:dyDescent="0.25">
      <c r="A341" s="4" t="s">
        <v>744</v>
      </c>
      <c r="B341" s="5" t="s">
        <v>745</v>
      </c>
      <c r="C341" s="4">
        <v>4</v>
      </c>
      <c r="D341" s="84">
        <v>228.9</v>
      </c>
      <c r="E341" s="4">
        <v>0</v>
      </c>
      <c r="F341" s="84">
        <v>0</v>
      </c>
      <c r="G341" s="6">
        <f t="shared" si="28"/>
        <v>0</v>
      </c>
      <c r="H341" s="4">
        <v>4</v>
      </c>
      <c r="I341" s="84">
        <v>228.9</v>
      </c>
      <c r="J341" s="4">
        <v>0</v>
      </c>
      <c r="K341" s="84">
        <v>0</v>
      </c>
      <c r="L341" s="4">
        <f t="shared" si="29"/>
        <v>4</v>
      </c>
      <c r="M341" s="85">
        <f t="shared" si="30"/>
        <v>228.9</v>
      </c>
      <c r="N341" s="7"/>
    </row>
    <row r="342" spans="1:14" x14ac:dyDescent="0.25">
      <c r="A342" s="4" t="s">
        <v>740</v>
      </c>
      <c r="B342" s="5" t="s">
        <v>741</v>
      </c>
      <c r="C342" s="4">
        <v>2</v>
      </c>
      <c r="D342" s="84">
        <v>248.52</v>
      </c>
      <c r="E342" s="4">
        <v>0</v>
      </c>
      <c r="F342" s="84">
        <v>0</v>
      </c>
      <c r="G342" s="6">
        <f t="shared" si="28"/>
        <v>0</v>
      </c>
      <c r="H342" s="4">
        <v>2</v>
      </c>
      <c r="I342" s="84">
        <v>248.52</v>
      </c>
      <c r="J342" s="4">
        <v>0</v>
      </c>
      <c r="K342" s="84">
        <v>0</v>
      </c>
      <c r="L342" s="4">
        <f t="shared" si="29"/>
        <v>2</v>
      </c>
      <c r="M342" s="85">
        <f t="shared" si="30"/>
        <v>248.52</v>
      </c>
      <c r="N342" s="7"/>
    </row>
    <row r="343" spans="1:14" x14ac:dyDescent="0.25">
      <c r="A343" s="4" t="s">
        <v>175</v>
      </c>
      <c r="B343" s="5" t="s">
        <v>174</v>
      </c>
      <c r="C343" s="4">
        <v>12</v>
      </c>
      <c r="D343" s="84">
        <v>285.27999999999997</v>
      </c>
      <c r="E343" s="4">
        <v>0</v>
      </c>
      <c r="F343" s="84">
        <v>0</v>
      </c>
      <c r="G343" s="6">
        <f t="shared" si="28"/>
        <v>0</v>
      </c>
      <c r="H343" s="4">
        <v>12</v>
      </c>
      <c r="I343" s="84">
        <v>285.27999999999997</v>
      </c>
      <c r="J343" s="4">
        <v>0</v>
      </c>
      <c r="K343" s="84">
        <v>0</v>
      </c>
      <c r="L343" s="4">
        <f t="shared" si="29"/>
        <v>12</v>
      </c>
      <c r="M343" s="85">
        <f t="shared" si="30"/>
        <v>285.27999999999997</v>
      </c>
      <c r="N343" s="7"/>
    </row>
    <row r="344" spans="1:14" x14ac:dyDescent="0.25">
      <c r="A344" s="4" t="s">
        <v>83</v>
      </c>
      <c r="B344" s="5" t="s">
        <v>82</v>
      </c>
      <c r="C344" s="4">
        <v>3</v>
      </c>
      <c r="D344" s="84">
        <v>352.23</v>
      </c>
      <c r="E344" s="4">
        <v>0</v>
      </c>
      <c r="F344" s="84">
        <v>0</v>
      </c>
      <c r="G344" s="6">
        <f t="shared" si="28"/>
        <v>0</v>
      </c>
      <c r="H344" s="4">
        <v>3</v>
      </c>
      <c r="I344" s="84">
        <v>352.23</v>
      </c>
      <c r="J344" s="4">
        <v>0</v>
      </c>
      <c r="K344" s="84">
        <v>0</v>
      </c>
      <c r="L344" s="4">
        <f t="shared" si="29"/>
        <v>3</v>
      </c>
      <c r="M344" s="85">
        <f t="shared" si="30"/>
        <v>352.23</v>
      </c>
      <c r="N344" s="7"/>
    </row>
    <row r="345" spans="1:14" x14ac:dyDescent="0.25">
      <c r="A345" s="4" t="s">
        <v>471</v>
      </c>
      <c r="B345" s="5" t="s">
        <v>470</v>
      </c>
      <c r="C345" s="4">
        <v>26</v>
      </c>
      <c r="D345" s="84">
        <v>382.97999999999996</v>
      </c>
      <c r="E345" s="4">
        <v>0</v>
      </c>
      <c r="F345" s="84">
        <v>0</v>
      </c>
      <c r="G345" s="6">
        <f t="shared" si="28"/>
        <v>0</v>
      </c>
      <c r="H345" s="4">
        <v>26</v>
      </c>
      <c r="I345" s="84">
        <v>382.97999999999996</v>
      </c>
      <c r="J345" s="4">
        <v>0</v>
      </c>
      <c r="K345" s="84">
        <v>0</v>
      </c>
      <c r="L345" s="4">
        <f t="shared" si="29"/>
        <v>26</v>
      </c>
      <c r="M345" s="85">
        <f t="shared" si="30"/>
        <v>382.97999999999996</v>
      </c>
      <c r="N345" s="7"/>
    </row>
    <row r="346" spans="1:14" x14ac:dyDescent="0.25">
      <c r="A346" s="4" t="s">
        <v>447</v>
      </c>
      <c r="B346" s="5" t="s">
        <v>446</v>
      </c>
      <c r="C346" s="4">
        <v>75</v>
      </c>
      <c r="D346" s="84">
        <v>387.39000000000004</v>
      </c>
      <c r="E346" s="4">
        <v>0</v>
      </c>
      <c r="F346" s="84">
        <v>0</v>
      </c>
      <c r="G346" s="6">
        <f t="shared" si="28"/>
        <v>0</v>
      </c>
      <c r="H346" s="4">
        <v>75</v>
      </c>
      <c r="I346" s="84">
        <v>387.39000000000004</v>
      </c>
      <c r="J346" s="4">
        <v>0</v>
      </c>
      <c r="K346" s="84">
        <v>0</v>
      </c>
      <c r="L346" s="4">
        <f t="shared" si="29"/>
        <v>75</v>
      </c>
      <c r="M346" s="85">
        <f t="shared" si="30"/>
        <v>387.39000000000004</v>
      </c>
      <c r="N346" s="7"/>
    </row>
    <row r="347" spans="1:14" x14ac:dyDescent="0.25">
      <c r="A347" s="4" t="s">
        <v>742</v>
      </c>
      <c r="B347" s="5" t="s">
        <v>743</v>
      </c>
      <c r="C347" s="4">
        <v>4</v>
      </c>
      <c r="D347" s="84">
        <v>394.93</v>
      </c>
      <c r="E347" s="4">
        <v>0</v>
      </c>
      <c r="F347" s="84">
        <v>0</v>
      </c>
      <c r="G347" s="6">
        <f t="shared" si="28"/>
        <v>0</v>
      </c>
      <c r="H347" s="4">
        <v>4</v>
      </c>
      <c r="I347" s="84">
        <v>394.93</v>
      </c>
      <c r="J347" s="4">
        <v>0</v>
      </c>
      <c r="K347" s="84">
        <v>0</v>
      </c>
      <c r="L347" s="4">
        <f t="shared" si="29"/>
        <v>4</v>
      </c>
      <c r="M347" s="85">
        <f t="shared" si="30"/>
        <v>394.93</v>
      </c>
      <c r="N347" s="7"/>
    </row>
    <row r="348" spans="1:14" x14ac:dyDescent="0.25">
      <c r="A348" s="4" t="s">
        <v>277</v>
      </c>
      <c r="B348" s="5" t="s">
        <v>276</v>
      </c>
      <c r="C348" s="4">
        <v>38</v>
      </c>
      <c r="D348" s="84">
        <v>409.3</v>
      </c>
      <c r="E348" s="4">
        <v>0</v>
      </c>
      <c r="F348" s="84">
        <v>0</v>
      </c>
      <c r="G348" s="6">
        <f t="shared" si="28"/>
        <v>0</v>
      </c>
      <c r="H348" s="4">
        <v>38</v>
      </c>
      <c r="I348" s="84">
        <v>409.3</v>
      </c>
      <c r="J348" s="4">
        <v>0</v>
      </c>
      <c r="K348" s="84">
        <v>0</v>
      </c>
      <c r="L348" s="4">
        <f t="shared" si="29"/>
        <v>38</v>
      </c>
      <c r="M348" s="85">
        <f t="shared" si="30"/>
        <v>409.3</v>
      </c>
      <c r="N348" s="7"/>
    </row>
    <row r="349" spans="1:14" x14ac:dyDescent="0.25">
      <c r="A349" s="4" t="s">
        <v>157</v>
      </c>
      <c r="B349" s="5" t="s">
        <v>156</v>
      </c>
      <c r="C349" s="4">
        <v>25</v>
      </c>
      <c r="D349" s="84">
        <v>412.71999999999991</v>
      </c>
      <c r="E349" s="4">
        <v>0</v>
      </c>
      <c r="F349" s="84">
        <v>0</v>
      </c>
      <c r="G349" s="6">
        <f t="shared" si="28"/>
        <v>0</v>
      </c>
      <c r="H349" s="4">
        <v>25</v>
      </c>
      <c r="I349" s="84">
        <v>412.71999999999991</v>
      </c>
      <c r="J349" s="4">
        <v>0</v>
      </c>
      <c r="K349" s="84">
        <v>0</v>
      </c>
      <c r="L349" s="4">
        <f t="shared" si="29"/>
        <v>25</v>
      </c>
      <c r="M349" s="85">
        <f t="shared" si="30"/>
        <v>412.71999999999991</v>
      </c>
      <c r="N349" s="7"/>
    </row>
    <row r="350" spans="1:14" x14ac:dyDescent="0.25">
      <c r="A350" s="4" t="s">
        <v>129</v>
      </c>
      <c r="B350" s="5" t="s">
        <v>128</v>
      </c>
      <c r="C350" s="4">
        <v>3</v>
      </c>
      <c r="D350" s="84">
        <v>459.39</v>
      </c>
      <c r="E350" s="4">
        <v>0</v>
      </c>
      <c r="F350" s="84">
        <v>0</v>
      </c>
      <c r="G350" s="6">
        <f t="shared" si="28"/>
        <v>0</v>
      </c>
      <c r="H350" s="4">
        <v>3</v>
      </c>
      <c r="I350" s="84">
        <v>459.39</v>
      </c>
      <c r="J350" s="4">
        <v>0</v>
      </c>
      <c r="K350" s="84">
        <v>0</v>
      </c>
      <c r="L350" s="4">
        <f t="shared" si="29"/>
        <v>3</v>
      </c>
      <c r="M350" s="85">
        <f t="shared" si="30"/>
        <v>459.39</v>
      </c>
      <c r="N350" s="7"/>
    </row>
    <row r="351" spans="1:14" x14ac:dyDescent="0.25">
      <c r="A351" s="4" t="s">
        <v>431</v>
      </c>
      <c r="B351" s="5" t="s">
        <v>430</v>
      </c>
      <c r="C351" s="4">
        <v>16</v>
      </c>
      <c r="D351" s="84">
        <v>467.62</v>
      </c>
      <c r="E351" s="4">
        <v>0</v>
      </c>
      <c r="F351" s="84">
        <v>0</v>
      </c>
      <c r="G351" s="6">
        <f t="shared" si="28"/>
        <v>0</v>
      </c>
      <c r="H351" s="4">
        <v>16</v>
      </c>
      <c r="I351" s="84">
        <v>467.62</v>
      </c>
      <c r="J351" s="4">
        <v>0</v>
      </c>
      <c r="K351" s="84">
        <v>0</v>
      </c>
      <c r="L351" s="4">
        <f t="shared" si="29"/>
        <v>16</v>
      </c>
      <c r="M351" s="85">
        <f t="shared" si="30"/>
        <v>467.62</v>
      </c>
      <c r="N351" s="7"/>
    </row>
    <row r="352" spans="1:14" x14ac:dyDescent="0.25">
      <c r="A352" s="4" t="s">
        <v>457</v>
      </c>
      <c r="B352" s="5" t="s">
        <v>456</v>
      </c>
      <c r="C352" s="4">
        <v>9</v>
      </c>
      <c r="D352" s="84">
        <v>522.4</v>
      </c>
      <c r="E352" s="4">
        <v>0</v>
      </c>
      <c r="F352" s="84">
        <v>0</v>
      </c>
      <c r="G352" s="6">
        <f t="shared" ref="G352:G383" si="31">F352/I352</f>
        <v>0</v>
      </c>
      <c r="H352" s="4">
        <v>9</v>
      </c>
      <c r="I352" s="84">
        <v>522.4</v>
      </c>
      <c r="J352" s="4">
        <v>0</v>
      </c>
      <c r="K352" s="84">
        <v>0</v>
      </c>
      <c r="L352" s="4">
        <f t="shared" si="29"/>
        <v>9</v>
      </c>
      <c r="M352" s="85">
        <f t="shared" si="30"/>
        <v>522.4</v>
      </c>
      <c r="N352" s="7"/>
    </row>
    <row r="353" spans="1:14" x14ac:dyDescent="0.25">
      <c r="A353" s="4" t="s">
        <v>427</v>
      </c>
      <c r="B353" s="5" t="s">
        <v>426</v>
      </c>
      <c r="C353" s="4">
        <v>23</v>
      </c>
      <c r="D353" s="84">
        <v>735.12</v>
      </c>
      <c r="E353" s="4">
        <v>0</v>
      </c>
      <c r="F353" s="84">
        <v>0</v>
      </c>
      <c r="G353" s="6">
        <f t="shared" si="31"/>
        <v>0</v>
      </c>
      <c r="H353" s="4">
        <v>23</v>
      </c>
      <c r="I353" s="84">
        <v>735.12</v>
      </c>
      <c r="J353" s="4">
        <v>0</v>
      </c>
      <c r="K353" s="84">
        <v>0</v>
      </c>
      <c r="L353" s="4">
        <f t="shared" si="29"/>
        <v>23</v>
      </c>
      <c r="M353" s="85">
        <f t="shared" si="30"/>
        <v>735.12</v>
      </c>
      <c r="N353" s="7"/>
    </row>
    <row r="354" spans="1:14" x14ac:dyDescent="0.25">
      <c r="A354" s="4" t="s">
        <v>437</v>
      </c>
      <c r="B354" s="5" t="s">
        <v>436</v>
      </c>
      <c r="C354" s="4">
        <v>40</v>
      </c>
      <c r="D354" s="84">
        <v>744.15000000000009</v>
      </c>
      <c r="E354" s="4">
        <v>0</v>
      </c>
      <c r="F354" s="84">
        <v>0</v>
      </c>
      <c r="G354" s="6">
        <f t="shared" si="31"/>
        <v>0</v>
      </c>
      <c r="H354" s="4">
        <v>40</v>
      </c>
      <c r="I354" s="84">
        <v>744.15000000000009</v>
      </c>
      <c r="J354" s="4">
        <v>0</v>
      </c>
      <c r="K354" s="84">
        <v>0</v>
      </c>
      <c r="L354" s="4">
        <f t="shared" si="29"/>
        <v>40</v>
      </c>
      <c r="M354" s="85">
        <f t="shared" si="30"/>
        <v>744.15000000000009</v>
      </c>
      <c r="N354" s="7"/>
    </row>
    <row r="355" spans="1:14" x14ac:dyDescent="0.25">
      <c r="A355" s="4" t="s">
        <v>165</v>
      </c>
      <c r="B355" s="5" t="s">
        <v>164</v>
      </c>
      <c r="C355" s="4">
        <v>46</v>
      </c>
      <c r="D355" s="84">
        <v>1061.79</v>
      </c>
      <c r="E355" s="4">
        <v>0</v>
      </c>
      <c r="F355" s="84">
        <v>0</v>
      </c>
      <c r="G355" s="6">
        <f t="shared" si="31"/>
        <v>0</v>
      </c>
      <c r="H355" s="4">
        <v>46</v>
      </c>
      <c r="I355" s="84">
        <v>1061.79</v>
      </c>
      <c r="J355" s="4">
        <v>0</v>
      </c>
      <c r="K355" s="84">
        <v>0</v>
      </c>
      <c r="L355" s="4">
        <f t="shared" si="29"/>
        <v>46</v>
      </c>
      <c r="M355" s="85">
        <f t="shared" si="30"/>
        <v>1061.79</v>
      </c>
      <c r="N355" s="7"/>
    </row>
    <row r="356" spans="1:14" x14ac:dyDescent="0.25">
      <c r="A356" s="4" t="s">
        <v>105</v>
      </c>
      <c r="B356" s="5" t="s">
        <v>104</v>
      </c>
      <c r="C356" s="4">
        <v>43</v>
      </c>
      <c r="D356" s="84">
        <v>1066.24</v>
      </c>
      <c r="E356" s="4">
        <v>0</v>
      </c>
      <c r="F356" s="84">
        <v>0</v>
      </c>
      <c r="G356" s="6">
        <f t="shared" si="31"/>
        <v>0</v>
      </c>
      <c r="H356" s="4">
        <v>43</v>
      </c>
      <c r="I356" s="84">
        <v>1066.24</v>
      </c>
      <c r="J356" s="4">
        <v>0</v>
      </c>
      <c r="K356" s="84">
        <v>0</v>
      </c>
      <c r="L356" s="4">
        <f t="shared" si="29"/>
        <v>43</v>
      </c>
      <c r="M356" s="85">
        <f t="shared" si="30"/>
        <v>1066.24</v>
      </c>
      <c r="N356" s="7"/>
    </row>
    <row r="357" spans="1:14" x14ac:dyDescent="0.25">
      <c r="A357" s="4" t="s">
        <v>443</v>
      </c>
      <c r="B357" s="5" t="s">
        <v>442</v>
      </c>
      <c r="C357" s="4">
        <v>9</v>
      </c>
      <c r="D357" s="84">
        <v>1128.1600000000001</v>
      </c>
      <c r="E357" s="4">
        <v>0</v>
      </c>
      <c r="F357" s="84">
        <v>0</v>
      </c>
      <c r="G357" s="6">
        <f t="shared" si="31"/>
        <v>0</v>
      </c>
      <c r="H357" s="4">
        <v>9</v>
      </c>
      <c r="I357" s="84">
        <v>1128.1600000000001</v>
      </c>
      <c r="J357" s="4">
        <v>0</v>
      </c>
      <c r="K357" s="84">
        <v>0</v>
      </c>
      <c r="L357" s="4">
        <f t="shared" si="29"/>
        <v>9</v>
      </c>
      <c r="M357" s="85">
        <f t="shared" si="30"/>
        <v>1128.1600000000001</v>
      </c>
      <c r="N357" s="7"/>
    </row>
    <row r="358" spans="1:14" x14ac:dyDescent="0.25">
      <c r="A358" s="4" t="s">
        <v>261</v>
      </c>
      <c r="B358" s="5" t="s">
        <v>260</v>
      </c>
      <c r="C358" s="4">
        <v>23</v>
      </c>
      <c r="D358" s="84">
        <v>1322.9299999999998</v>
      </c>
      <c r="E358" s="4">
        <v>0</v>
      </c>
      <c r="F358" s="84">
        <v>0</v>
      </c>
      <c r="G358" s="6">
        <f t="shared" si="31"/>
        <v>0</v>
      </c>
      <c r="H358" s="4">
        <v>23</v>
      </c>
      <c r="I358" s="84">
        <v>1322.9299999999998</v>
      </c>
      <c r="J358" s="4">
        <v>0</v>
      </c>
      <c r="K358" s="84">
        <v>0</v>
      </c>
      <c r="L358" s="4">
        <f t="shared" si="29"/>
        <v>23</v>
      </c>
      <c r="M358" s="85">
        <f t="shared" si="30"/>
        <v>1322.9299999999998</v>
      </c>
      <c r="N358" s="7"/>
    </row>
    <row r="359" spans="1:14" x14ac:dyDescent="0.25">
      <c r="A359" s="4" t="s">
        <v>421</v>
      </c>
      <c r="B359" s="5" t="s">
        <v>420</v>
      </c>
      <c r="C359" s="4">
        <v>73</v>
      </c>
      <c r="D359" s="84">
        <v>3002.4100000000003</v>
      </c>
      <c r="E359" s="4">
        <v>0</v>
      </c>
      <c r="F359" s="84">
        <v>0</v>
      </c>
      <c r="G359" s="6">
        <f t="shared" si="31"/>
        <v>0</v>
      </c>
      <c r="H359" s="4">
        <v>73</v>
      </c>
      <c r="I359" s="84">
        <v>3002.4100000000003</v>
      </c>
      <c r="J359" s="4">
        <v>0</v>
      </c>
      <c r="K359" s="84">
        <v>0</v>
      </c>
      <c r="L359" s="4">
        <f t="shared" si="29"/>
        <v>73</v>
      </c>
      <c r="M359" s="85">
        <f t="shared" si="30"/>
        <v>3002.4100000000003</v>
      </c>
      <c r="N359" s="7"/>
    </row>
    <row r="360" spans="1:14" x14ac:dyDescent="0.25">
      <c r="A360" s="4" t="s">
        <v>459</v>
      </c>
      <c r="B360" s="5" t="s">
        <v>458</v>
      </c>
      <c r="C360" s="4">
        <v>74</v>
      </c>
      <c r="D360" s="84">
        <v>3062.9399999999996</v>
      </c>
      <c r="E360" s="4">
        <v>0</v>
      </c>
      <c r="F360" s="84">
        <v>0</v>
      </c>
      <c r="G360" s="6">
        <f t="shared" si="31"/>
        <v>0</v>
      </c>
      <c r="H360" s="4">
        <v>74</v>
      </c>
      <c r="I360" s="84">
        <v>3062.9399999999996</v>
      </c>
      <c r="J360" s="4">
        <v>0</v>
      </c>
      <c r="K360" s="84">
        <v>0</v>
      </c>
      <c r="L360" s="4">
        <f t="shared" si="29"/>
        <v>74</v>
      </c>
      <c r="M360" s="85">
        <f t="shared" si="30"/>
        <v>3062.9399999999996</v>
      </c>
      <c r="N360" s="7"/>
    </row>
    <row r="361" spans="1:14" x14ac:dyDescent="0.25">
      <c r="A361" s="4" t="s">
        <v>461</v>
      </c>
      <c r="B361" s="5" t="s">
        <v>460</v>
      </c>
      <c r="C361" s="4">
        <v>202</v>
      </c>
      <c r="D361" s="84">
        <v>3327.28</v>
      </c>
      <c r="E361" s="4">
        <v>30</v>
      </c>
      <c r="F361" s="84">
        <v>662</v>
      </c>
      <c r="G361" s="6">
        <f t="shared" si="31"/>
        <v>0.16594473188144224</v>
      </c>
      <c r="H361" s="4">
        <v>232</v>
      </c>
      <c r="I361" s="84">
        <v>3989.2800000000007</v>
      </c>
      <c r="J361" s="4">
        <v>0</v>
      </c>
      <c r="K361" s="84">
        <v>0</v>
      </c>
      <c r="L361" s="4">
        <f t="shared" si="29"/>
        <v>232</v>
      </c>
      <c r="M361" s="85">
        <f t="shared" si="30"/>
        <v>3989.2800000000007</v>
      </c>
      <c r="N361" s="7"/>
    </row>
    <row r="362" spans="1:14" x14ac:dyDescent="0.25">
      <c r="A362" s="4" t="s">
        <v>423</v>
      </c>
      <c r="B362" s="5" t="s">
        <v>422</v>
      </c>
      <c r="C362" s="4">
        <v>126</v>
      </c>
      <c r="D362" s="84">
        <v>4786.9799999999996</v>
      </c>
      <c r="E362" s="4">
        <v>0</v>
      </c>
      <c r="F362" s="84">
        <v>0</v>
      </c>
      <c r="G362" s="6">
        <f t="shared" si="31"/>
        <v>0</v>
      </c>
      <c r="H362" s="4">
        <v>126</v>
      </c>
      <c r="I362" s="84">
        <v>4786.9799999999996</v>
      </c>
      <c r="J362" s="4">
        <v>0</v>
      </c>
      <c r="K362" s="84">
        <v>0</v>
      </c>
      <c r="L362" s="4">
        <f t="shared" si="29"/>
        <v>126</v>
      </c>
      <c r="M362" s="85">
        <f t="shared" si="30"/>
        <v>4786.9799999999996</v>
      </c>
      <c r="N362" s="7"/>
    </row>
    <row r="363" spans="1:14" x14ac:dyDescent="0.25">
      <c r="A363" s="4" t="s">
        <v>445</v>
      </c>
      <c r="B363" s="5" t="s">
        <v>444</v>
      </c>
      <c r="C363" s="4">
        <v>301</v>
      </c>
      <c r="D363" s="84">
        <v>6184.8499999999995</v>
      </c>
      <c r="E363" s="4">
        <v>0</v>
      </c>
      <c r="F363" s="84">
        <v>0</v>
      </c>
      <c r="G363" s="6">
        <f t="shared" si="31"/>
        <v>0</v>
      </c>
      <c r="H363" s="4">
        <v>301</v>
      </c>
      <c r="I363" s="84">
        <v>6184.8499999999995</v>
      </c>
      <c r="J363" s="4">
        <v>0</v>
      </c>
      <c r="K363" s="84">
        <v>0</v>
      </c>
      <c r="L363" s="4">
        <f t="shared" si="29"/>
        <v>301</v>
      </c>
      <c r="M363" s="85">
        <f t="shared" si="30"/>
        <v>6184.8499999999995</v>
      </c>
      <c r="N363" s="7"/>
    </row>
    <row r="364" spans="1:14" x14ac:dyDescent="0.25">
      <c r="A364" s="4" t="s">
        <v>467</v>
      </c>
      <c r="B364" s="5" t="s">
        <v>466</v>
      </c>
      <c r="C364" s="4">
        <v>158</v>
      </c>
      <c r="D364" s="84">
        <v>6591.8</v>
      </c>
      <c r="E364" s="4">
        <v>0</v>
      </c>
      <c r="F364" s="84">
        <v>0</v>
      </c>
      <c r="G364" s="6">
        <f t="shared" si="31"/>
        <v>0</v>
      </c>
      <c r="H364" s="4">
        <v>158</v>
      </c>
      <c r="I364" s="84">
        <v>6591.8</v>
      </c>
      <c r="J364" s="4">
        <v>0</v>
      </c>
      <c r="K364" s="84">
        <v>0</v>
      </c>
      <c r="L364" s="4">
        <f t="shared" si="29"/>
        <v>158</v>
      </c>
      <c r="M364" s="85">
        <f t="shared" si="30"/>
        <v>6591.8</v>
      </c>
      <c r="N364" s="7"/>
    </row>
    <row r="365" spans="1:14" x14ac:dyDescent="0.25">
      <c r="A365" s="4" t="s">
        <v>451</v>
      </c>
      <c r="B365" s="5" t="s">
        <v>450</v>
      </c>
      <c r="C365" s="4">
        <v>1266</v>
      </c>
      <c r="D365" s="84">
        <v>7762.12</v>
      </c>
      <c r="E365" s="4">
        <v>0</v>
      </c>
      <c r="F365" s="84">
        <v>0</v>
      </c>
      <c r="G365" s="6">
        <f t="shared" si="31"/>
        <v>0</v>
      </c>
      <c r="H365" s="4">
        <v>1266</v>
      </c>
      <c r="I365" s="84">
        <v>7762.12</v>
      </c>
      <c r="J365" s="4">
        <v>0</v>
      </c>
      <c r="K365" s="84">
        <v>0</v>
      </c>
      <c r="L365" s="4">
        <f t="shared" si="29"/>
        <v>1266</v>
      </c>
      <c r="M365" s="85">
        <f t="shared" si="30"/>
        <v>7762.12</v>
      </c>
      <c r="N365" s="7"/>
    </row>
    <row r="366" spans="1:14" x14ac:dyDescent="0.25">
      <c r="A366" s="4" t="s">
        <v>465</v>
      </c>
      <c r="B366" s="5" t="s">
        <v>464</v>
      </c>
      <c r="C366" s="4">
        <v>271</v>
      </c>
      <c r="D366" s="84">
        <v>4420.01</v>
      </c>
      <c r="E366" s="4">
        <v>163</v>
      </c>
      <c r="F366" s="84">
        <v>3963.7000000000025</v>
      </c>
      <c r="G366" s="6">
        <f t="shared" si="31"/>
        <v>0.47278591458912594</v>
      </c>
      <c r="H366" s="4">
        <v>434</v>
      </c>
      <c r="I366" s="84">
        <v>8383.7100000000028</v>
      </c>
      <c r="J366" s="4">
        <v>0</v>
      </c>
      <c r="K366" s="84">
        <v>0</v>
      </c>
      <c r="L366" s="4">
        <f t="shared" si="29"/>
        <v>434</v>
      </c>
      <c r="M366" s="85">
        <f t="shared" si="30"/>
        <v>8383.7100000000028</v>
      </c>
      <c r="N366" s="7"/>
    </row>
    <row r="367" spans="1:14" x14ac:dyDescent="0.25">
      <c r="A367" s="4" t="s">
        <v>449</v>
      </c>
      <c r="B367" s="5" t="s">
        <v>448</v>
      </c>
      <c r="C367" s="4">
        <v>1390</v>
      </c>
      <c r="D367" s="84">
        <v>9255.0300000000025</v>
      </c>
      <c r="E367" s="4">
        <v>0</v>
      </c>
      <c r="F367" s="84">
        <v>0</v>
      </c>
      <c r="G367" s="6">
        <f t="shared" si="31"/>
        <v>0</v>
      </c>
      <c r="H367" s="4">
        <v>1390</v>
      </c>
      <c r="I367" s="84">
        <v>9255.0300000000025</v>
      </c>
      <c r="J367" s="4">
        <v>0</v>
      </c>
      <c r="K367" s="84">
        <v>0</v>
      </c>
      <c r="L367" s="4">
        <f t="shared" si="29"/>
        <v>1390</v>
      </c>
      <c r="M367" s="85">
        <f t="shared" si="30"/>
        <v>9255.0300000000025</v>
      </c>
      <c r="N367" s="7"/>
    </row>
    <row r="368" spans="1:14" x14ac:dyDescent="0.25">
      <c r="A368" s="4" t="s">
        <v>453</v>
      </c>
      <c r="B368" s="5" t="s">
        <v>452</v>
      </c>
      <c r="C368" s="4">
        <v>513</v>
      </c>
      <c r="D368" s="84">
        <v>14031.1</v>
      </c>
      <c r="E368" s="4">
        <v>0</v>
      </c>
      <c r="F368" s="84">
        <v>0</v>
      </c>
      <c r="G368" s="6">
        <f t="shared" si="31"/>
        <v>0</v>
      </c>
      <c r="H368" s="4">
        <v>513</v>
      </c>
      <c r="I368" s="84">
        <v>14031.1</v>
      </c>
      <c r="J368" s="4">
        <v>0</v>
      </c>
      <c r="K368" s="84">
        <v>0</v>
      </c>
      <c r="L368" s="4">
        <f t="shared" si="29"/>
        <v>513</v>
      </c>
      <c r="M368" s="85">
        <f t="shared" si="30"/>
        <v>14031.1</v>
      </c>
      <c r="N368" s="7"/>
    </row>
    <row r="369" spans="1:14" x14ac:dyDescent="0.25">
      <c r="A369" s="4" t="s">
        <v>455</v>
      </c>
      <c r="B369" s="5" t="s">
        <v>454</v>
      </c>
      <c r="C369" s="4">
        <v>964</v>
      </c>
      <c r="D369" s="84">
        <v>14264.06</v>
      </c>
      <c r="E369" s="4">
        <v>0</v>
      </c>
      <c r="F369" s="84">
        <v>0</v>
      </c>
      <c r="G369" s="6">
        <f t="shared" si="31"/>
        <v>0</v>
      </c>
      <c r="H369" s="4">
        <v>964</v>
      </c>
      <c r="I369" s="84">
        <v>14264.06</v>
      </c>
      <c r="J369" s="4">
        <v>0</v>
      </c>
      <c r="K369" s="84">
        <v>0</v>
      </c>
      <c r="L369" s="4">
        <f t="shared" si="29"/>
        <v>964</v>
      </c>
      <c r="M369" s="85">
        <f t="shared" si="30"/>
        <v>14264.06</v>
      </c>
      <c r="N369" s="7"/>
    </row>
    <row r="370" spans="1:14" x14ac:dyDescent="0.25">
      <c r="A370" s="4" t="s">
        <v>469</v>
      </c>
      <c r="B370" s="5" t="s">
        <v>468</v>
      </c>
      <c r="C370" s="4">
        <v>573</v>
      </c>
      <c r="D370" s="84">
        <v>14714.27</v>
      </c>
      <c r="E370" s="4">
        <v>0</v>
      </c>
      <c r="F370" s="84">
        <v>0</v>
      </c>
      <c r="G370" s="6">
        <f t="shared" si="31"/>
        <v>0</v>
      </c>
      <c r="H370" s="4">
        <v>573</v>
      </c>
      <c r="I370" s="84">
        <v>14714.27</v>
      </c>
      <c r="J370" s="4">
        <v>0</v>
      </c>
      <c r="K370" s="84">
        <v>0</v>
      </c>
      <c r="L370" s="4">
        <f t="shared" si="29"/>
        <v>573</v>
      </c>
      <c r="M370" s="85">
        <f t="shared" si="30"/>
        <v>14714.27</v>
      </c>
      <c r="N370" s="7"/>
    </row>
    <row r="371" spans="1:14" x14ac:dyDescent="0.25">
      <c r="A371" s="4" t="s">
        <v>463</v>
      </c>
      <c r="B371" s="5" t="s">
        <v>462</v>
      </c>
      <c r="C371" s="4">
        <v>837</v>
      </c>
      <c r="D371" s="84">
        <v>14028.11</v>
      </c>
      <c r="E371" s="4">
        <v>85</v>
      </c>
      <c r="F371" s="84">
        <v>1745.6799999999992</v>
      </c>
      <c r="G371" s="6">
        <f t="shared" si="31"/>
        <v>0.11066966150810929</v>
      </c>
      <c r="H371" s="4">
        <v>922</v>
      </c>
      <c r="I371" s="84">
        <v>15773.789999999999</v>
      </c>
      <c r="J371" s="4">
        <v>0</v>
      </c>
      <c r="K371" s="84">
        <v>0</v>
      </c>
      <c r="L371" s="4">
        <f t="shared" si="29"/>
        <v>922</v>
      </c>
      <c r="M371" s="85">
        <f t="shared" si="30"/>
        <v>15773.789999999999</v>
      </c>
      <c r="N371" s="7"/>
    </row>
    <row r="372" spans="1:14" x14ac:dyDescent="0.25">
      <c r="A372" s="4" t="s">
        <v>728</v>
      </c>
      <c r="B372" s="5" t="s">
        <v>729</v>
      </c>
      <c r="C372" s="4">
        <v>0</v>
      </c>
      <c r="D372" s="84">
        <v>0</v>
      </c>
      <c r="E372" s="4">
        <v>0</v>
      </c>
      <c r="F372" s="84">
        <v>0</v>
      </c>
      <c r="G372" s="6"/>
      <c r="H372" s="4">
        <v>0</v>
      </c>
      <c r="I372" s="84">
        <v>0</v>
      </c>
      <c r="J372" s="4">
        <v>-1</v>
      </c>
      <c r="K372" s="84">
        <v>-4.0199999999999996</v>
      </c>
      <c r="L372" s="4">
        <f t="shared" si="29"/>
        <v>1</v>
      </c>
      <c r="M372" s="85">
        <f t="shared" si="30"/>
        <v>4.0199999999999996</v>
      </c>
      <c r="N372" s="7">
        <f t="shared" ref="N372:N387" si="32">M372/ABS(K372)</f>
        <v>1</v>
      </c>
    </row>
    <row r="373" spans="1:14" x14ac:dyDescent="0.25">
      <c r="A373" s="4" t="s">
        <v>765</v>
      </c>
      <c r="B373" s="5" t="s">
        <v>766</v>
      </c>
      <c r="C373" s="4">
        <v>0</v>
      </c>
      <c r="D373" s="84">
        <v>0</v>
      </c>
      <c r="E373" s="4">
        <v>0</v>
      </c>
      <c r="F373" s="84">
        <v>0</v>
      </c>
      <c r="G373" s="6"/>
      <c r="H373" s="4">
        <v>0</v>
      </c>
      <c r="I373" s="84">
        <v>0</v>
      </c>
      <c r="J373" s="4">
        <v>-1</v>
      </c>
      <c r="K373" s="84">
        <v>-10.75</v>
      </c>
      <c r="L373" s="4">
        <f t="shared" si="29"/>
        <v>1</v>
      </c>
      <c r="M373" s="85">
        <f t="shared" si="30"/>
        <v>10.75</v>
      </c>
      <c r="N373" s="7">
        <f t="shared" si="32"/>
        <v>1</v>
      </c>
    </row>
    <row r="374" spans="1:14" x14ac:dyDescent="0.25">
      <c r="A374" s="4" t="s">
        <v>632</v>
      </c>
      <c r="B374" s="5" t="s">
        <v>633</v>
      </c>
      <c r="C374" s="4">
        <v>0</v>
      </c>
      <c r="D374" s="84">
        <v>0</v>
      </c>
      <c r="E374" s="4">
        <v>0</v>
      </c>
      <c r="F374" s="84">
        <v>0</v>
      </c>
      <c r="G374" s="6"/>
      <c r="H374" s="4">
        <v>0</v>
      </c>
      <c r="I374" s="84">
        <v>0</v>
      </c>
      <c r="J374" s="4">
        <v>-1</v>
      </c>
      <c r="K374" s="84">
        <v>-10.84</v>
      </c>
      <c r="L374" s="4">
        <f t="shared" si="29"/>
        <v>1</v>
      </c>
      <c r="M374" s="85">
        <f t="shared" si="30"/>
        <v>10.84</v>
      </c>
      <c r="N374" s="7">
        <f t="shared" si="32"/>
        <v>1</v>
      </c>
    </row>
    <row r="375" spans="1:14" x14ac:dyDescent="0.25">
      <c r="A375" s="4" t="s">
        <v>759</v>
      </c>
      <c r="B375" s="5" t="s">
        <v>760</v>
      </c>
      <c r="C375" s="4">
        <v>0</v>
      </c>
      <c r="D375" s="84">
        <v>0</v>
      </c>
      <c r="E375" s="4">
        <v>0</v>
      </c>
      <c r="F375" s="84">
        <v>0</v>
      </c>
      <c r="G375" s="6"/>
      <c r="H375" s="4">
        <v>0</v>
      </c>
      <c r="I375" s="84">
        <v>0</v>
      </c>
      <c r="J375" s="4">
        <v>-1</v>
      </c>
      <c r="K375" s="84">
        <v>-11.39</v>
      </c>
      <c r="L375" s="4">
        <f t="shared" si="29"/>
        <v>1</v>
      </c>
      <c r="M375" s="85">
        <f t="shared" si="30"/>
        <v>11.39</v>
      </c>
      <c r="N375" s="7">
        <f t="shared" si="32"/>
        <v>1</v>
      </c>
    </row>
    <row r="376" spans="1:14" x14ac:dyDescent="0.25">
      <c r="A376" s="4" t="s">
        <v>690</v>
      </c>
      <c r="B376" s="5" t="s">
        <v>691</v>
      </c>
      <c r="C376" s="4">
        <v>0</v>
      </c>
      <c r="D376" s="84">
        <v>0</v>
      </c>
      <c r="E376" s="4">
        <v>0</v>
      </c>
      <c r="F376" s="84">
        <v>0</v>
      </c>
      <c r="G376" s="6"/>
      <c r="H376" s="4">
        <v>0</v>
      </c>
      <c r="I376" s="84">
        <v>0</v>
      </c>
      <c r="J376" s="4">
        <v>-1</v>
      </c>
      <c r="K376" s="84">
        <v>-12.06</v>
      </c>
      <c r="L376" s="4">
        <f t="shared" si="29"/>
        <v>1</v>
      </c>
      <c r="M376" s="85">
        <f t="shared" si="30"/>
        <v>12.06</v>
      </c>
      <c r="N376" s="7">
        <f t="shared" si="32"/>
        <v>1</v>
      </c>
    </row>
    <row r="377" spans="1:14" x14ac:dyDescent="0.25">
      <c r="A377" s="4" t="s">
        <v>694</v>
      </c>
      <c r="B377" s="5" t="s">
        <v>695</v>
      </c>
      <c r="C377" s="4">
        <v>0</v>
      </c>
      <c r="D377" s="84">
        <v>0</v>
      </c>
      <c r="E377" s="4">
        <v>0</v>
      </c>
      <c r="F377" s="84">
        <v>0</v>
      </c>
      <c r="G377" s="6"/>
      <c r="H377" s="4">
        <v>0</v>
      </c>
      <c r="I377" s="84">
        <v>0</v>
      </c>
      <c r="J377" s="4">
        <v>-1</v>
      </c>
      <c r="K377" s="84">
        <v>-16.309999999999999</v>
      </c>
      <c r="L377" s="4">
        <f t="shared" si="29"/>
        <v>1</v>
      </c>
      <c r="M377" s="85">
        <f t="shared" si="30"/>
        <v>16.309999999999999</v>
      </c>
      <c r="N377" s="7">
        <f t="shared" si="32"/>
        <v>1</v>
      </c>
    </row>
    <row r="378" spans="1:14" x14ac:dyDescent="0.25">
      <c r="A378" s="4" t="s">
        <v>755</v>
      </c>
      <c r="B378" s="5" t="s">
        <v>756</v>
      </c>
      <c r="C378" s="4">
        <v>0</v>
      </c>
      <c r="D378" s="84">
        <v>0</v>
      </c>
      <c r="E378" s="4">
        <v>0</v>
      </c>
      <c r="F378" s="84">
        <v>0</v>
      </c>
      <c r="G378" s="6"/>
      <c r="H378" s="4">
        <v>0</v>
      </c>
      <c r="I378" s="84">
        <v>0</v>
      </c>
      <c r="J378" s="4">
        <v>-2</v>
      </c>
      <c r="K378" s="84">
        <v>-16.5</v>
      </c>
      <c r="L378" s="4">
        <f t="shared" si="29"/>
        <v>2</v>
      </c>
      <c r="M378" s="85">
        <f t="shared" si="30"/>
        <v>16.5</v>
      </c>
      <c r="N378" s="7">
        <f t="shared" si="32"/>
        <v>1</v>
      </c>
    </row>
    <row r="379" spans="1:14" x14ac:dyDescent="0.25">
      <c r="A379" s="4" t="s">
        <v>749</v>
      </c>
      <c r="B379" s="5" t="s">
        <v>750</v>
      </c>
      <c r="C379" s="4">
        <v>0</v>
      </c>
      <c r="D379" s="84">
        <v>0</v>
      </c>
      <c r="E379" s="4">
        <v>0</v>
      </c>
      <c r="F379" s="84">
        <v>0</v>
      </c>
      <c r="G379" s="6"/>
      <c r="H379" s="4">
        <v>0</v>
      </c>
      <c r="I379" s="84">
        <v>0</v>
      </c>
      <c r="J379" s="4">
        <v>-1</v>
      </c>
      <c r="K379" s="84">
        <v>-16.97</v>
      </c>
      <c r="L379" s="4">
        <f t="shared" si="29"/>
        <v>1</v>
      </c>
      <c r="M379" s="85">
        <f t="shared" si="30"/>
        <v>16.97</v>
      </c>
      <c r="N379" s="7">
        <f t="shared" si="32"/>
        <v>1</v>
      </c>
    </row>
    <row r="380" spans="1:14" x14ac:dyDescent="0.25">
      <c r="A380" s="4" t="s">
        <v>608</v>
      </c>
      <c r="B380" s="5" t="s">
        <v>609</v>
      </c>
      <c r="C380" s="4">
        <v>0</v>
      </c>
      <c r="D380" s="84">
        <v>0</v>
      </c>
      <c r="E380" s="4">
        <v>0</v>
      </c>
      <c r="F380" s="84">
        <v>0</v>
      </c>
      <c r="G380" s="6"/>
      <c r="H380" s="4">
        <v>0</v>
      </c>
      <c r="I380" s="84">
        <v>0</v>
      </c>
      <c r="J380" s="4">
        <v>-1</v>
      </c>
      <c r="K380" s="84">
        <v>-17.09</v>
      </c>
      <c r="L380" s="4">
        <f t="shared" si="29"/>
        <v>1</v>
      </c>
      <c r="M380" s="85">
        <f t="shared" si="30"/>
        <v>17.09</v>
      </c>
      <c r="N380" s="7">
        <f t="shared" si="32"/>
        <v>1</v>
      </c>
    </row>
    <row r="381" spans="1:14" x14ac:dyDescent="0.25">
      <c r="A381" s="4" t="s">
        <v>648</v>
      </c>
      <c r="B381" s="5" t="s">
        <v>649</v>
      </c>
      <c r="C381" s="4">
        <v>0</v>
      </c>
      <c r="D381" s="84">
        <v>0</v>
      </c>
      <c r="E381" s="4">
        <v>0</v>
      </c>
      <c r="F381" s="84">
        <v>0</v>
      </c>
      <c r="G381" s="6"/>
      <c r="H381" s="4">
        <v>0</v>
      </c>
      <c r="I381" s="84">
        <v>0</v>
      </c>
      <c r="J381" s="4">
        <v>-3</v>
      </c>
      <c r="K381" s="84">
        <v>-24.33</v>
      </c>
      <c r="L381" s="4">
        <f t="shared" si="29"/>
        <v>3</v>
      </c>
      <c r="M381" s="85">
        <f t="shared" si="30"/>
        <v>24.33</v>
      </c>
      <c r="N381" s="7">
        <f t="shared" si="32"/>
        <v>1</v>
      </c>
    </row>
    <row r="382" spans="1:14" x14ac:dyDescent="0.25">
      <c r="A382" s="4" t="s">
        <v>680</v>
      </c>
      <c r="B382" s="5" t="s">
        <v>681</v>
      </c>
      <c r="C382" s="4">
        <v>0</v>
      </c>
      <c r="D382" s="84">
        <v>0</v>
      </c>
      <c r="E382" s="4">
        <v>0</v>
      </c>
      <c r="F382" s="84">
        <v>0</v>
      </c>
      <c r="G382" s="6"/>
      <c r="H382" s="4">
        <v>0</v>
      </c>
      <c r="I382" s="84">
        <v>0</v>
      </c>
      <c r="J382" s="4">
        <v>-1</v>
      </c>
      <c r="K382" s="84">
        <v>-24.61</v>
      </c>
      <c r="L382" s="4">
        <f t="shared" si="29"/>
        <v>1</v>
      </c>
      <c r="M382" s="85">
        <f t="shared" si="30"/>
        <v>24.61</v>
      </c>
      <c r="N382" s="7">
        <f t="shared" si="32"/>
        <v>1</v>
      </c>
    </row>
    <row r="383" spans="1:14" x14ac:dyDescent="0.25">
      <c r="A383" s="4" t="s">
        <v>584</v>
      </c>
      <c r="B383" s="5" t="s">
        <v>585</v>
      </c>
      <c r="C383" s="4">
        <v>0</v>
      </c>
      <c r="D383" s="84">
        <v>0</v>
      </c>
      <c r="E383" s="4">
        <v>0</v>
      </c>
      <c r="F383" s="84">
        <v>0</v>
      </c>
      <c r="G383" s="6"/>
      <c r="H383" s="4">
        <v>0</v>
      </c>
      <c r="I383" s="84">
        <v>0</v>
      </c>
      <c r="J383" s="4">
        <v>-3</v>
      </c>
      <c r="K383" s="84">
        <v>-28.5</v>
      </c>
      <c r="L383" s="4">
        <f t="shared" si="29"/>
        <v>3</v>
      </c>
      <c r="M383" s="85">
        <f t="shared" si="30"/>
        <v>28.5</v>
      </c>
      <c r="N383" s="7">
        <f t="shared" si="32"/>
        <v>1</v>
      </c>
    </row>
    <row r="384" spans="1:14" x14ac:dyDescent="0.25">
      <c r="A384" s="4" t="s">
        <v>674</v>
      </c>
      <c r="B384" s="5" t="s">
        <v>675</v>
      </c>
      <c r="C384" s="4">
        <v>0</v>
      </c>
      <c r="D384" s="84">
        <v>0</v>
      </c>
      <c r="E384" s="4">
        <v>0</v>
      </c>
      <c r="F384" s="84">
        <v>0</v>
      </c>
      <c r="G384" s="6"/>
      <c r="H384" s="4">
        <v>0</v>
      </c>
      <c r="I384" s="84">
        <v>0</v>
      </c>
      <c r="J384" s="4">
        <v>-3</v>
      </c>
      <c r="K384" s="84">
        <v>-31.98</v>
      </c>
      <c r="L384" s="4">
        <f t="shared" si="29"/>
        <v>3</v>
      </c>
      <c r="M384" s="85">
        <f t="shared" si="30"/>
        <v>31.98</v>
      </c>
      <c r="N384" s="7">
        <f t="shared" si="32"/>
        <v>1</v>
      </c>
    </row>
    <row r="385" spans="1:14" x14ac:dyDescent="0.25">
      <c r="A385" s="4" t="s">
        <v>722</v>
      </c>
      <c r="B385" s="5" t="s">
        <v>723</v>
      </c>
      <c r="C385" s="4">
        <v>0</v>
      </c>
      <c r="D385" s="84">
        <v>0</v>
      </c>
      <c r="E385" s="4">
        <v>0</v>
      </c>
      <c r="F385" s="84">
        <v>0</v>
      </c>
      <c r="G385" s="6"/>
      <c r="H385" s="4">
        <v>0</v>
      </c>
      <c r="I385" s="84">
        <v>0</v>
      </c>
      <c r="J385" s="4">
        <v>-2</v>
      </c>
      <c r="K385" s="84">
        <v>-33.44</v>
      </c>
      <c r="L385" s="4">
        <f t="shared" si="29"/>
        <v>2</v>
      </c>
      <c r="M385" s="85">
        <f t="shared" si="30"/>
        <v>33.44</v>
      </c>
      <c r="N385" s="7">
        <f t="shared" si="32"/>
        <v>1</v>
      </c>
    </row>
    <row r="386" spans="1:14" x14ac:dyDescent="0.25">
      <c r="A386" s="4" t="s">
        <v>209</v>
      </c>
      <c r="B386" s="5" t="s">
        <v>208</v>
      </c>
      <c r="C386" s="4">
        <v>0</v>
      </c>
      <c r="D386" s="84">
        <v>0</v>
      </c>
      <c r="E386" s="4">
        <v>0</v>
      </c>
      <c r="F386" s="84">
        <v>0</v>
      </c>
      <c r="G386" s="6"/>
      <c r="H386" s="4">
        <v>0</v>
      </c>
      <c r="I386" s="84">
        <v>0</v>
      </c>
      <c r="J386" s="4">
        <v>-3</v>
      </c>
      <c r="K386" s="84">
        <v>-55.37</v>
      </c>
      <c r="L386" s="4">
        <f t="shared" si="29"/>
        <v>3</v>
      </c>
      <c r="M386" s="85">
        <f t="shared" si="30"/>
        <v>55.37</v>
      </c>
      <c r="N386" s="7">
        <f t="shared" si="32"/>
        <v>1</v>
      </c>
    </row>
    <row r="387" spans="1:14" x14ac:dyDescent="0.25">
      <c r="A387" s="97" t="s">
        <v>61</v>
      </c>
      <c r="B387" s="99" t="s">
        <v>60</v>
      </c>
      <c r="C387" s="97">
        <v>7</v>
      </c>
      <c r="D387" s="101">
        <v>141.54999999999998</v>
      </c>
      <c r="E387" s="97">
        <v>0</v>
      </c>
      <c r="F387" s="101">
        <v>0</v>
      </c>
      <c r="G387" s="103">
        <f>F387/I387</f>
        <v>0</v>
      </c>
      <c r="H387" s="97">
        <v>7</v>
      </c>
      <c r="I387" s="101">
        <v>141.54999999999998</v>
      </c>
      <c r="J387" s="97">
        <v>-4</v>
      </c>
      <c r="K387" s="101">
        <v>-63</v>
      </c>
      <c r="L387" s="97">
        <f t="shared" si="29"/>
        <v>11</v>
      </c>
      <c r="M387" s="105">
        <f t="shared" si="30"/>
        <v>204.54999999999998</v>
      </c>
      <c r="N387" s="45">
        <f t="shared" si="32"/>
        <v>3.2468253968253964</v>
      </c>
    </row>
  </sheetData>
  <autoFilter ref="A1:N386" xr:uid="{E8759CAC-7D21-4EC6-90BE-7E5508D0F9FC}">
    <sortState xmlns:xlrd2="http://schemas.microsoft.com/office/spreadsheetml/2017/richdata2" ref="A2:N387">
      <sortCondition descending="1" ref="K1:K386"/>
    </sortState>
  </autoFilter>
  <conditionalFormatting sqref="L2:N387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248B-ACD9-42B2-BE3A-121098D785BC}">
  <dimension ref="A1:N391"/>
  <sheetViews>
    <sheetView zoomScale="145" zoomScaleNormal="145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1" sqref="A1:XFD2"/>
    </sheetView>
  </sheetViews>
  <sheetFormatPr defaultRowHeight="15" x14ac:dyDescent="0.25"/>
  <cols>
    <col min="1" max="1" width="18.28515625" style="31" bestFit="1" customWidth="1"/>
    <col min="2" max="2" width="15.85546875" style="31" bestFit="1" customWidth="1"/>
    <col min="3" max="3" width="20.7109375" style="31" bestFit="1" customWidth="1"/>
    <col min="4" max="4" width="27.85546875" style="81" bestFit="1" customWidth="1"/>
    <col min="5" max="5" width="16.7109375" style="31" bestFit="1" customWidth="1"/>
    <col min="6" max="6" width="23.85546875" style="81" bestFit="1" customWidth="1"/>
    <col min="7" max="7" width="30" style="42" bestFit="1" customWidth="1"/>
    <col min="8" max="8" width="25" style="31" bestFit="1" customWidth="1"/>
    <col min="9" max="9" width="32.140625" style="81" bestFit="1" customWidth="1"/>
    <col min="10" max="10" width="20.7109375" style="31" bestFit="1" customWidth="1"/>
    <col min="11" max="11" width="26.42578125" style="81" bestFit="1" customWidth="1"/>
    <col min="12" max="12" width="21" style="31" bestFit="1" customWidth="1"/>
    <col min="13" max="13" width="22.85546875" style="81" bestFit="1" customWidth="1"/>
    <col min="14" max="14" width="23.42578125" style="42" bestFit="1" customWidth="1"/>
    <col min="15" max="16384" width="9.140625" style="31"/>
  </cols>
  <sheetData>
    <row r="1" spans="1:14" s="3" customFormat="1" ht="15.75" thickBot="1" x14ac:dyDescent="0.3">
      <c r="A1" s="49" t="s">
        <v>1</v>
      </c>
      <c r="B1" s="66" t="s">
        <v>0</v>
      </c>
      <c r="C1" s="61" t="s">
        <v>789</v>
      </c>
      <c r="D1" s="50" t="s">
        <v>790</v>
      </c>
      <c r="E1" s="51" t="s">
        <v>791</v>
      </c>
      <c r="F1" s="50" t="s">
        <v>792</v>
      </c>
      <c r="G1" s="52" t="s">
        <v>799</v>
      </c>
      <c r="H1" s="51" t="s">
        <v>793</v>
      </c>
      <c r="I1" s="50" t="s">
        <v>794</v>
      </c>
      <c r="J1" s="72" t="s">
        <v>795</v>
      </c>
      <c r="K1" s="56" t="s">
        <v>796</v>
      </c>
      <c r="L1" s="73" t="s">
        <v>802</v>
      </c>
      <c r="M1" s="58" t="s">
        <v>803</v>
      </c>
      <c r="N1" s="59" t="s">
        <v>804</v>
      </c>
    </row>
    <row r="2" spans="1:14" x14ac:dyDescent="0.25">
      <c r="A2" s="75" t="s">
        <v>11</v>
      </c>
      <c r="B2" s="76" t="s">
        <v>10</v>
      </c>
      <c r="C2" s="31">
        <v>1283</v>
      </c>
      <c r="D2" s="79">
        <v>18842.32</v>
      </c>
      <c r="E2" s="33">
        <v>4</v>
      </c>
      <c r="F2" s="79">
        <v>80.599999999999994</v>
      </c>
      <c r="G2" s="34">
        <f>F2/I2</f>
        <v>4.2593849152245001E-3</v>
      </c>
      <c r="H2" s="33">
        <v>1287</v>
      </c>
      <c r="I2" s="79">
        <v>18922.919999999998</v>
      </c>
      <c r="J2" s="33">
        <v>332</v>
      </c>
      <c r="K2" s="79">
        <v>4319.3599999999997</v>
      </c>
      <c r="L2" s="33">
        <f>H2-J2</f>
        <v>955</v>
      </c>
      <c r="M2" s="82">
        <f>I2-K2</f>
        <v>14603.559999999998</v>
      </c>
      <c r="N2" s="35">
        <f>M2/ABS(K2)</f>
        <v>3.3809545858645724</v>
      </c>
    </row>
    <row r="3" spans="1:14" x14ac:dyDescent="0.25">
      <c r="A3" s="75" t="s">
        <v>13</v>
      </c>
      <c r="B3" s="76" t="s">
        <v>12</v>
      </c>
      <c r="C3" s="31">
        <v>0</v>
      </c>
      <c r="D3" s="79">
        <v>0</v>
      </c>
      <c r="E3" s="33">
        <v>0</v>
      </c>
      <c r="F3" s="79">
        <v>0</v>
      </c>
      <c r="G3" s="34"/>
      <c r="H3" s="33">
        <v>0</v>
      </c>
      <c r="I3" s="79">
        <v>0</v>
      </c>
      <c r="J3" s="33">
        <v>0</v>
      </c>
      <c r="K3" s="79">
        <v>0</v>
      </c>
      <c r="L3" s="33">
        <f t="shared" ref="L3:L66" si="0">H3-J3</f>
        <v>0</v>
      </c>
      <c r="M3" s="81">
        <f t="shared" ref="M3:M66" si="1">I3-K3</f>
        <v>0</v>
      </c>
      <c r="N3" s="35"/>
    </row>
    <row r="4" spans="1:14" x14ac:dyDescent="0.25">
      <c r="A4" s="75" t="s">
        <v>15</v>
      </c>
      <c r="B4" s="76" t="s">
        <v>14</v>
      </c>
      <c r="C4" s="31">
        <v>13</v>
      </c>
      <c r="D4" s="79">
        <v>180.04999999999998</v>
      </c>
      <c r="E4" s="33">
        <v>0</v>
      </c>
      <c r="F4" s="79">
        <v>0</v>
      </c>
      <c r="G4" s="34">
        <f>F4/I4</f>
        <v>0</v>
      </c>
      <c r="H4" s="33">
        <v>13</v>
      </c>
      <c r="I4" s="79">
        <v>180.04999999999998</v>
      </c>
      <c r="J4" s="33">
        <v>3</v>
      </c>
      <c r="K4" s="79">
        <v>56.319999999999993</v>
      </c>
      <c r="L4" s="33">
        <f t="shared" si="0"/>
        <v>10</v>
      </c>
      <c r="M4" s="81">
        <f t="shared" si="1"/>
        <v>123.72999999999999</v>
      </c>
      <c r="N4" s="35">
        <f t="shared" ref="N4:N66" si="2">M4/ABS(K4)</f>
        <v>2.1969105113636362</v>
      </c>
    </row>
    <row r="5" spans="1:14" x14ac:dyDescent="0.25">
      <c r="A5" s="75" t="s">
        <v>473</v>
      </c>
      <c r="B5" s="76" t="s">
        <v>472</v>
      </c>
      <c r="C5" s="31">
        <v>0</v>
      </c>
      <c r="D5" s="79">
        <v>0</v>
      </c>
      <c r="E5" s="33">
        <v>0</v>
      </c>
      <c r="F5" s="79">
        <v>0</v>
      </c>
      <c r="G5" s="34"/>
      <c r="H5" s="33">
        <v>0</v>
      </c>
      <c r="I5" s="79">
        <v>0</v>
      </c>
      <c r="J5" s="33">
        <v>0</v>
      </c>
      <c r="K5" s="79">
        <v>0</v>
      </c>
      <c r="L5" s="33">
        <f t="shared" si="0"/>
        <v>0</v>
      </c>
      <c r="M5" s="81">
        <f t="shared" si="1"/>
        <v>0</v>
      </c>
      <c r="N5" s="35"/>
    </row>
    <row r="6" spans="1:14" x14ac:dyDescent="0.25">
      <c r="A6" s="75" t="s">
        <v>17</v>
      </c>
      <c r="B6" s="76" t="s">
        <v>16</v>
      </c>
      <c r="C6" s="31">
        <v>0</v>
      </c>
      <c r="D6" s="79">
        <v>0</v>
      </c>
      <c r="E6" s="33">
        <v>0</v>
      </c>
      <c r="F6" s="79">
        <v>0</v>
      </c>
      <c r="G6" s="34"/>
      <c r="H6" s="33">
        <v>0</v>
      </c>
      <c r="I6" s="79">
        <v>0</v>
      </c>
      <c r="J6" s="33">
        <v>3</v>
      </c>
      <c r="K6" s="79">
        <v>59.97</v>
      </c>
      <c r="L6" s="33">
        <f t="shared" si="0"/>
        <v>-3</v>
      </c>
      <c r="M6" s="81">
        <f t="shared" si="1"/>
        <v>-59.97</v>
      </c>
      <c r="N6" s="35">
        <f t="shared" si="2"/>
        <v>-1</v>
      </c>
    </row>
    <row r="7" spans="1:14" x14ac:dyDescent="0.25">
      <c r="A7" s="75" t="s">
        <v>532</v>
      </c>
      <c r="B7" s="76" t="s">
        <v>531</v>
      </c>
      <c r="C7" s="31">
        <v>89</v>
      </c>
      <c r="D7" s="79">
        <v>525.67000000000007</v>
      </c>
      <c r="E7" s="33">
        <v>0</v>
      </c>
      <c r="F7" s="79">
        <v>0</v>
      </c>
      <c r="G7" s="34">
        <f>F7/I7</f>
        <v>0</v>
      </c>
      <c r="H7" s="33">
        <v>89</v>
      </c>
      <c r="I7" s="79">
        <v>525.67000000000007</v>
      </c>
      <c r="J7" s="33">
        <v>316</v>
      </c>
      <c r="K7" s="79">
        <v>1953.7800000000002</v>
      </c>
      <c r="L7" s="33">
        <f t="shared" si="0"/>
        <v>-227</v>
      </c>
      <c r="M7" s="81">
        <f t="shared" si="1"/>
        <v>-1428.1100000000001</v>
      </c>
      <c r="N7" s="35">
        <f t="shared" si="2"/>
        <v>-0.7309471895505123</v>
      </c>
    </row>
    <row r="8" spans="1:14" x14ac:dyDescent="0.25">
      <c r="A8" s="75" t="s">
        <v>747</v>
      </c>
      <c r="B8" s="76" t="s">
        <v>748</v>
      </c>
      <c r="C8" s="31">
        <v>0</v>
      </c>
      <c r="D8" s="79">
        <v>0</v>
      </c>
      <c r="E8" s="33">
        <v>0</v>
      </c>
      <c r="F8" s="79">
        <v>0</v>
      </c>
      <c r="G8" s="34"/>
      <c r="H8" s="33">
        <v>0</v>
      </c>
      <c r="I8" s="79">
        <v>0</v>
      </c>
      <c r="J8" s="33">
        <v>0</v>
      </c>
      <c r="K8" s="79">
        <v>0</v>
      </c>
      <c r="L8" s="33">
        <f t="shared" si="0"/>
        <v>0</v>
      </c>
      <c r="M8" s="81">
        <f t="shared" si="1"/>
        <v>0</v>
      </c>
      <c r="N8" s="35"/>
    </row>
    <row r="9" spans="1:14" x14ac:dyDescent="0.25">
      <c r="A9" s="75" t="s">
        <v>572</v>
      </c>
      <c r="B9" s="76" t="s">
        <v>573</v>
      </c>
      <c r="C9" s="31">
        <v>0</v>
      </c>
      <c r="D9" s="79">
        <v>0</v>
      </c>
      <c r="E9" s="33">
        <v>0</v>
      </c>
      <c r="F9" s="79">
        <v>0</v>
      </c>
      <c r="G9" s="34"/>
      <c r="H9" s="33">
        <v>0</v>
      </c>
      <c r="I9" s="79">
        <v>0</v>
      </c>
      <c r="J9" s="33">
        <v>0</v>
      </c>
      <c r="K9" s="79">
        <v>0</v>
      </c>
      <c r="L9" s="33">
        <f t="shared" si="0"/>
        <v>0</v>
      </c>
      <c r="M9" s="81">
        <f t="shared" si="1"/>
        <v>0</v>
      </c>
      <c r="N9" s="35"/>
    </row>
    <row r="10" spans="1:14" x14ac:dyDescent="0.25">
      <c r="A10" s="75" t="s">
        <v>574</v>
      </c>
      <c r="B10" s="76" t="s">
        <v>575</v>
      </c>
      <c r="C10" s="31">
        <v>0</v>
      </c>
      <c r="D10" s="79">
        <v>0</v>
      </c>
      <c r="E10" s="33">
        <v>135</v>
      </c>
      <c r="F10" s="79">
        <v>4127.010000000002</v>
      </c>
      <c r="G10" s="34">
        <f>F10/I10</f>
        <v>1</v>
      </c>
      <c r="H10" s="33">
        <v>135</v>
      </c>
      <c r="I10" s="79">
        <v>4127.010000000002</v>
      </c>
      <c r="J10" s="33">
        <v>331</v>
      </c>
      <c r="K10" s="79">
        <v>6819.44</v>
      </c>
      <c r="L10" s="33">
        <f t="shared" si="0"/>
        <v>-196</v>
      </c>
      <c r="M10" s="81">
        <f t="shared" si="1"/>
        <v>-2692.4299999999976</v>
      </c>
      <c r="N10" s="35">
        <f t="shared" si="2"/>
        <v>-0.39481687645906377</v>
      </c>
    </row>
    <row r="11" spans="1:14" x14ac:dyDescent="0.25">
      <c r="A11" s="75" t="s">
        <v>576</v>
      </c>
      <c r="B11" s="76" t="s">
        <v>577</v>
      </c>
      <c r="C11" s="31">
        <v>0</v>
      </c>
      <c r="D11" s="79">
        <v>0</v>
      </c>
      <c r="E11" s="33">
        <v>0</v>
      </c>
      <c r="F11" s="79">
        <v>0</v>
      </c>
      <c r="G11" s="34"/>
      <c r="H11" s="33">
        <v>0</v>
      </c>
      <c r="I11" s="79">
        <v>0</v>
      </c>
      <c r="J11" s="33">
        <v>0</v>
      </c>
      <c r="K11" s="79">
        <v>0</v>
      </c>
      <c r="L11" s="33">
        <f t="shared" si="0"/>
        <v>0</v>
      </c>
      <c r="M11" s="81">
        <f t="shared" si="1"/>
        <v>0</v>
      </c>
      <c r="N11" s="35"/>
    </row>
    <row r="12" spans="1:14" x14ac:dyDescent="0.25">
      <c r="A12" s="75" t="s">
        <v>19</v>
      </c>
      <c r="B12" s="76" t="s">
        <v>18</v>
      </c>
      <c r="C12" s="31">
        <v>0</v>
      </c>
      <c r="D12" s="79">
        <v>0</v>
      </c>
      <c r="E12" s="33">
        <v>0</v>
      </c>
      <c r="F12" s="79">
        <v>0</v>
      </c>
      <c r="G12" s="34"/>
      <c r="H12" s="33">
        <v>0</v>
      </c>
      <c r="I12" s="79">
        <v>0</v>
      </c>
      <c r="J12" s="33">
        <v>17</v>
      </c>
      <c r="K12" s="79">
        <v>132.87</v>
      </c>
      <c r="L12" s="33">
        <f t="shared" si="0"/>
        <v>-17</v>
      </c>
      <c r="M12" s="81">
        <f t="shared" si="1"/>
        <v>-132.87</v>
      </c>
      <c r="N12" s="35">
        <f t="shared" si="2"/>
        <v>-1</v>
      </c>
    </row>
    <row r="13" spans="1:14" x14ac:dyDescent="0.25">
      <c r="A13" s="75" t="s">
        <v>554</v>
      </c>
      <c r="B13" s="76" t="s">
        <v>553</v>
      </c>
      <c r="C13" s="31">
        <v>0</v>
      </c>
      <c r="D13" s="79">
        <v>0</v>
      </c>
      <c r="E13" s="33">
        <v>0</v>
      </c>
      <c r="F13" s="79">
        <v>0</v>
      </c>
      <c r="G13" s="34"/>
      <c r="H13" s="33">
        <v>0</v>
      </c>
      <c r="I13" s="79">
        <v>0</v>
      </c>
      <c r="J13" s="33">
        <v>0</v>
      </c>
      <c r="K13" s="79">
        <v>0</v>
      </c>
      <c r="L13" s="33">
        <f t="shared" si="0"/>
        <v>0</v>
      </c>
      <c r="M13" s="81">
        <f t="shared" si="1"/>
        <v>0</v>
      </c>
      <c r="N13" s="35"/>
    </row>
    <row r="14" spans="1:14" x14ac:dyDescent="0.25">
      <c r="A14" s="75" t="s">
        <v>578</v>
      </c>
      <c r="B14" s="76" t="s">
        <v>579</v>
      </c>
      <c r="C14" s="31">
        <v>3</v>
      </c>
      <c r="D14" s="79">
        <v>61.3</v>
      </c>
      <c r="E14" s="33">
        <v>0</v>
      </c>
      <c r="F14" s="79">
        <v>0</v>
      </c>
      <c r="G14" s="34">
        <f t="shared" ref="G14:G72" si="3">F14/I14</f>
        <v>0</v>
      </c>
      <c r="H14" s="33">
        <v>3</v>
      </c>
      <c r="I14" s="79">
        <v>61.3</v>
      </c>
      <c r="J14" s="33">
        <v>9</v>
      </c>
      <c r="K14" s="79">
        <v>162.29</v>
      </c>
      <c r="L14" s="33">
        <f t="shared" si="0"/>
        <v>-6</v>
      </c>
      <c r="M14" s="81">
        <f t="shared" si="1"/>
        <v>-100.99</v>
      </c>
      <c r="N14" s="35">
        <f t="shared" si="2"/>
        <v>-0.62228110173146833</v>
      </c>
    </row>
    <row r="15" spans="1:14" x14ac:dyDescent="0.25">
      <c r="A15" s="75" t="s">
        <v>21</v>
      </c>
      <c r="B15" s="76" t="s">
        <v>20</v>
      </c>
      <c r="C15" s="31">
        <v>15</v>
      </c>
      <c r="D15" s="79">
        <v>369.33000000000004</v>
      </c>
      <c r="E15" s="33">
        <v>0</v>
      </c>
      <c r="F15" s="79">
        <v>0</v>
      </c>
      <c r="G15" s="34">
        <f t="shared" si="3"/>
        <v>0</v>
      </c>
      <c r="H15" s="33">
        <v>15</v>
      </c>
      <c r="I15" s="79">
        <v>369.33000000000004</v>
      </c>
      <c r="J15" s="33">
        <v>26</v>
      </c>
      <c r="K15" s="79">
        <v>470.43999999999994</v>
      </c>
      <c r="L15" s="33">
        <f t="shared" si="0"/>
        <v>-11</v>
      </c>
      <c r="M15" s="81">
        <f t="shared" si="1"/>
        <v>-101.1099999999999</v>
      </c>
      <c r="N15" s="35">
        <f t="shared" si="2"/>
        <v>-0.214926451832327</v>
      </c>
    </row>
    <row r="16" spans="1:14" x14ac:dyDescent="0.25">
      <c r="A16" s="75" t="s">
        <v>23</v>
      </c>
      <c r="B16" s="76" t="s">
        <v>22</v>
      </c>
      <c r="C16" s="31">
        <v>974</v>
      </c>
      <c r="D16" s="79">
        <v>17624.53</v>
      </c>
      <c r="E16" s="33">
        <v>0</v>
      </c>
      <c r="F16" s="79">
        <v>0</v>
      </c>
      <c r="G16" s="34">
        <f t="shared" si="3"/>
        <v>0</v>
      </c>
      <c r="H16" s="33">
        <v>974</v>
      </c>
      <c r="I16" s="79">
        <v>17624.53</v>
      </c>
      <c r="J16" s="33">
        <v>457</v>
      </c>
      <c r="K16" s="79">
        <v>7625.1299999999992</v>
      </c>
      <c r="L16" s="33">
        <f t="shared" si="0"/>
        <v>517</v>
      </c>
      <c r="M16" s="81">
        <f t="shared" si="1"/>
        <v>9999.4</v>
      </c>
      <c r="N16" s="35">
        <f t="shared" si="2"/>
        <v>1.3113743634534756</v>
      </c>
    </row>
    <row r="17" spans="1:14" x14ac:dyDescent="0.25">
      <c r="A17" s="75" t="s">
        <v>25</v>
      </c>
      <c r="B17" s="76" t="s">
        <v>24</v>
      </c>
      <c r="C17" s="31">
        <v>2</v>
      </c>
      <c r="D17" s="79">
        <v>40.82</v>
      </c>
      <c r="E17" s="33">
        <v>193</v>
      </c>
      <c r="F17" s="79">
        <v>5934.7000000000071</v>
      </c>
      <c r="G17" s="34">
        <f t="shared" si="3"/>
        <v>0.99316879535170166</v>
      </c>
      <c r="H17" s="33">
        <v>195</v>
      </c>
      <c r="I17" s="79">
        <v>5975.5200000000068</v>
      </c>
      <c r="J17" s="33">
        <v>1397</v>
      </c>
      <c r="K17" s="79">
        <v>28512.77</v>
      </c>
      <c r="L17" s="33">
        <f t="shared" si="0"/>
        <v>-1202</v>
      </c>
      <c r="M17" s="81">
        <f t="shared" si="1"/>
        <v>-22537.249999999993</v>
      </c>
      <c r="N17" s="35">
        <f t="shared" si="2"/>
        <v>-0.79042653519808814</v>
      </c>
    </row>
    <row r="18" spans="1:14" x14ac:dyDescent="0.25">
      <c r="A18" s="75" t="s">
        <v>534</v>
      </c>
      <c r="B18" s="76" t="s">
        <v>533</v>
      </c>
      <c r="C18" s="31">
        <v>7</v>
      </c>
      <c r="D18" s="79">
        <v>343.51</v>
      </c>
      <c r="E18" s="33">
        <v>0</v>
      </c>
      <c r="F18" s="79">
        <v>0</v>
      </c>
      <c r="G18" s="34">
        <f t="shared" si="3"/>
        <v>0</v>
      </c>
      <c r="H18" s="33">
        <v>7</v>
      </c>
      <c r="I18" s="79">
        <v>343.51</v>
      </c>
      <c r="J18" s="33">
        <v>14</v>
      </c>
      <c r="K18" s="79">
        <v>712.15</v>
      </c>
      <c r="L18" s="33">
        <f t="shared" si="0"/>
        <v>-7</v>
      </c>
      <c r="M18" s="81">
        <f t="shared" si="1"/>
        <v>-368.64</v>
      </c>
      <c r="N18" s="35">
        <f t="shared" si="2"/>
        <v>-0.51764375482693248</v>
      </c>
    </row>
    <row r="19" spans="1:14" x14ac:dyDescent="0.25">
      <c r="A19" s="75" t="s">
        <v>580</v>
      </c>
      <c r="B19" s="76" t="s">
        <v>581</v>
      </c>
      <c r="C19" s="31">
        <v>1</v>
      </c>
      <c r="D19" s="79">
        <v>10.57</v>
      </c>
      <c r="E19" s="33">
        <v>0</v>
      </c>
      <c r="F19" s="79">
        <v>0</v>
      </c>
      <c r="G19" s="34">
        <f t="shared" si="3"/>
        <v>0</v>
      </c>
      <c r="H19" s="33">
        <v>1</v>
      </c>
      <c r="I19" s="79">
        <v>10.57</v>
      </c>
      <c r="J19" s="33">
        <v>11</v>
      </c>
      <c r="K19" s="79">
        <v>113.41</v>
      </c>
      <c r="L19" s="33">
        <f t="shared" si="0"/>
        <v>-10</v>
      </c>
      <c r="M19" s="81">
        <f t="shared" si="1"/>
        <v>-102.84</v>
      </c>
      <c r="N19" s="35">
        <f t="shared" si="2"/>
        <v>-0.90679834229785738</v>
      </c>
    </row>
    <row r="20" spans="1:14" x14ac:dyDescent="0.25">
      <c r="A20" s="75" t="s">
        <v>582</v>
      </c>
      <c r="B20" s="76" t="s">
        <v>583</v>
      </c>
      <c r="C20" s="31">
        <v>0</v>
      </c>
      <c r="D20" s="79">
        <v>0</v>
      </c>
      <c r="E20" s="33">
        <v>0</v>
      </c>
      <c r="F20" s="79">
        <v>0</v>
      </c>
      <c r="G20" s="34"/>
      <c r="H20" s="33">
        <v>0</v>
      </c>
      <c r="I20" s="79">
        <v>0</v>
      </c>
      <c r="J20" s="33">
        <v>0</v>
      </c>
      <c r="K20" s="79">
        <v>0</v>
      </c>
      <c r="L20" s="33">
        <f t="shared" si="0"/>
        <v>0</v>
      </c>
      <c r="M20" s="81">
        <f t="shared" si="1"/>
        <v>0</v>
      </c>
      <c r="N20" s="35"/>
    </row>
    <row r="21" spans="1:14" x14ac:dyDescent="0.25">
      <c r="A21" s="75" t="s">
        <v>584</v>
      </c>
      <c r="B21" s="76" t="s">
        <v>585</v>
      </c>
      <c r="C21" s="31">
        <v>0</v>
      </c>
      <c r="D21" s="79">
        <v>0</v>
      </c>
      <c r="E21" s="33">
        <v>0</v>
      </c>
      <c r="F21" s="79">
        <v>0</v>
      </c>
      <c r="G21" s="34"/>
      <c r="H21" s="33">
        <v>0</v>
      </c>
      <c r="I21" s="79">
        <v>0</v>
      </c>
      <c r="J21" s="33">
        <v>0</v>
      </c>
      <c r="K21" s="79">
        <v>0</v>
      </c>
      <c r="L21" s="33">
        <f t="shared" si="0"/>
        <v>0</v>
      </c>
      <c r="M21" s="81">
        <f t="shared" si="1"/>
        <v>0</v>
      </c>
      <c r="N21" s="35"/>
    </row>
    <row r="22" spans="1:14" x14ac:dyDescent="0.25">
      <c r="A22" s="75" t="s">
        <v>586</v>
      </c>
      <c r="B22" s="76" t="s">
        <v>587</v>
      </c>
      <c r="C22" s="31">
        <v>0</v>
      </c>
      <c r="D22" s="79">
        <v>0</v>
      </c>
      <c r="E22" s="33">
        <v>0</v>
      </c>
      <c r="F22" s="79">
        <v>0</v>
      </c>
      <c r="G22" s="34"/>
      <c r="H22" s="33">
        <v>0</v>
      </c>
      <c r="I22" s="79">
        <v>0</v>
      </c>
      <c r="J22" s="33">
        <v>1</v>
      </c>
      <c r="K22" s="79">
        <v>20.41</v>
      </c>
      <c r="L22" s="33">
        <f t="shared" si="0"/>
        <v>-1</v>
      </c>
      <c r="M22" s="81">
        <f t="shared" si="1"/>
        <v>-20.41</v>
      </c>
      <c r="N22" s="35">
        <f t="shared" si="2"/>
        <v>-1</v>
      </c>
    </row>
    <row r="23" spans="1:14" x14ac:dyDescent="0.25">
      <c r="A23" s="75" t="s">
        <v>588</v>
      </c>
      <c r="B23" s="76" t="s">
        <v>589</v>
      </c>
      <c r="C23" s="31">
        <v>0</v>
      </c>
      <c r="D23" s="79">
        <v>0</v>
      </c>
      <c r="E23" s="33">
        <v>0</v>
      </c>
      <c r="F23" s="79">
        <v>0</v>
      </c>
      <c r="G23" s="34"/>
      <c r="H23" s="33">
        <v>0</v>
      </c>
      <c r="I23" s="79">
        <v>0</v>
      </c>
      <c r="J23" s="33">
        <v>72</v>
      </c>
      <c r="K23" s="79">
        <v>412.43</v>
      </c>
      <c r="L23" s="33">
        <f t="shared" si="0"/>
        <v>-72</v>
      </c>
      <c r="M23" s="81">
        <f t="shared" si="1"/>
        <v>-412.43</v>
      </c>
      <c r="N23" s="35">
        <f t="shared" si="2"/>
        <v>-1</v>
      </c>
    </row>
    <row r="24" spans="1:14" x14ac:dyDescent="0.25">
      <c r="A24" s="75" t="s">
        <v>810</v>
      </c>
      <c r="B24" s="76" t="s">
        <v>811</v>
      </c>
      <c r="C24" s="31">
        <v>0</v>
      </c>
      <c r="D24" s="79">
        <v>0</v>
      </c>
      <c r="E24" s="33">
        <v>0</v>
      </c>
      <c r="F24" s="79">
        <v>0</v>
      </c>
      <c r="G24" s="34"/>
      <c r="H24" s="33">
        <v>0</v>
      </c>
      <c r="I24" s="79">
        <v>0</v>
      </c>
      <c r="J24" s="33">
        <v>0</v>
      </c>
      <c r="K24" s="79">
        <v>0</v>
      </c>
      <c r="L24" s="33">
        <f t="shared" si="0"/>
        <v>0</v>
      </c>
      <c r="M24" s="81">
        <f t="shared" si="1"/>
        <v>0</v>
      </c>
      <c r="N24" s="35"/>
    </row>
    <row r="25" spans="1:14" x14ac:dyDescent="0.25">
      <c r="A25" s="75" t="s">
        <v>27</v>
      </c>
      <c r="B25" s="76" t="s">
        <v>26</v>
      </c>
      <c r="C25" s="31">
        <v>2</v>
      </c>
      <c r="D25" s="79">
        <v>14.86</v>
      </c>
      <c r="E25" s="33">
        <v>0</v>
      </c>
      <c r="F25" s="79">
        <v>0</v>
      </c>
      <c r="G25" s="34">
        <f t="shared" si="3"/>
        <v>0</v>
      </c>
      <c r="H25" s="33">
        <v>2</v>
      </c>
      <c r="I25" s="79">
        <v>14.86</v>
      </c>
      <c r="J25" s="33">
        <v>0</v>
      </c>
      <c r="K25" s="79">
        <v>0</v>
      </c>
      <c r="L25" s="33">
        <f t="shared" si="0"/>
        <v>2</v>
      </c>
      <c r="M25" s="81">
        <f t="shared" si="1"/>
        <v>14.86</v>
      </c>
      <c r="N25" s="35"/>
    </row>
    <row r="26" spans="1:14" x14ac:dyDescent="0.25">
      <c r="A26" s="75" t="s">
        <v>749</v>
      </c>
      <c r="B26" s="76" t="s">
        <v>750</v>
      </c>
      <c r="C26" s="31">
        <v>0</v>
      </c>
      <c r="D26" s="79">
        <v>0</v>
      </c>
      <c r="E26" s="33">
        <v>0</v>
      </c>
      <c r="F26" s="79">
        <v>0</v>
      </c>
      <c r="G26" s="34"/>
      <c r="H26" s="33">
        <v>0</v>
      </c>
      <c r="I26" s="79">
        <v>0</v>
      </c>
      <c r="J26" s="33">
        <v>1</v>
      </c>
      <c r="K26" s="79">
        <v>14.2</v>
      </c>
      <c r="L26" s="33">
        <f t="shared" si="0"/>
        <v>-1</v>
      </c>
      <c r="M26" s="81">
        <f t="shared" si="1"/>
        <v>-14.2</v>
      </c>
      <c r="N26" s="35">
        <f t="shared" si="2"/>
        <v>-1</v>
      </c>
    </row>
    <row r="27" spans="1:14" x14ac:dyDescent="0.25">
      <c r="A27" s="75" t="s">
        <v>812</v>
      </c>
      <c r="B27" s="76" t="s">
        <v>813</v>
      </c>
      <c r="C27" s="31">
        <v>0</v>
      </c>
      <c r="D27" s="79">
        <v>0</v>
      </c>
      <c r="E27" s="33">
        <v>0</v>
      </c>
      <c r="F27" s="79">
        <v>0</v>
      </c>
      <c r="G27" s="34"/>
      <c r="H27" s="33">
        <v>0</v>
      </c>
      <c r="I27" s="79">
        <v>0</v>
      </c>
      <c r="J27" s="33">
        <v>0</v>
      </c>
      <c r="K27" s="79">
        <v>0</v>
      </c>
      <c r="L27" s="33">
        <f t="shared" si="0"/>
        <v>0</v>
      </c>
      <c r="M27" s="81">
        <f t="shared" si="1"/>
        <v>0</v>
      </c>
      <c r="N27" s="35"/>
    </row>
    <row r="28" spans="1:14" x14ac:dyDescent="0.25">
      <c r="A28" s="75" t="s">
        <v>29</v>
      </c>
      <c r="B28" s="76" t="s">
        <v>28</v>
      </c>
      <c r="C28" s="31">
        <v>4</v>
      </c>
      <c r="D28" s="79">
        <v>25.92</v>
      </c>
      <c r="E28" s="33">
        <v>0</v>
      </c>
      <c r="F28" s="79">
        <v>0</v>
      </c>
      <c r="G28" s="34">
        <f t="shared" si="3"/>
        <v>0</v>
      </c>
      <c r="H28" s="33">
        <v>4</v>
      </c>
      <c r="I28" s="79">
        <v>25.92</v>
      </c>
      <c r="J28" s="33">
        <v>1</v>
      </c>
      <c r="K28" s="79">
        <v>3.9</v>
      </c>
      <c r="L28" s="33">
        <f t="shared" si="0"/>
        <v>3</v>
      </c>
      <c r="M28" s="81">
        <f t="shared" si="1"/>
        <v>22.020000000000003</v>
      </c>
      <c r="N28" s="35">
        <f t="shared" si="2"/>
        <v>5.6461538461538474</v>
      </c>
    </row>
    <row r="29" spans="1:14" x14ac:dyDescent="0.25">
      <c r="A29" s="75" t="s">
        <v>31</v>
      </c>
      <c r="B29" s="76" t="s">
        <v>30</v>
      </c>
      <c r="C29" s="31">
        <v>62</v>
      </c>
      <c r="D29" s="79">
        <v>2157.1800000000003</v>
      </c>
      <c r="E29" s="33">
        <v>0</v>
      </c>
      <c r="F29" s="79">
        <v>0</v>
      </c>
      <c r="G29" s="34">
        <f t="shared" si="3"/>
        <v>0</v>
      </c>
      <c r="H29" s="33">
        <v>62</v>
      </c>
      <c r="I29" s="79">
        <v>2157.1800000000003</v>
      </c>
      <c r="J29" s="33">
        <v>218</v>
      </c>
      <c r="K29" s="79">
        <v>6369.61</v>
      </c>
      <c r="L29" s="33">
        <f t="shared" si="0"/>
        <v>-156</v>
      </c>
      <c r="M29" s="81">
        <f t="shared" si="1"/>
        <v>-4212.4299999999994</v>
      </c>
      <c r="N29" s="35">
        <f t="shared" si="2"/>
        <v>-0.66133248346445062</v>
      </c>
    </row>
    <row r="30" spans="1:14" x14ac:dyDescent="0.25">
      <c r="A30" s="75" t="s">
        <v>590</v>
      </c>
      <c r="B30" s="76" t="s">
        <v>591</v>
      </c>
      <c r="C30" s="31">
        <v>1</v>
      </c>
      <c r="D30" s="79">
        <v>6.73</v>
      </c>
      <c r="E30" s="33">
        <v>0</v>
      </c>
      <c r="F30" s="79">
        <v>0</v>
      </c>
      <c r="G30" s="34">
        <f t="shared" si="3"/>
        <v>0</v>
      </c>
      <c r="H30" s="33">
        <v>1</v>
      </c>
      <c r="I30" s="79">
        <v>6.73</v>
      </c>
      <c r="J30" s="33">
        <v>0</v>
      </c>
      <c r="K30" s="79">
        <v>0</v>
      </c>
      <c r="L30" s="33">
        <f t="shared" si="0"/>
        <v>1</v>
      </c>
      <c r="M30" s="81">
        <f t="shared" si="1"/>
        <v>6.73</v>
      </c>
      <c r="N30" s="35"/>
    </row>
    <row r="31" spans="1:14" x14ac:dyDescent="0.25">
      <c r="A31" s="75" t="s">
        <v>751</v>
      </c>
      <c r="B31" s="76" t="s">
        <v>752</v>
      </c>
      <c r="C31" s="31">
        <v>0</v>
      </c>
      <c r="D31" s="79">
        <v>0</v>
      </c>
      <c r="E31" s="33">
        <v>0</v>
      </c>
      <c r="F31" s="79">
        <v>0</v>
      </c>
      <c r="G31" s="34"/>
      <c r="H31" s="33">
        <v>0</v>
      </c>
      <c r="I31" s="79">
        <v>0</v>
      </c>
      <c r="J31" s="33">
        <v>0</v>
      </c>
      <c r="K31" s="79">
        <v>0</v>
      </c>
      <c r="L31" s="33">
        <f t="shared" si="0"/>
        <v>0</v>
      </c>
      <c r="M31" s="81">
        <f t="shared" si="1"/>
        <v>0</v>
      </c>
      <c r="N31" s="35"/>
    </row>
    <row r="32" spans="1:14" x14ac:dyDescent="0.25">
      <c r="A32" s="75" t="s">
        <v>592</v>
      </c>
      <c r="B32" s="76" t="s">
        <v>593</v>
      </c>
      <c r="C32" s="31">
        <v>0</v>
      </c>
      <c r="D32" s="79">
        <v>0</v>
      </c>
      <c r="E32" s="33">
        <v>0</v>
      </c>
      <c r="F32" s="79">
        <v>0</v>
      </c>
      <c r="G32" s="34"/>
      <c r="H32" s="33">
        <v>0</v>
      </c>
      <c r="I32" s="79">
        <v>0</v>
      </c>
      <c r="J32" s="33">
        <v>0</v>
      </c>
      <c r="K32" s="79">
        <v>0</v>
      </c>
      <c r="L32" s="33">
        <f t="shared" si="0"/>
        <v>0</v>
      </c>
      <c r="M32" s="81">
        <f t="shared" si="1"/>
        <v>0</v>
      </c>
      <c r="N32" s="35"/>
    </row>
    <row r="33" spans="1:14" x14ac:dyDescent="0.25">
      <c r="A33" s="75" t="s">
        <v>594</v>
      </c>
      <c r="B33" s="76" t="s">
        <v>595</v>
      </c>
      <c r="C33" s="31">
        <v>0</v>
      </c>
      <c r="D33" s="79">
        <v>0</v>
      </c>
      <c r="E33" s="33">
        <v>0</v>
      </c>
      <c r="F33" s="79">
        <v>0</v>
      </c>
      <c r="G33" s="34"/>
      <c r="H33" s="33">
        <v>0</v>
      </c>
      <c r="I33" s="79">
        <v>0</v>
      </c>
      <c r="J33" s="33">
        <v>0</v>
      </c>
      <c r="K33" s="79">
        <v>0</v>
      </c>
      <c r="L33" s="33">
        <f t="shared" si="0"/>
        <v>0</v>
      </c>
      <c r="M33" s="81">
        <f t="shared" si="1"/>
        <v>0</v>
      </c>
      <c r="N33" s="35"/>
    </row>
    <row r="34" spans="1:14" x14ac:dyDescent="0.25">
      <c r="A34" s="75" t="s">
        <v>596</v>
      </c>
      <c r="B34" s="76" t="s">
        <v>597</v>
      </c>
      <c r="C34" s="31">
        <v>1</v>
      </c>
      <c r="D34" s="79">
        <v>16.309999999999999</v>
      </c>
      <c r="E34" s="33">
        <v>0</v>
      </c>
      <c r="F34" s="79">
        <v>0</v>
      </c>
      <c r="G34" s="34">
        <f t="shared" si="3"/>
        <v>0</v>
      </c>
      <c r="H34" s="33">
        <v>1</v>
      </c>
      <c r="I34" s="79">
        <v>16.309999999999999</v>
      </c>
      <c r="J34" s="33">
        <v>2</v>
      </c>
      <c r="K34" s="79">
        <v>23.47</v>
      </c>
      <c r="L34" s="33">
        <f t="shared" si="0"/>
        <v>-1</v>
      </c>
      <c r="M34" s="81">
        <f t="shared" si="1"/>
        <v>-7.16</v>
      </c>
      <c r="N34" s="35">
        <f t="shared" si="2"/>
        <v>-0.30507030251384748</v>
      </c>
    </row>
    <row r="35" spans="1:14" x14ac:dyDescent="0.25">
      <c r="A35" s="75" t="s">
        <v>33</v>
      </c>
      <c r="B35" s="76" t="s">
        <v>32</v>
      </c>
      <c r="C35" s="31">
        <v>304</v>
      </c>
      <c r="D35" s="79">
        <v>4883.5099999999993</v>
      </c>
      <c r="E35" s="33">
        <v>144</v>
      </c>
      <c r="F35" s="79">
        <v>2878.3200000000065</v>
      </c>
      <c r="G35" s="34">
        <f t="shared" si="3"/>
        <v>0.37083007486636588</v>
      </c>
      <c r="H35" s="33">
        <v>448</v>
      </c>
      <c r="I35" s="79">
        <v>7761.8300000000054</v>
      </c>
      <c r="J35" s="33">
        <v>2139</v>
      </c>
      <c r="K35" s="79">
        <v>29876.76</v>
      </c>
      <c r="L35" s="33">
        <f t="shared" si="0"/>
        <v>-1691</v>
      </c>
      <c r="M35" s="81">
        <f t="shared" si="1"/>
        <v>-22114.929999999993</v>
      </c>
      <c r="N35" s="35">
        <f t="shared" si="2"/>
        <v>-0.74020509586715544</v>
      </c>
    </row>
    <row r="36" spans="1:14" x14ac:dyDescent="0.25">
      <c r="A36" s="75" t="s">
        <v>598</v>
      </c>
      <c r="B36" s="76" t="s">
        <v>599</v>
      </c>
      <c r="C36" s="31">
        <v>0</v>
      </c>
      <c r="D36" s="79">
        <v>0</v>
      </c>
      <c r="E36" s="33">
        <v>0</v>
      </c>
      <c r="F36" s="79">
        <v>0</v>
      </c>
      <c r="G36" s="34"/>
      <c r="H36" s="33">
        <v>0</v>
      </c>
      <c r="I36" s="79">
        <v>0</v>
      </c>
      <c r="J36" s="33">
        <v>1</v>
      </c>
      <c r="K36" s="79">
        <v>27.93</v>
      </c>
      <c r="L36" s="33">
        <f t="shared" si="0"/>
        <v>-1</v>
      </c>
      <c r="M36" s="81">
        <f t="shared" si="1"/>
        <v>-27.93</v>
      </c>
      <c r="N36" s="35">
        <f t="shared" si="2"/>
        <v>-1</v>
      </c>
    </row>
    <row r="37" spans="1:14" x14ac:dyDescent="0.25">
      <c r="A37" s="75" t="s">
        <v>35</v>
      </c>
      <c r="B37" s="76" t="s">
        <v>34</v>
      </c>
      <c r="C37" s="31">
        <v>3</v>
      </c>
      <c r="D37" s="79">
        <v>39.64</v>
      </c>
      <c r="E37" s="33">
        <v>0</v>
      </c>
      <c r="F37" s="79">
        <v>0</v>
      </c>
      <c r="G37" s="34">
        <f t="shared" si="3"/>
        <v>0</v>
      </c>
      <c r="H37" s="33">
        <v>3</v>
      </c>
      <c r="I37" s="79">
        <v>39.64</v>
      </c>
      <c r="J37" s="33">
        <v>0</v>
      </c>
      <c r="K37" s="79">
        <v>0</v>
      </c>
      <c r="L37" s="33">
        <f t="shared" si="0"/>
        <v>3</v>
      </c>
      <c r="M37" s="81">
        <f t="shared" si="1"/>
        <v>39.64</v>
      </c>
      <c r="N37" s="35"/>
    </row>
    <row r="38" spans="1:14" x14ac:dyDescent="0.25">
      <c r="A38" s="75" t="s">
        <v>600</v>
      </c>
      <c r="B38" s="76" t="s">
        <v>601</v>
      </c>
      <c r="C38" s="31">
        <v>0</v>
      </c>
      <c r="D38" s="79">
        <v>0</v>
      </c>
      <c r="E38" s="33">
        <v>0</v>
      </c>
      <c r="F38" s="79">
        <v>0</v>
      </c>
      <c r="G38" s="34"/>
      <c r="H38" s="33">
        <v>0</v>
      </c>
      <c r="I38" s="79">
        <v>0</v>
      </c>
      <c r="J38" s="33">
        <v>0</v>
      </c>
      <c r="K38" s="79">
        <v>0</v>
      </c>
      <c r="L38" s="33">
        <f t="shared" si="0"/>
        <v>0</v>
      </c>
      <c r="M38" s="81">
        <f t="shared" si="1"/>
        <v>0</v>
      </c>
      <c r="N38" s="35"/>
    </row>
    <row r="39" spans="1:14" x14ac:dyDescent="0.25">
      <c r="A39" s="75" t="s">
        <v>602</v>
      </c>
      <c r="B39" s="76" t="s">
        <v>603</v>
      </c>
      <c r="C39" s="31">
        <v>0</v>
      </c>
      <c r="D39" s="79">
        <v>0</v>
      </c>
      <c r="E39" s="33">
        <v>0</v>
      </c>
      <c r="F39" s="79">
        <v>0</v>
      </c>
      <c r="G39" s="34"/>
      <c r="H39" s="33">
        <v>0</v>
      </c>
      <c r="I39" s="79">
        <v>0</v>
      </c>
      <c r="J39" s="33">
        <v>0</v>
      </c>
      <c r="K39" s="79">
        <v>0</v>
      </c>
      <c r="L39" s="33">
        <f t="shared" si="0"/>
        <v>0</v>
      </c>
      <c r="M39" s="81">
        <f t="shared" si="1"/>
        <v>0</v>
      </c>
      <c r="N39" s="35"/>
    </row>
    <row r="40" spans="1:14" x14ac:dyDescent="0.25">
      <c r="A40" s="75" t="s">
        <v>604</v>
      </c>
      <c r="B40" s="76" t="s">
        <v>605</v>
      </c>
      <c r="C40" s="31">
        <v>0</v>
      </c>
      <c r="D40" s="79">
        <v>0</v>
      </c>
      <c r="E40" s="33">
        <v>0</v>
      </c>
      <c r="F40" s="79">
        <v>0</v>
      </c>
      <c r="G40" s="34"/>
      <c r="H40" s="33">
        <v>0</v>
      </c>
      <c r="I40" s="79">
        <v>0</v>
      </c>
      <c r="J40" s="33">
        <v>0</v>
      </c>
      <c r="K40" s="79">
        <v>0</v>
      </c>
      <c r="L40" s="33">
        <f t="shared" si="0"/>
        <v>0</v>
      </c>
      <c r="M40" s="81">
        <f t="shared" si="1"/>
        <v>0</v>
      </c>
      <c r="N40" s="35"/>
    </row>
    <row r="41" spans="1:14" x14ac:dyDescent="0.25">
      <c r="A41" s="75" t="s">
        <v>536</v>
      </c>
      <c r="B41" s="76" t="s">
        <v>535</v>
      </c>
      <c r="C41" s="31">
        <v>0</v>
      </c>
      <c r="D41" s="79">
        <v>0</v>
      </c>
      <c r="E41" s="33">
        <v>0</v>
      </c>
      <c r="F41" s="79">
        <v>0</v>
      </c>
      <c r="G41" s="34"/>
      <c r="H41" s="33">
        <v>0</v>
      </c>
      <c r="I41" s="79">
        <v>0</v>
      </c>
      <c r="J41" s="33">
        <v>0</v>
      </c>
      <c r="K41" s="79">
        <v>0</v>
      </c>
      <c r="L41" s="33">
        <f t="shared" si="0"/>
        <v>0</v>
      </c>
      <c r="M41" s="81">
        <f t="shared" si="1"/>
        <v>0</v>
      </c>
      <c r="N41" s="35"/>
    </row>
    <row r="42" spans="1:14" x14ac:dyDescent="0.25">
      <c r="A42" s="75" t="s">
        <v>37</v>
      </c>
      <c r="B42" s="76" t="s">
        <v>36</v>
      </c>
      <c r="C42" s="31">
        <v>0</v>
      </c>
      <c r="D42" s="79">
        <v>0</v>
      </c>
      <c r="E42" s="33">
        <v>0</v>
      </c>
      <c r="F42" s="79">
        <v>0</v>
      </c>
      <c r="G42" s="34"/>
      <c r="H42" s="33">
        <v>0</v>
      </c>
      <c r="I42" s="79">
        <v>0</v>
      </c>
      <c r="J42" s="33">
        <v>0</v>
      </c>
      <c r="K42" s="79">
        <v>0</v>
      </c>
      <c r="L42" s="33">
        <f t="shared" si="0"/>
        <v>0</v>
      </c>
      <c r="M42" s="81">
        <f t="shared" si="1"/>
        <v>0</v>
      </c>
      <c r="N42" s="35"/>
    </row>
    <row r="43" spans="1:14" x14ac:dyDescent="0.25">
      <c r="A43" s="75" t="s">
        <v>526</v>
      </c>
      <c r="B43" s="76" t="s">
        <v>525</v>
      </c>
      <c r="C43" s="31">
        <v>0</v>
      </c>
      <c r="D43" s="79">
        <v>0</v>
      </c>
      <c r="E43" s="33">
        <v>3</v>
      </c>
      <c r="F43" s="79">
        <v>104.69999999999999</v>
      </c>
      <c r="G43" s="34">
        <f t="shared" si="3"/>
        <v>1</v>
      </c>
      <c r="H43" s="33">
        <v>3</v>
      </c>
      <c r="I43" s="79">
        <v>104.69999999999999</v>
      </c>
      <c r="J43" s="33">
        <v>0</v>
      </c>
      <c r="K43" s="79">
        <v>0</v>
      </c>
      <c r="L43" s="33">
        <f t="shared" si="0"/>
        <v>3</v>
      </c>
      <c r="M43" s="81">
        <f t="shared" si="1"/>
        <v>104.69999999999999</v>
      </c>
      <c r="N43" s="35"/>
    </row>
    <row r="44" spans="1:14" x14ac:dyDescent="0.25">
      <c r="A44" s="75" t="s">
        <v>39</v>
      </c>
      <c r="B44" s="76" t="s">
        <v>38</v>
      </c>
      <c r="C44" s="31">
        <v>0</v>
      </c>
      <c r="D44" s="79">
        <v>0</v>
      </c>
      <c r="E44" s="33">
        <v>12</v>
      </c>
      <c r="F44" s="79">
        <v>562.79999999999995</v>
      </c>
      <c r="G44" s="34">
        <f t="shared" si="3"/>
        <v>1</v>
      </c>
      <c r="H44" s="33">
        <v>12</v>
      </c>
      <c r="I44" s="79">
        <v>562.79999999999995</v>
      </c>
      <c r="J44" s="33">
        <v>0</v>
      </c>
      <c r="K44" s="79">
        <v>0</v>
      </c>
      <c r="L44" s="33">
        <f t="shared" si="0"/>
        <v>12</v>
      </c>
      <c r="M44" s="81">
        <f t="shared" si="1"/>
        <v>562.79999999999995</v>
      </c>
      <c r="N44" s="35"/>
    </row>
    <row r="45" spans="1:14" x14ac:dyDescent="0.25">
      <c r="A45" s="75" t="s">
        <v>41</v>
      </c>
      <c r="B45" s="76" t="s">
        <v>40</v>
      </c>
      <c r="C45" s="31">
        <v>7</v>
      </c>
      <c r="D45" s="79">
        <v>745.94</v>
      </c>
      <c r="E45" s="33">
        <v>0</v>
      </c>
      <c r="F45" s="79">
        <v>0</v>
      </c>
      <c r="G45" s="34">
        <f t="shared" si="3"/>
        <v>0</v>
      </c>
      <c r="H45" s="33">
        <v>7</v>
      </c>
      <c r="I45" s="79">
        <v>745.94</v>
      </c>
      <c r="J45" s="33">
        <v>18</v>
      </c>
      <c r="K45" s="79">
        <v>1462.87</v>
      </c>
      <c r="L45" s="33">
        <f t="shared" si="0"/>
        <v>-11</v>
      </c>
      <c r="M45" s="81">
        <f t="shared" si="1"/>
        <v>-716.92999999999984</v>
      </c>
      <c r="N45" s="35">
        <f t="shared" si="2"/>
        <v>-0.49008455980367355</v>
      </c>
    </row>
    <row r="46" spans="1:14" x14ac:dyDescent="0.25">
      <c r="A46" s="75" t="s">
        <v>606</v>
      </c>
      <c r="B46" s="76" t="s">
        <v>607</v>
      </c>
      <c r="C46" s="31">
        <v>0</v>
      </c>
      <c r="D46" s="79">
        <v>0</v>
      </c>
      <c r="E46" s="33">
        <v>0</v>
      </c>
      <c r="F46" s="79">
        <v>0</v>
      </c>
      <c r="G46" s="34"/>
      <c r="H46" s="33">
        <v>0</v>
      </c>
      <c r="I46" s="79">
        <v>0</v>
      </c>
      <c r="J46" s="33">
        <v>0</v>
      </c>
      <c r="K46" s="79">
        <v>0</v>
      </c>
      <c r="L46" s="33">
        <f t="shared" si="0"/>
        <v>0</v>
      </c>
      <c r="M46" s="81">
        <f t="shared" si="1"/>
        <v>0</v>
      </c>
      <c r="N46" s="35"/>
    </row>
    <row r="47" spans="1:14" x14ac:dyDescent="0.25">
      <c r="A47" s="75" t="s">
        <v>608</v>
      </c>
      <c r="B47" s="76" t="s">
        <v>609</v>
      </c>
      <c r="C47" s="31">
        <v>0</v>
      </c>
      <c r="D47" s="79">
        <v>0</v>
      </c>
      <c r="E47" s="33">
        <v>0</v>
      </c>
      <c r="F47" s="79">
        <v>0</v>
      </c>
      <c r="G47" s="34"/>
      <c r="H47" s="33">
        <v>0</v>
      </c>
      <c r="I47" s="79">
        <v>0</v>
      </c>
      <c r="J47" s="33">
        <v>-1</v>
      </c>
      <c r="K47" s="79">
        <v>-17.09</v>
      </c>
      <c r="L47" s="33">
        <f t="shared" si="0"/>
        <v>1</v>
      </c>
      <c r="M47" s="81">
        <f t="shared" si="1"/>
        <v>17.09</v>
      </c>
      <c r="N47" s="35">
        <f t="shared" si="2"/>
        <v>1</v>
      </c>
    </row>
    <row r="48" spans="1:14" x14ac:dyDescent="0.25">
      <c r="A48" s="75" t="s">
        <v>508</v>
      </c>
      <c r="B48" s="76" t="s">
        <v>507</v>
      </c>
      <c r="C48" s="31">
        <v>6</v>
      </c>
      <c r="D48" s="79">
        <v>21.48</v>
      </c>
      <c r="E48" s="33">
        <v>0</v>
      </c>
      <c r="F48" s="79">
        <v>0</v>
      </c>
      <c r="G48" s="34">
        <f t="shared" si="3"/>
        <v>0</v>
      </c>
      <c r="H48" s="33">
        <v>6</v>
      </c>
      <c r="I48" s="79">
        <v>21.48</v>
      </c>
      <c r="J48" s="33">
        <v>32</v>
      </c>
      <c r="K48" s="79">
        <v>109.16999999999999</v>
      </c>
      <c r="L48" s="33">
        <f t="shared" si="0"/>
        <v>-26</v>
      </c>
      <c r="M48" s="81">
        <f t="shared" si="1"/>
        <v>-87.689999999999984</v>
      </c>
      <c r="N48" s="35">
        <f t="shared" si="2"/>
        <v>-0.80324264907941734</v>
      </c>
    </row>
    <row r="49" spans="1:14" x14ac:dyDescent="0.25">
      <c r="A49" s="75" t="s">
        <v>753</v>
      </c>
      <c r="B49" s="76" t="s">
        <v>754</v>
      </c>
      <c r="C49" s="31">
        <v>0</v>
      </c>
      <c r="D49" s="79">
        <v>0</v>
      </c>
      <c r="E49" s="33">
        <v>0</v>
      </c>
      <c r="F49" s="79">
        <v>0</v>
      </c>
      <c r="G49" s="34"/>
      <c r="H49" s="33">
        <v>0</v>
      </c>
      <c r="I49" s="79">
        <v>0</v>
      </c>
      <c r="J49" s="33">
        <v>0</v>
      </c>
      <c r="K49" s="79">
        <v>0</v>
      </c>
      <c r="L49" s="33">
        <f t="shared" si="0"/>
        <v>0</v>
      </c>
      <c r="M49" s="81">
        <f t="shared" si="1"/>
        <v>0</v>
      </c>
      <c r="N49" s="35"/>
    </row>
    <row r="50" spans="1:14" x14ac:dyDescent="0.25">
      <c r="A50" s="75" t="s">
        <v>43</v>
      </c>
      <c r="B50" s="76" t="s">
        <v>42</v>
      </c>
      <c r="C50" s="31">
        <v>30</v>
      </c>
      <c r="D50" s="79">
        <v>553.02</v>
      </c>
      <c r="E50" s="33">
        <v>2149</v>
      </c>
      <c r="F50" s="79">
        <v>42819.779999999955</v>
      </c>
      <c r="G50" s="34">
        <f t="shared" si="3"/>
        <v>0.98724961266046929</v>
      </c>
      <c r="H50" s="33">
        <v>2179</v>
      </c>
      <c r="I50" s="79">
        <v>43372.799999999952</v>
      </c>
      <c r="J50" s="33">
        <v>6440</v>
      </c>
      <c r="K50" s="79">
        <v>82666.850000000006</v>
      </c>
      <c r="L50" s="33">
        <f t="shared" si="0"/>
        <v>-4261</v>
      </c>
      <c r="M50" s="81">
        <f t="shared" si="1"/>
        <v>-39294.050000000054</v>
      </c>
      <c r="N50" s="35">
        <f t="shared" si="2"/>
        <v>-0.47533019584029212</v>
      </c>
    </row>
    <row r="51" spans="1:14" x14ac:dyDescent="0.25">
      <c r="A51" s="75" t="s">
        <v>504</v>
      </c>
      <c r="B51" s="76" t="s">
        <v>503</v>
      </c>
      <c r="C51" s="31">
        <v>41</v>
      </c>
      <c r="D51" s="79">
        <v>167.45</v>
      </c>
      <c r="E51" s="33">
        <v>0</v>
      </c>
      <c r="F51" s="79">
        <v>0</v>
      </c>
      <c r="G51" s="34">
        <f t="shared" si="3"/>
        <v>0</v>
      </c>
      <c r="H51" s="33">
        <v>41</v>
      </c>
      <c r="I51" s="79">
        <v>167.45</v>
      </c>
      <c r="J51" s="33">
        <v>17</v>
      </c>
      <c r="K51" s="79">
        <v>81.430000000000007</v>
      </c>
      <c r="L51" s="33">
        <f t="shared" si="0"/>
        <v>24</v>
      </c>
      <c r="M51" s="81">
        <f t="shared" si="1"/>
        <v>86.019999999999982</v>
      </c>
      <c r="N51" s="35">
        <f t="shared" si="2"/>
        <v>1.0563674321503129</v>
      </c>
    </row>
    <row r="52" spans="1:14" x14ac:dyDescent="0.25">
      <c r="A52" s="75" t="s">
        <v>610</v>
      </c>
      <c r="B52" s="76" t="s">
        <v>611</v>
      </c>
      <c r="C52" s="31">
        <v>0</v>
      </c>
      <c r="D52" s="79">
        <v>0</v>
      </c>
      <c r="E52" s="33">
        <v>0</v>
      </c>
      <c r="F52" s="79">
        <v>0</v>
      </c>
      <c r="G52" s="34"/>
      <c r="H52" s="33">
        <v>0</v>
      </c>
      <c r="I52" s="79">
        <v>0</v>
      </c>
      <c r="J52" s="33">
        <v>30</v>
      </c>
      <c r="K52" s="79">
        <v>252.32</v>
      </c>
      <c r="L52" s="33">
        <f t="shared" si="0"/>
        <v>-30</v>
      </c>
      <c r="M52" s="81">
        <f t="shared" si="1"/>
        <v>-252.32</v>
      </c>
      <c r="N52" s="35">
        <f t="shared" si="2"/>
        <v>-1</v>
      </c>
    </row>
    <row r="53" spans="1:14" x14ac:dyDescent="0.25">
      <c r="A53" s="75" t="s">
        <v>45</v>
      </c>
      <c r="B53" s="76" t="s">
        <v>44</v>
      </c>
      <c r="C53" s="31">
        <v>3</v>
      </c>
      <c r="D53" s="79">
        <v>18.149999999999999</v>
      </c>
      <c r="E53" s="33">
        <v>0</v>
      </c>
      <c r="F53" s="79">
        <v>0</v>
      </c>
      <c r="G53" s="34">
        <f t="shared" si="3"/>
        <v>0</v>
      </c>
      <c r="H53" s="33">
        <v>3</v>
      </c>
      <c r="I53" s="79">
        <v>18.149999999999999</v>
      </c>
      <c r="J53" s="33">
        <v>7</v>
      </c>
      <c r="K53" s="79">
        <v>42.76</v>
      </c>
      <c r="L53" s="33">
        <f t="shared" si="0"/>
        <v>-4</v>
      </c>
      <c r="M53" s="81">
        <f t="shared" si="1"/>
        <v>-24.61</v>
      </c>
      <c r="N53" s="35">
        <f t="shared" si="2"/>
        <v>-0.57553788587464927</v>
      </c>
    </row>
    <row r="54" spans="1:14" x14ac:dyDescent="0.25">
      <c r="A54" s="75" t="s">
        <v>612</v>
      </c>
      <c r="B54" s="76" t="s">
        <v>613</v>
      </c>
      <c r="C54" s="31">
        <v>0</v>
      </c>
      <c r="D54" s="79">
        <v>0</v>
      </c>
      <c r="E54" s="33">
        <v>0</v>
      </c>
      <c r="F54" s="79">
        <v>0</v>
      </c>
      <c r="G54" s="34"/>
      <c r="H54" s="33">
        <v>0</v>
      </c>
      <c r="I54" s="79">
        <v>0</v>
      </c>
      <c r="J54" s="33">
        <v>3</v>
      </c>
      <c r="K54" s="79">
        <v>69.069999999999993</v>
      </c>
      <c r="L54" s="33">
        <f t="shared" si="0"/>
        <v>-3</v>
      </c>
      <c r="M54" s="81">
        <f t="shared" si="1"/>
        <v>-69.069999999999993</v>
      </c>
      <c r="N54" s="35">
        <f t="shared" si="2"/>
        <v>-1</v>
      </c>
    </row>
    <row r="55" spans="1:14" x14ac:dyDescent="0.25">
      <c r="A55" s="75" t="s">
        <v>614</v>
      </c>
      <c r="B55" s="76" t="s">
        <v>615</v>
      </c>
      <c r="C55" s="31">
        <v>0</v>
      </c>
      <c r="D55" s="79">
        <v>0</v>
      </c>
      <c r="E55" s="33">
        <v>0</v>
      </c>
      <c r="F55" s="79">
        <v>0</v>
      </c>
      <c r="G55" s="34"/>
      <c r="H55" s="33">
        <v>0</v>
      </c>
      <c r="I55" s="79">
        <v>0</v>
      </c>
      <c r="J55" s="33">
        <v>0</v>
      </c>
      <c r="K55" s="79">
        <v>0</v>
      </c>
      <c r="L55" s="33">
        <f t="shared" si="0"/>
        <v>0</v>
      </c>
      <c r="M55" s="81">
        <f t="shared" si="1"/>
        <v>0</v>
      </c>
      <c r="N55" s="35"/>
    </row>
    <row r="56" spans="1:14" x14ac:dyDescent="0.25">
      <c r="A56" s="75" t="s">
        <v>47</v>
      </c>
      <c r="B56" s="76" t="s">
        <v>46</v>
      </c>
      <c r="C56" s="31">
        <v>2</v>
      </c>
      <c r="D56" s="79">
        <v>70.64</v>
      </c>
      <c r="E56" s="33">
        <v>741</v>
      </c>
      <c r="F56" s="79">
        <v>25842.979999999887</v>
      </c>
      <c r="G56" s="34">
        <f t="shared" si="3"/>
        <v>0.99727402038001633</v>
      </c>
      <c r="H56" s="33">
        <v>743</v>
      </c>
      <c r="I56" s="79">
        <v>25913.619999999886</v>
      </c>
      <c r="J56" s="33">
        <v>1168</v>
      </c>
      <c r="K56" s="79">
        <v>34229.24</v>
      </c>
      <c r="L56" s="33">
        <f t="shared" si="0"/>
        <v>-425</v>
      </c>
      <c r="M56" s="81">
        <f t="shared" si="1"/>
        <v>-8315.6200000001118</v>
      </c>
      <c r="N56" s="35">
        <f t="shared" si="2"/>
        <v>-0.24293907781768195</v>
      </c>
    </row>
    <row r="57" spans="1:14" x14ac:dyDescent="0.25">
      <c r="A57" s="75" t="s">
        <v>512</v>
      </c>
      <c r="B57" s="76" t="s">
        <v>511</v>
      </c>
      <c r="C57" s="31">
        <v>117</v>
      </c>
      <c r="D57" s="79">
        <v>2387.9699999999998</v>
      </c>
      <c r="E57" s="33">
        <v>0</v>
      </c>
      <c r="F57" s="79">
        <v>0</v>
      </c>
      <c r="G57" s="34">
        <f t="shared" si="3"/>
        <v>0</v>
      </c>
      <c r="H57" s="33">
        <v>117</v>
      </c>
      <c r="I57" s="79">
        <v>2387.9699999999998</v>
      </c>
      <c r="J57" s="33">
        <v>178</v>
      </c>
      <c r="K57" s="79">
        <v>3767.2200000000003</v>
      </c>
      <c r="L57" s="33">
        <f t="shared" si="0"/>
        <v>-61</v>
      </c>
      <c r="M57" s="81">
        <f t="shared" si="1"/>
        <v>-1379.2500000000005</v>
      </c>
      <c r="N57" s="35">
        <f t="shared" si="2"/>
        <v>-0.3661187825505281</v>
      </c>
    </row>
    <row r="58" spans="1:14" x14ac:dyDescent="0.25">
      <c r="A58" s="75" t="s">
        <v>616</v>
      </c>
      <c r="B58" s="76" t="s">
        <v>617</v>
      </c>
      <c r="C58" s="31">
        <v>0</v>
      </c>
      <c r="D58" s="79">
        <v>0</v>
      </c>
      <c r="E58" s="33">
        <v>0</v>
      </c>
      <c r="F58" s="79">
        <v>0</v>
      </c>
      <c r="G58" s="34"/>
      <c r="H58" s="33">
        <v>0</v>
      </c>
      <c r="I58" s="79">
        <v>0</v>
      </c>
      <c r="J58" s="33">
        <v>0</v>
      </c>
      <c r="K58" s="79">
        <v>0</v>
      </c>
      <c r="L58" s="33">
        <f t="shared" si="0"/>
        <v>0</v>
      </c>
      <c r="M58" s="81">
        <f t="shared" si="1"/>
        <v>0</v>
      </c>
      <c r="N58" s="35"/>
    </row>
    <row r="59" spans="1:14" x14ac:dyDescent="0.25">
      <c r="A59" s="75" t="s">
        <v>618</v>
      </c>
      <c r="B59" s="76" t="s">
        <v>619</v>
      </c>
      <c r="C59" s="31">
        <v>0</v>
      </c>
      <c r="D59" s="79">
        <v>0</v>
      </c>
      <c r="E59" s="33">
        <v>0</v>
      </c>
      <c r="F59" s="79">
        <v>0</v>
      </c>
      <c r="G59" s="34"/>
      <c r="H59" s="33">
        <v>0</v>
      </c>
      <c r="I59" s="79">
        <v>0</v>
      </c>
      <c r="J59" s="33">
        <v>0</v>
      </c>
      <c r="K59" s="79">
        <v>0</v>
      </c>
      <c r="L59" s="33">
        <f t="shared" si="0"/>
        <v>0</v>
      </c>
      <c r="M59" s="81">
        <f t="shared" si="1"/>
        <v>0</v>
      </c>
      <c r="N59" s="35"/>
    </row>
    <row r="60" spans="1:14" x14ac:dyDescent="0.25">
      <c r="A60" s="75" t="s">
        <v>755</v>
      </c>
      <c r="B60" s="76" t="s">
        <v>756</v>
      </c>
      <c r="C60" s="31">
        <v>0</v>
      </c>
      <c r="D60" s="79">
        <v>0</v>
      </c>
      <c r="E60" s="33">
        <v>0</v>
      </c>
      <c r="F60" s="79">
        <v>0</v>
      </c>
      <c r="G60" s="34"/>
      <c r="H60" s="33">
        <v>0</v>
      </c>
      <c r="I60" s="79">
        <v>0</v>
      </c>
      <c r="J60" s="33">
        <v>0</v>
      </c>
      <c r="K60" s="79">
        <v>0</v>
      </c>
      <c r="L60" s="33">
        <f t="shared" si="0"/>
        <v>0</v>
      </c>
      <c r="M60" s="81">
        <f t="shared" si="1"/>
        <v>0</v>
      </c>
      <c r="N60" s="35"/>
    </row>
    <row r="61" spans="1:14" x14ac:dyDescent="0.25">
      <c r="A61" s="75" t="s">
        <v>492</v>
      </c>
      <c r="B61" s="76" t="s">
        <v>491</v>
      </c>
      <c r="C61" s="31">
        <v>0</v>
      </c>
      <c r="D61" s="79">
        <v>0</v>
      </c>
      <c r="E61" s="33">
        <v>47</v>
      </c>
      <c r="F61" s="79">
        <v>2183.8999999999996</v>
      </c>
      <c r="G61" s="34">
        <f t="shared" si="3"/>
        <v>1</v>
      </c>
      <c r="H61" s="33">
        <v>47</v>
      </c>
      <c r="I61" s="79">
        <v>2183.8999999999996</v>
      </c>
      <c r="J61" s="33">
        <v>652</v>
      </c>
      <c r="K61" s="79">
        <v>18655.54</v>
      </c>
      <c r="L61" s="33">
        <f t="shared" si="0"/>
        <v>-605</v>
      </c>
      <c r="M61" s="81">
        <f t="shared" si="1"/>
        <v>-16471.64</v>
      </c>
      <c r="N61" s="35">
        <f t="shared" si="2"/>
        <v>-0.88293557838583059</v>
      </c>
    </row>
    <row r="62" spans="1:14" x14ac:dyDescent="0.25">
      <c r="A62" s="75" t="s">
        <v>620</v>
      </c>
      <c r="B62" s="76" t="s">
        <v>621</v>
      </c>
      <c r="C62" s="31">
        <v>0</v>
      </c>
      <c r="D62" s="79">
        <v>0</v>
      </c>
      <c r="E62" s="33">
        <v>0</v>
      </c>
      <c r="F62" s="79">
        <v>0</v>
      </c>
      <c r="G62" s="34"/>
      <c r="H62" s="33">
        <v>0</v>
      </c>
      <c r="I62" s="79">
        <v>0</v>
      </c>
      <c r="J62" s="33">
        <v>0</v>
      </c>
      <c r="K62" s="79">
        <v>0</v>
      </c>
      <c r="L62" s="33">
        <f t="shared" si="0"/>
        <v>0</v>
      </c>
      <c r="M62" s="81">
        <f t="shared" si="1"/>
        <v>0</v>
      </c>
      <c r="N62" s="35"/>
    </row>
    <row r="63" spans="1:14" x14ac:dyDescent="0.25">
      <c r="A63" s="75" t="s">
        <v>556</v>
      </c>
      <c r="B63" s="76" t="s">
        <v>555</v>
      </c>
      <c r="C63" s="31">
        <v>0</v>
      </c>
      <c r="D63" s="79">
        <v>0</v>
      </c>
      <c r="E63" s="33">
        <v>0</v>
      </c>
      <c r="F63" s="79">
        <v>0</v>
      </c>
      <c r="G63" s="34"/>
      <c r="H63" s="33">
        <v>0</v>
      </c>
      <c r="I63" s="79">
        <v>0</v>
      </c>
      <c r="J63" s="33">
        <v>0</v>
      </c>
      <c r="K63" s="79">
        <v>0</v>
      </c>
      <c r="L63" s="33">
        <f t="shared" si="0"/>
        <v>0</v>
      </c>
      <c r="M63" s="81">
        <f t="shared" si="1"/>
        <v>0</v>
      </c>
      <c r="N63" s="35"/>
    </row>
    <row r="64" spans="1:14" x14ac:dyDescent="0.25">
      <c r="A64" s="75" t="s">
        <v>622</v>
      </c>
      <c r="B64" s="76" t="s">
        <v>623</v>
      </c>
      <c r="C64" s="31">
        <v>0</v>
      </c>
      <c r="D64" s="79">
        <v>0</v>
      </c>
      <c r="E64" s="33">
        <v>0</v>
      </c>
      <c r="F64" s="79">
        <v>0</v>
      </c>
      <c r="G64" s="34"/>
      <c r="H64" s="33">
        <v>0</v>
      </c>
      <c r="I64" s="79">
        <v>0</v>
      </c>
      <c r="J64" s="33">
        <v>0</v>
      </c>
      <c r="K64" s="79">
        <v>0</v>
      </c>
      <c r="L64" s="33">
        <f t="shared" si="0"/>
        <v>0</v>
      </c>
      <c r="M64" s="81">
        <f t="shared" si="1"/>
        <v>0</v>
      </c>
      <c r="N64" s="35"/>
    </row>
    <row r="65" spans="1:14" x14ac:dyDescent="0.25">
      <c r="A65" s="75" t="s">
        <v>624</v>
      </c>
      <c r="B65" s="76" t="s">
        <v>625</v>
      </c>
      <c r="C65" s="31">
        <v>0</v>
      </c>
      <c r="D65" s="79">
        <v>0</v>
      </c>
      <c r="E65" s="33">
        <v>0</v>
      </c>
      <c r="F65" s="79">
        <v>0</v>
      </c>
      <c r="G65" s="34"/>
      <c r="H65" s="33">
        <v>0</v>
      </c>
      <c r="I65" s="79">
        <v>0</v>
      </c>
      <c r="J65" s="33">
        <v>48</v>
      </c>
      <c r="K65" s="79">
        <v>452.1</v>
      </c>
      <c r="L65" s="33">
        <f t="shared" si="0"/>
        <v>-48</v>
      </c>
      <c r="M65" s="81">
        <f t="shared" si="1"/>
        <v>-452.1</v>
      </c>
      <c r="N65" s="35">
        <f t="shared" si="2"/>
        <v>-1</v>
      </c>
    </row>
    <row r="66" spans="1:14" x14ac:dyDescent="0.25">
      <c r="A66" s="75" t="s">
        <v>626</v>
      </c>
      <c r="B66" s="76" t="s">
        <v>627</v>
      </c>
      <c r="C66" s="31">
        <v>0</v>
      </c>
      <c r="D66" s="79">
        <v>0</v>
      </c>
      <c r="E66" s="33">
        <v>0</v>
      </c>
      <c r="F66" s="79">
        <v>0</v>
      </c>
      <c r="G66" s="34"/>
      <c r="H66" s="33">
        <v>0</v>
      </c>
      <c r="I66" s="79">
        <v>0</v>
      </c>
      <c r="J66" s="33">
        <v>29</v>
      </c>
      <c r="K66" s="79">
        <v>272.96999999999997</v>
      </c>
      <c r="L66" s="33">
        <f t="shared" si="0"/>
        <v>-29</v>
      </c>
      <c r="M66" s="81">
        <f t="shared" si="1"/>
        <v>-272.96999999999997</v>
      </c>
      <c r="N66" s="35">
        <f t="shared" si="2"/>
        <v>-1</v>
      </c>
    </row>
    <row r="67" spans="1:14" x14ac:dyDescent="0.25">
      <c r="A67" s="75" t="s">
        <v>628</v>
      </c>
      <c r="B67" s="76" t="s">
        <v>629</v>
      </c>
      <c r="C67" s="31">
        <v>0</v>
      </c>
      <c r="D67" s="79">
        <v>0</v>
      </c>
      <c r="E67" s="33">
        <v>0</v>
      </c>
      <c r="F67" s="79">
        <v>0</v>
      </c>
      <c r="G67" s="34"/>
      <c r="H67" s="33">
        <v>0</v>
      </c>
      <c r="I67" s="79">
        <v>0</v>
      </c>
      <c r="J67" s="33">
        <v>0</v>
      </c>
      <c r="K67" s="79">
        <v>0</v>
      </c>
      <c r="L67" s="33">
        <f t="shared" ref="L67:L130" si="4">H67-J67</f>
        <v>0</v>
      </c>
      <c r="M67" s="81">
        <f t="shared" ref="M67:M130" si="5">I67-K67</f>
        <v>0</v>
      </c>
      <c r="N67" s="35"/>
    </row>
    <row r="68" spans="1:14" x14ac:dyDescent="0.25">
      <c r="A68" s="75" t="s">
        <v>757</v>
      </c>
      <c r="B68" s="76" t="s">
        <v>758</v>
      </c>
      <c r="C68" s="31">
        <v>0</v>
      </c>
      <c r="D68" s="79">
        <v>0</v>
      </c>
      <c r="E68" s="33">
        <v>0</v>
      </c>
      <c r="F68" s="79">
        <v>0</v>
      </c>
      <c r="G68" s="34"/>
      <c r="H68" s="33">
        <v>0</v>
      </c>
      <c r="I68" s="79">
        <v>0</v>
      </c>
      <c r="J68" s="33">
        <v>0</v>
      </c>
      <c r="K68" s="79">
        <v>0</v>
      </c>
      <c r="L68" s="33">
        <f t="shared" si="4"/>
        <v>0</v>
      </c>
      <c r="M68" s="81">
        <f t="shared" si="5"/>
        <v>0</v>
      </c>
      <c r="N68" s="35"/>
    </row>
    <row r="69" spans="1:14" x14ac:dyDescent="0.25">
      <c r="A69" s="75" t="s">
        <v>630</v>
      </c>
      <c r="B69" s="76" t="s">
        <v>631</v>
      </c>
      <c r="C69" s="31">
        <v>0</v>
      </c>
      <c r="D69" s="79">
        <v>0</v>
      </c>
      <c r="E69" s="33">
        <v>0</v>
      </c>
      <c r="F69" s="79">
        <v>0</v>
      </c>
      <c r="G69" s="34"/>
      <c r="H69" s="33">
        <v>0</v>
      </c>
      <c r="I69" s="79">
        <v>0</v>
      </c>
      <c r="J69" s="33">
        <v>0</v>
      </c>
      <c r="K69" s="79">
        <v>0</v>
      </c>
      <c r="L69" s="33">
        <f t="shared" si="4"/>
        <v>0</v>
      </c>
      <c r="M69" s="81">
        <f t="shared" si="5"/>
        <v>0</v>
      </c>
      <c r="N69" s="35"/>
    </row>
    <row r="70" spans="1:14" x14ac:dyDescent="0.25">
      <c r="A70" s="75" t="s">
        <v>49</v>
      </c>
      <c r="B70" s="76" t="s">
        <v>48</v>
      </c>
      <c r="C70" s="31">
        <v>4</v>
      </c>
      <c r="D70" s="79">
        <v>54.56</v>
      </c>
      <c r="E70" s="33">
        <v>0</v>
      </c>
      <c r="F70" s="79">
        <v>0</v>
      </c>
      <c r="G70" s="34">
        <f t="shared" si="3"/>
        <v>0</v>
      </c>
      <c r="H70" s="33">
        <v>4</v>
      </c>
      <c r="I70" s="79">
        <v>54.56</v>
      </c>
      <c r="J70" s="33">
        <v>21</v>
      </c>
      <c r="K70" s="79">
        <v>249.1</v>
      </c>
      <c r="L70" s="33">
        <f t="shared" si="4"/>
        <v>-17</v>
      </c>
      <c r="M70" s="81">
        <f t="shared" si="5"/>
        <v>-194.54</v>
      </c>
      <c r="N70" s="35">
        <f t="shared" ref="N70:N130" si="6">M70/ABS(K70)</f>
        <v>-0.78097149739060612</v>
      </c>
    </row>
    <row r="71" spans="1:14" x14ac:dyDescent="0.25">
      <c r="A71" s="75" t="s">
        <v>51</v>
      </c>
      <c r="B71" s="76" t="s">
        <v>50</v>
      </c>
      <c r="C71" s="31">
        <v>6</v>
      </c>
      <c r="D71" s="79">
        <v>92.34</v>
      </c>
      <c r="E71" s="33">
        <v>0</v>
      </c>
      <c r="F71" s="79">
        <v>0</v>
      </c>
      <c r="G71" s="34">
        <f t="shared" si="3"/>
        <v>0</v>
      </c>
      <c r="H71" s="33">
        <v>6</v>
      </c>
      <c r="I71" s="79">
        <v>92.34</v>
      </c>
      <c r="J71" s="33">
        <v>17</v>
      </c>
      <c r="K71" s="79">
        <v>261.73</v>
      </c>
      <c r="L71" s="33">
        <f t="shared" si="4"/>
        <v>-11</v>
      </c>
      <c r="M71" s="81">
        <f t="shared" si="5"/>
        <v>-169.39000000000001</v>
      </c>
      <c r="N71" s="35">
        <f t="shared" si="6"/>
        <v>-0.6471936728689871</v>
      </c>
    </row>
    <row r="72" spans="1:14" x14ac:dyDescent="0.25">
      <c r="A72" s="75" t="s">
        <v>524</v>
      </c>
      <c r="B72" s="76" t="s">
        <v>523</v>
      </c>
      <c r="C72" s="31">
        <v>3</v>
      </c>
      <c r="D72" s="79">
        <v>11.67</v>
      </c>
      <c r="E72" s="33">
        <v>0</v>
      </c>
      <c r="F72" s="79">
        <v>0</v>
      </c>
      <c r="G72" s="34">
        <f t="shared" si="3"/>
        <v>0</v>
      </c>
      <c r="H72" s="33">
        <v>3</v>
      </c>
      <c r="I72" s="79">
        <v>11.67</v>
      </c>
      <c r="J72" s="33">
        <v>4</v>
      </c>
      <c r="K72" s="79">
        <v>27.94</v>
      </c>
      <c r="L72" s="33">
        <f t="shared" si="4"/>
        <v>-1</v>
      </c>
      <c r="M72" s="81">
        <f t="shared" si="5"/>
        <v>-16.270000000000003</v>
      </c>
      <c r="N72" s="35">
        <f t="shared" si="6"/>
        <v>-0.58231925554760211</v>
      </c>
    </row>
    <row r="73" spans="1:14" x14ac:dyDescent="0.25">
      <c r="A73" s="75" t="s">
        <v>498</v>
      </c>
      <c r="B73" s="76" t="s">
        <v>497</v>
      </c>
      <c r="C73" s="31">
        <v>0</v>
      </c>
      <c r="D73" s="79">
        <v>0</v>
      </c>
      <c r="E73" s="33">
        <v>0</v>
      </c>
      <c r="F73" s="79">
        <v>0</v>
      </c>
      <c r="G73" s="34"/>
      <c r="H73" s="33">
        <v>0</v>
      </c>
      <c r="I73" s="79">
        <v>0</v>
      </c>
      <c r="J73" s="33">
        <v>0</v>
      </c>
      <c r="K73" s="79">
        <v>0</v>
      </c>
      <c r="L73" s="33">
        <f t="shared" si="4"/>
        <v>0</v>
      </c>
      <c r="M73" s="81">
        <f t="shared" si="5"/>
        <v>0</v>
      </c>
      <c r="N73" s="35"/>
    </row>
    <row r="74" spans="1:14" x14ac:dyDescent="0.25">
      <c r="A74" s="75" t="s">
        <v>558</v>
      </c>
      <c r="B74" s="76" t="s">
        <v>557</v>
      </c>
      <c r="C74" s="31">
        <v>0</v>
      </c>
      <c r="D74" s="79">
        <v>0</v>
      </c>
      <c r="E74" s="33">
        <v>0</v>
      </c>
      <c r="F74" s="79">
        <v>0</v>
      </c>
      <c r="G74" s="34"/>
      <c r="H74" s="33">
        <v>0</v>
      </c>
      <c r="I74" s="79">
        <v>0</v>
      </c>
      <c r="J74" s="33">
        <v>0</v>
      </c>
      <c r="K74" s="79">
        <v>0</v>
      </c>
      <c r="L74" s="33">
        <f t="shared" si="4"/>
        <v>0</v>
      </c>
      <c r="M74" s="81">
        <f t="shared" si="5"/>
        <v>0</v>
      </c>
      <c r="N74" s="35"/>
    </row>
    <row r="75" spans="1:14" x14ac:dyDescent="0.25">
      <c r="A75" s="75" t="s">
        <v>759</v>
      </c>
      <c r="B75" s="76" t="s">
        <v>760</v>
      </c>
      <c r="C75" s="31">
        <v>0</v>
      </c>
      <c r="D75" s="79">
        <v>0</v>
      </c>
      <c r="E75" s="33">
        <v>0</v>
      </c>
      <c r="F75" s="79">
        <v>0</v>
      </c>
      <c r="G75" s="34"/>
      <c r="H75" s="33">
        <v>0</v>
      </c>
      <c r="I75" s="79">
        <v>0</v>
      </c>
      <c r="J75" s="33">
        <v>-1</v>
      </c>
      <c r="K75" s="79">
        <v>-11.39</v>
      </c>
      <c r="L75" s="33">
        <f t="shared" si="4"/>
        <v>1</v>
      </c>
      <c r="M75" s="81">
        <f t="shared" si="5"/>
        <v>11.39</v>
      </c>
      <c r="N75" s="35">
        <f t="shared" si="6"/>
        <v>1</v>
      </c>
    </row>
    <row r="76" spans="1:14" x14ac:dyDescent="0.25">
      <c r="A76" s="75" t="s">
        <v>53</v>
      </c>
      <c r="B76" s="76" t="s">
        <v>52</v>
      </c>
      <c r="C76" s="31">
        <v>0</v>
      </c>
      <c r="D76" s="79">
        <v>0</v>
      </c>
      <c r="E76" s="33">
        <v>0</v>
      </c>
      <c r="F76" s="79">
        <v>0</v>
      </c>
      <c r="G76" s="34"/>
      <c r="H76" s="33">
        <v>0</v>
      </c>
      <c r="I76" s="79">
        <v>0</v>
      </c>
      <c r="J76" s="33">
        <v>0</v>
      </c>
      <c r="K76" s="79">
        <v>0</v>
      </c>
      <c r="L76" s="33">
        <f t="shared" si="4"/>
        <v>0</v>
      </c>
      <c r="M76" s="81">
        <f t="shared" si="5"/>
        <v>0</v>
      </c>
      <c r="N76" s="35"/>
    </row>
    <row r="77" spans="1:14" x14ac:dyDescent="0.25">
      <c r="A77" s="75" t="s">
        <v>55</v>
      </c>
      <c r="B77" s="76" t="s">
        <v>54</v>
      </c>
      <c r="C77" s="31">
        <v>295</v>
      </c>
      <c r="D77" s="79">
        <v>8267.65</v>
      </c>
      <c r="E77" s="33">
        <v>1</v>
      </c>
      <c r="F77" s="79">
        <v>39.9</v>
      </c>
      <c r="G77" s="34">
        <f t="shared" ref="G77:G137" si="7">F77/I77</f>
        <v>4.8028600489915798E-3</v>
      </c>
      <c r="H77" s="33">
        <v>296</v>
      </c>
      <c r="I77" s="79">
        <v>8307.5499999999993</v>
      </c>
      <c r="J77" s="33">
        <v>780</v>
      </c>
      <c r="K77" s="79">
        <v>19319.830000000002</v>
      </c>
      <c r="L77" s="33">
        <f t="shared" si="4"/>
        <v>-484</v>
      </c>
      <c r="M77" s="81">
        <f t="shared" si="5"/>
        <v>-11012.280000000002</v>
      </c>
      <c r="N77" s="35">
        <f t="shared" si="6"/>
        <v>-0.56999880433730532</v>
      </c>
    </row>
    <row r="78" spans="1:14" x14ac:dyDescent="0.25">
      <c r="A78" s="75" t="s">
        <v>57</v>
      </c>
      <c r="B78" s="76" t="s">
        <v>56</v>
      </c>
      <c r="C78" s="31">
        <v>0</v>
      </c>
      <c r="D78" s="79">
        <v>0</v>
      </c>
      <c r="E78" s="33">
        <v>65</v>
      </c>
      <c r="F78" s="79">
        <v>3243.5</v>
      </c>
      <c r="G78" s="34">
        <f t="shared" si="7"/>
        <v>1</v>
      </c>
      <c r="H78" s="33">
        <v>65</v>
      </c>
      <c r="I78" s="79">
        <v>3243.5</v>
      </c>
      <c r="J78" s="33">
        <v>0</v>
      </c>
      <c r="K78" s="79">
        <v>0</v>
      </c>
      <c r="L78" s="33">
        <f t="shared" si="4"/>
        <v>65</v>
      </c>
      <c r="M78" s="81">
        <f t="shared" si="5"/>
        <v>3243.5</v>
      </c>
      <c r="N78" s="35"/>
    </row>
    <row r="79" spans="1:14" x14ac:dyDescent="0.25">
      <c r="A79" s="75" t="s">
        <v>538</v>
      </c>
      <c r="B79" s="76" t="s">
        <v>537</v>
      </c>
      <c r="C79" s="31">
        <v>52</v>
      </c>
      <c r="D79" s="79">
        <v>3113.92</v>
      </c>
      <c r="E79" s="33">
        <v>2</v>
      </c>
      <c r="F79" s="79">
        <v>159.80000000000001</v>
      </c>
      <c r="G79" s="34">
        <f t="shared" si="7"/>
        <v>4.8812971176520899E-2</v>
      </c>
      <c r="H79" s="33">
        <v>54</v>
      </c>
      <c r="I79" s="79">
        <v>3273.7200000000003</v>
      </c>
      <c r="J79" s="33">
        <v>179</v>
      </c>
      <c r="K79" s="79">
        <v>10092.790000000001</v>
      </c>
      <c r="L79" s="33">
        <f t="shared" si="4"/>
        <v>-125</v>
      </c>
      <c r="M79" s="81">
        <f t="shared" si="5"/>
        <v>-6819.0700000000006</v>
      </c>
      <c r="N79" s="35">
        <f t="shared" si="6"/>
        <v>-0.67563775725047281</v>
      </c>
    </row>
    <row r="80" spans="1:14" x14ac:dyDescent="0.25">
      <c r="A80" s="75" t="s">
        <v>506</v>
      </c>
      <c r="B80" s="76" t="s">
        <v>505</v>
      </c>
      <c r="C80" s="31">
        <v>0</v>
      </c>
      <c r="D80" s="79">
        <v>0</v>
      </c>
      <c r="E80" s="33">
        <v>0</v>
      </c>
      <c r="F80" s="79">
        <v>0</v>
      </c>
      <c r="G80" s="34"/>
      <c r="H80" s="33">
        <v>0</v>
      </c>
      <c r="I80" s="79">
        <v>0</v>
      </c>
      <c r="J80" s="33">
        <v>1</v>
      </c>
      <c r="K80" s="79">
        <v>61.31</v>
      </c>
      <c r="L80" s="33">
        <f t="shared" si="4"/>
        <v>-1</v>
      </c>
      <c r="M80" s="81">
        <f t="shared" si="5"/>
        <v>-61.31</v>
      </c>
      <c r="N80" s="35">
        <f t="shared" si="6"/>
        <v>-1</v>
      </c>
    </row>
    <row r="81" spans="1:14" x14ac:dyDescent="0.25">
      <c r="A81" s="75" t="s">
        <v>632</v>
      </c>
      <c r="B81" s="76" t="s">
        <v>633</v>
      </c>
      <c r="C81" s="31">
        <v>0</v>
      </c>
      <c r="D81" s="79">
        <v>0</v>
      </c>
      <c r="E81" s="33">
        <v>0</v>
      </c>
      <c r="F81" s="79">
        <v>0</v>
      </c>
      <c r="G81" s="34"/>
      <c r="H81" s="33">
        <v>0</v>
      </c>
      <c r="I81" s="79">
        <v>0</v>
      </c>
      <c r="J81" s="33">
        <v>0</v>
      </c>
      <c r="K81" s="79">
        <v>0</v>
      </c>
      <c r="L81" s="33">
        <f t="shared" si="4"/>
        <v>0</v>
      </c>
      <c r="M81" s="81">
        <f t="shared" si="5"/>
        <v>0</v>
      </c>
      <c r="N81" s="35"/>
    </row>
    <row r="82" spans="1:14" x14ac:dyDescent="0.25">
      <c r="A82" s="75" t="s">
        <v>634</v>
      </c>
      <c r="B82" s="76" t="s">
        <v>635</v>
      </c>
      <c r="C82" s="31">
        <v>0</v>
      </c>
      <c r="D82" s="79">
        <v>0</v>
      </c>
      <c r="E82" s="33">
        <v>0</v>
      </c>
      <c r="F82" s="79">
        <v>0</v>
      </c>
      <c r="G82" s="34"/>
      <c r="H82" s="33">
        <v>0</v>
      </c>
      <c r="I82" s="79">
        <v>0</v>
      </c>
      <c r="J82" s="33">
        <v>0</v>
      </c>
      <c r="K82" s="79">
        <v>0</v>
      </c>
      <c r="L82" s="33">
        <f t="shared" si="4"/>
        <v>0</v>
      </c>
      <c r="M82" s="81">
        <f t="shared" si="5"/>
        <v>0</v>
      </c>
      <c r="N82" s="35"/>
    </row>
    <row r="83" spans="1:14" x14ac:dyDescent="0.25">
      <c r="A83" s="75" t="s">
        <v>761</v>
      </c>
      <c r="B83" s="76" t="s">
        <v>762</v>
      </c>
      <c r="C83" s="31">
        <v>0</v>
      </c>
      <c r="D83" s="79">
        <v>0</v>
      </c>
      <c r="E83" s="33">
        <v>0</v>
      </c>
      <c r="F83" s="79">
        <v>0</v>
      </c>
      <c r="G83" s="34"/>
      <c r="H83" s="33">
        <v>0</v>
      </c>
      <c r="I83" s="79">
        <v>0</v>
      </c>
      <c r="J83" s="33">
        <v>0</v>
      </c>
      <c r="K83" s="79">
        <v>0</v>
      </c>
      <c r="L83" s="33">
        <f t="shared" si="4"/>
        <v>0</v>
      </c>
      <c r="M83" s="81">
        <f t="shared" si="5"/>
        <v>0</v>
      </c>
      <c r="N83" s="35"/>
    </row>
    <row r="84" spans="1:14" x14ac:dyDescent="0.25">
      <c r="A84" s="75" t="s">
        <v>763</v>
      </c>
      <c r="B84" s="76" t="s">
        <v>764</v>
      </c>
      <c r="C84" s="31">
        <v>0</v>
      </c>
      <c r="D84" s="79">
        <v>0</v>
      </c>
      <c r="E84" s="33">
        <v>0</v>
      </c>
      <c r="F84" s="79">
        <v>0</v>
      </c>
      <c r="G84" s="34"/>
      <c r="H84" s="33">
        <v>0</v>
      </c>
      <c r="I84" s="79">
        <v>0</v>
      </c>
      <c r="J84" s="33">
        <v>2</v>
      </c>
      <c r="K84" s="79">
        <v>23.6</v>
      </c>
      <c r="L84" s="33">
        <f t="shared" si="4"/>
        <v>-2</v>
      </c>
      <c r="M84" s="81">
        <f t="shared" si="5"/>
        <v>-23.6</v>
      </c>
      <c r="N84" s="35">
        <f t="shared" si="6"/>
        <v>-1</v>
      </c>
    </row>
    <row r="85" spans="1:14" x14ac:dyDescent="0.25">
      <c r="A85" s="75" t="s">
        <v>636</v>
      </c>
      <c r="B85" s="76" t="s">
        <v>637</v>
      </c>
      <c r="C85" s="31">
        <v>0</v>
      </c>
      <c r="D85" s="79">
        <v>0</v>
      </c>
      <c r="E85" s="33">
        <v>0</v>
      </c>
      <c r="F85" s="79">
        <v>0</v>
      </c>
      <c r="G85" s="34"/>
      <c r="H85" s="33">
        <v>0</v>
      </c>
      <c r="I85" s="79">
        <v>0</v>
      </c>
      <c r="J85" s="33">
        <v>22</v>
      </c>
      <c r="K85" s="79">
        <v>2203.34</v>
      </c>
      <c r="L85" s="33">
        <f t="shared" si="4"/>
        <v>-22</v>
      </c>
      <c r="M85" s="81">
        <f t="shared" si="5"/>
        <v>-2203.34</v>
      </c>
      <c r="N85" s="35">
        <f t="shared" si="6"/>
        <v>-1</v>
      </c>
    </row>
    <row r="86" spans="1:14" x14ac:dyDescent="0.25">
      <c r="A86" s="75" t="s">
        <v>59</v>
      </c>
      <c r="B86" s="76" t="s">
        <v>58</v>
      </c>
      <c r="C86" s="31">
        <v>49</v>
      </c>
      <c r="D86" s="79">
        <v>3987.91</v>
      </c>
      <c r="E86" s="33">
        <v>0</v>
      </c>
      <c r="F86" s="79">
        <v>0</v>
      </c>
      <c r="G86" s="34">
        <f t="shared" si="7"/>
        <v>0</v>
      </c>
      <c r="H86" s="33">
        <v>49</v>
      </c>
      <c r="I86" s="79">
        <v>3987.91</v>
      </c>
      <c r="J86" s="33">
        <v>149</v>
      </c>
      <c r="K86" s="79">
        <v>10979.81</v>
      </c>
      <c r="L86" s="33">
        <f t="shared" si="4"/>
        <v>-100</v>
      </c>
      <c r="M86" s="81">
        <f t="shared" si="5"/>
        <v>-6991.9</v>
      </c>
      <c r="N86" s="35">
        <f t="shared" si="6"/>
        <v>-0.63679608299232859</v>
      </c>
    </row>
    <row r="87" spans="1:14" x14ac:dyDescent="0.25">
      <c r="A87" s="75" t="s">
        <v>500</v>
      </c>
      <c r="B87" s="76" t="s">
        <v>499</v>
      </c>
      <c r="C87" s="31">
        <v>2</v>
      </c>
      <c r="D87" s="79">
        <v>53.94</v>
      </c>
      <c r="E87" s="33">
        <v>1484</v>
      </c>
      <c r="F87" s="79">
        <v>48811.039999999812</v>
      </c>
      <c r="G87" s="34">
        <f t="shared" si="7"/>
        <v>0.99889614198143528</v>
      </c>
      <c r="H87" s="33">
        <v>1486</v>
      </c>
      <c r="I87" s="79">
        <v>48864.979999999814</v>
      </c>
      <c r="J87" s="33">
        <v>1231</v>
      </c>
      <c r="K87" s="79">
        <v>33851.97</v>
      </c>
      <c r="L87" s="33">
        <f t="shared" si="4"/>
        <v>255</v>
      </c>
      <c r="M87" s="81">
        <f t="shared" si="5"/>
        <v>15013.009999999813</v>
      </c>
      <c r="N87" s="35">
        <f t="shared" si="6"/>
        <v>0.44348999482156615</v>
      </c>
    </row>
    <row r="88" spans="1:14" x14ac:dyDescent="0.25">
      <c r="A88" s="75" t="s">
        <v>540</v>
      </c>
      <c r="B88" s="76" t="s">
        <v>539</v>
      </c>
      <c r="C88" s="31">
        <v>0</v>
      </c>
      <c r="D88" s="79">
        <v>0</v>
      </c>
      <c r="E88" s="33">
        <v>25</v>
      </c>
      <c r="F88" s="79">
        <v>950.49999999999966</v>
      </c>
      <c r="G88" s="34">
        <f t="shared" si="7"/>
        <v>1</v>
      </c>
      <c r="H88" s="33">
        <v>25</v>
      </c>
      <c r="I88" s="79">
        <v>950.49999999999966</v>
      </c>
      <c r="J88" s="33">
        <v>0</v>
      </c>
      <c r="K88" s="79">
        <v>0</v>
      </c>
      <c r="L88" s="33">
        <f t="shared" si="4"/>
        <v>25</v>
      </c>
      <c r="M88" s="81">
        <f t="shared" si="5"/>
        <v>950.49999999999966</v>
      </c>
      <c r="N88" s="35"/>
    </row>
    <row r="89" spans="1:14" x14ac:dyDescent="0.25">
      <c r="A89" s="75" t="s">
        <v>61</v>
      </c>
      <c r="B89" s="76" t="s">
        <v>60</v>
      </c>
      <c r="C89" s="31">
        <v>6</v>
      </c>
      <c r="D89" s="79">
        <v>120.97</v>
      </c>
      <c r="E89" s="33">
        <v>0</v>
      </c>
      <c r="F89" s="79">
        <v>0</v>
      </c>
      <c r="G89" s="34">
        <f t="shared" si="7"/>
        <v>0</v>
      </c>
      <c r="H89" s="33">
        <v>6</v>
      </c>
      <c r="I89" s="79">
        <v>120.97</v>
      </c>
      <c r="J89" s="33">
        <v>-4</v>
      </c>
      <c r="K89" s="79">
        <v>-63</v>
      </c>
      <c r="L89" s="33">
        <f t="shared" si="4"/>
        <v>10</v>
      </c>
      <c r="M89" s="81">
        <f t="shared" si="5"/>
        <v>183.97</v>
      </c>
      <c r="N89" s="35">
        <f t="shared" si="6"/>
        <v>2.9201587301587302</v>
      </c>
    </row>
    <row r="90" spans="1:14" x14ac:dyDescent="0.25">
      <c r="A90" s="75" t="s">
        <v>63</v>
      </c>
      <c r="B90" s="76" t="s">
        <v>62</v>
      </c>
      <c r="C90" s="31">
        <v>18</v>
      </c>
      <c r="D90" s="79">
        <v>445.64</v>
      </c>
      <c r="E90" s="33">
        <v>0</v>
      </c>
      <c r="F90" s="79">
        <v>0</v>
      </c>
      <c r="G90" s="34">
        <f t="shared" si="7"/>
        <v>0</v>
      </c>
      <c r="H90" s="33">
        <v>18</v>
      </c>
      <c r="I90" s="79">
        <v>445.64</v>
      </c>
      <c r="J90" s="33">
        <v>50</v>
      </c>
      <c r="K90" s="79">
        <v>1149.1300000000001</v>
      </c>
      <c r="L90" s="33">
        <f t="shared" si="4"/>
        <v>-32</v>
      </c>
      <c r="M90" s="81">
        <f t="shared" si="5"/>
        <v>-703.49000000000012</v>
      </c>
      <c r="N90" s="35">
        <f t="shared" si="6"/>
        <v>-0.6121935725287827</v>
      </c>
    </row>
    <row r="91" spans="1:14" x14ac:dyDescent="0.25">
      <c r="A91" s="75" t="s">
        <v>65</v>
      </c>
      <c r="B91" s="76" t="s">
        <v>64</v>
      </c>
      <c r="C91" s="31">
        <v>0</v>
      </c>
      <c r="D91" s="79">
        <v>0</v>
      </c>
      <c r="E91" s="33">
        <v>0</v>
      </c>
      <c r="F91" s="79">
        <v>0</v>
      </c>
      <c r="G91" s="34"/>
      <c r="H91" s="33">
        <v>0</v>
      </c>
      <c r="I91" s="79">
        <v>0</v>
      </c>
      <c r="J91" s="33">
        <v>3</v>
      </c>
      <c r="K91" s="79">
        <v>75.91</v>
      </c>
      <c r="L91" s="33">
        <f t="shared" si="4"/>
        <v>-3</v>
      </c>
      <c r="M91" s="81">
        <f t="shared" si="5"/>
        <v>-75.91</v>
      </c>
      <c r="N91" s="35">
        <f t="shared" si="6"/>
        <v>-1</v>
      </c>
    </row>
    <row r="92" spans="1:14" x14ac:dyDescent="0.25">
      <c r="A92" s="75" t="s">
        <v>67</v>
      </c>
      <c r="B92" s="76" t="s">
        <v>66</v>
      </c>
      <c r="C92" s="31">
        <v>0</v>
      </c>
      <c r="D92" s="79">
        <v>0</v>
      </c>
      <c r="E92" s="33">
        <v>0</v>
      </c>
      <c r="F92" s="79">
        <v>0</v>
      </c>
      <c r="G92" s="34"/>
      <c r="H92" s="33">
        <v>0</v>
      </c>
      <c r="I92" s="79">
        <v>0</v>
      </c>
      <c r="J92" s="33">
        <v>0</v>
      </c>
      <c r="K92" s="79">
        <v>0</v>
      </c>
      <c r="L92" s="33">
        <f t="shared" si="4"/>
        <v>0</v>
      </c>
      <c r="M92" s="81">
        <f t="shared" si="5"/>
        <v>0</v>
      </c>
      <c r="N92" s="35"/>
    </row>
    <row r="93" spans="1:14" x14ac:dyDescent="0.25">
      <c r="A93" s="75" t="s">
        <v>638</v>
      </c>
      <c r="B93" s="76" t="s">
        <v>639</v>
      </c>
      <c r="C93" s="31">
        <v>0</v>
      </c>
      <c r="D93" s="79">
        <v>0</v>
      </c>
      <c r="E93" s="33">
        <v>0</v>
      </c>
      <c r="F93" s="79">
        <v>0</v>
      </c>
      <c r="G93" s="34"/>
      <c r="H93" s="33">
        <v>0</v>
      </c>
      <c r="I93" s="79">
        <v>0</v>
      </c>
      <c r="J93" s="33">
        <v>2</v>
      </c>
      <c r="K93" s="79">
        <v>40.85</v>
      </c>
      <c r="L93" s="33">
        <f t="shared" si="4"/>
        <v>-2</v>
      </c>
      <c r="M93" s="81">
        <f t="shared" si="5"/>
        <v>-40.85</v>
      </c>
      <c r="N93" s="35">
        <f t="shared" si="6"/>
        <v>-1</v>
      </c>
    </row>
    <row r="94" spans="1:14" x14ac:dyDescent="0.25">
      <c r="A94" s="75" t="s">
        <v>69</v>
      </c>
      <c r="B94" s="76" t="s">
        <v>68</v>
      </c>
      <c r="C94" s="31">
        <v>0</v>
      </c>
      <c r="D94" s="79">
        <v>0</v>
      </c>
      <c r="E94" s="33">
        <v>11</v>
      </c>
      <c r="F94" s="79">
        <v>417.15</v>
      </c>
      <c r="G94" s="34">
        <f t="shared" si="7"/>
        <v>1</v>
      </c>
      <c r="H94" s="33">
        <v>11</v>
      </c>
      <c r="I94" s="79">
        <v>417.15</v>
      </c>
      <c r="J94" s="33">
        <v>0</v>
      </c>
      <c r="K94" s="79">
        <v>0</v>
      </c>
      <c r="L94" s="33">
        <f t="shared" si="4"/>
        <v>11</v>
      </c>
      <c r="M94" s="81">
        <f t="shared" si="5"/>
        <v>417.15</v>
      </c>
      <c r="N94" s="35"/>
    </row>
    <row r="95" spans="1:14" x14ac:dyDescent="0.25">
      <c r="A95" s="75" t="s">
        <v>71</v>
      </c>
      <c r="B95" s="76" t="s">
        <v>70</v>
      </c>
      <c r="C95" s="31">
        <v>2</v>
      </c>
      <c r="D95" s="79">
        <v>49.02</v>
      </c>
      <c r="E95" s="33">
        <v>0</v>
      </c>
      <c r="F95" s="79">
        <v>0</v>
      </c>
      <c r="G95" s="34">
        <f t="shared" si="7"/>
        <v>0</v>
      </c>
      <c r="H95" s="33">
        <v>2</v>
      </c>
      <c r="I95" s="79">
        <v>49.02</v>
      </c>
      <c r="J95" s="33">
        <v>8</v>
      </c>
      <c r="K95" s="79">
        <v>162.76</v>
      </c>
      <c r="L95" s="33">
        <f t="shared" si="4"/>
        <v>-6</v>
      </c>
      <c r="M95" s="81">
        <f t="shared" si="5"/>
        <v>-113.73999999999998</v>
      </c>
      <c r="N95" s="35">
        <f t="shared" si="6"/>
        <v>-0.69882034898009326</v>
      </c>
    </row>
    <row r="96" spans="1:14" x14ac:dyDescent="0.25">
      <c r="A96" s="75" t="s">
        <v>640</v>
      </c>
      <c r="B96" s="76" t="s">
        <v>641</v>
      </c>
      <c r="C96" s="31">
        <v>1</v>
      </c>
      <c r="D96" s="79">
        <v>20.41</v>
      </c>
      <c r="E96" s="33">
        <v>0</v>
      </c>
      <c r="F96" s="79">
        <v>0</v>
      </c>
      <c r="G96" s="34">
        <f t="shared" si="7"/>
        <v>0</v>
      </c>
      <c r="H96" s="33">
        <v>1</v>
      </c>
      <c r="I96" s="79">
        <v>20.41</v>
      </c>
      <c r="J96" s="33">
        <v>0</v>
      </c>
      <c r="K96" s="79">
        <v>0</v>
      </c>
      <c r="L96" s="33">
        <f t="shared" si="4"/>
        <v>1</v>
      </c>
      <c r="M96" s="81">
        <f t="shared" si="5"/>
        <v>20.41</v>
      </c>
      <c r="N96" s="35"/>
    </row>
    <row r="97" spans="1:14" x14ac:dyDescent="0.25">
      <c r="A97" s="75" t="s">
        <v>518</v>
      </c>
      <c r="B97" s="76" t="s">
        <v>517</v>
      </c>
      <c r="C97" s="31">
        <v>10</v>
      </c>
      <c r="D97" s="79">
        <v>206.42000000000002</v>
      </c>
      <c r="E97" s="33">
        <v>285</v>
      </c>
      <c r="F97" s="79">
        <v>7200.5000000000127</v>
      </c>
      <c r="G97" s="34">
        <f t="shared" si="7"/>
        <v>0.9721314662504793</v>
      </c>
      <c r="H97" s="33">
        <v>295</v>
      </c>
      <c r="I97" s="79">
        <v>7406.9200000000128</v>
      </c>
      <c r="J97" s="33">
        <v>1054</v>
      </c>
      <c r="K97" s="79">
        <v>21512.14</v>
      </c>
      <c r="L97" s="33">
        <f t="shared" si="4"/>
        <v>-759</v>
      </c>
      <c r="M97" s="81">
        <f t="shared" si="5"/>
        <v>-14105.219999999987</v>
      </c>
      <c r="N97" s="35">
        <f t="shared" si="6"/>
        <v>-0.65568651003572809</v>
      </c>
    </row>
    <row r="98" spans="1:14" x14ac:dyDescent="0.25">
      <c r="A98" s="75" t="s">
        <v>73</v>
      </c>
      <c r="B98" s="76" t="s">
        <v>72</v>
      </c>
      <c r="C98" s="31">
        <v>53</v>
      </c>
      <c r="D98" s="79">
        <v>2538.6999999999998</v>
      </c>
      <c r="E98" s="33">
        <v>0</v>
      </c>
      <c r="F98" s="79">
        <v>0</v>
      </c>
      <c r="G98" s="34">
        <f t="shared" si="7"/>
        <v>0</v>
      </c>
      <c r="H98" s="33">
        <v>53</v>
      </c>
      <c r="I98" s="79">
        <v>2538.6999999999998</v>
      </c>
      <c r="J98" s="33">
        <v>55</v>
      </c>
      <c r="K98" s="79">
        <v>3212.3500000000004</v>
      </c>
      <c r="L98" s="33">
        <f t="shared" si="4"/>
        <v>-2</v>
      </c>
      <c r="M98" s="81">
        <f t="shared" si="5"/>
        <v>-673.65000000000055</v>
      </c>
      <c r="N98" s="35">
        <f t="shared" si="6"/>
        <v>-0.20970628978785016</v>
      </c>
    </row>
    <row r="99" spans="1:14" x14ac:dyDescent="0.25">
      <c r="A99" s="75" t="s">
        <v>75</v>
      </c>
      <c r="B99" s="76" t="s">
        <v>74</v>
      </c>
      <c r="C99" s="31">
        <v>0</v>
      </c>
      <c r="D99" s="79">
        <v>0</v>
      </c>
      <c r="E99" s="33">
        <v>0</v>
      </c>
      <c r="F99" s="79">
        <v>0</v>
      </c>
      <c r="G99" s="34"/>
      <c r="H99" s="33">
        <v>0</v>
      </c>
      <c r="I99" s="79">
        <v>0</v>
      </c>
      <c r="J99" s="33">
        <v>0</v>
      </c>
      <c r="K99" s="79">
        <v>0</v>
      </c>
      <c r="L99" s="33">
        <f t="shared" si="4"/>
        <v>0</v>
      </c>
      <c r="M99" s="81">
        <f t="shared" si="5"/>
        <v>0</v>
      </c>
      <c r="N99" s="35"/>
    </row>
    <row r="100" spans="1:14" x14ac:dyDescent="0.25">
      <c r="A100" s="75" t="s">
        <v>542</v>
      </c>
      <c r="B100" s="76" t="s">
        <v>541</v>
      </c>
      <c r="C100" s="31">
        <v>-2</v>
      </c>
      <c r="D100" s="79">
        <v>-10.24</v>
      </c>
      <c r="E100" s="33">
        <v>0</v>
      </c>
      <c r="F100" s="79">
        <v>0</v>
      </c>
      <c r="G100" s="34">
        <f t="shared" si="7"/>
        <v>0</v>
      </c>
      <c r="H100" s="33">
        <v>-2</v>
      </c>
      <c r="I100" s="79">
        <v>-10.24</v>
      </c>
      <c r="J100" s="33">
        <v>2</v>
      </c>
      <c r="K100" s="79">
        <v>13.36</v>
      </c>
      <c r="L100" s="33">
        <f t="shared" si="4"/>
        <v>-4</v>
      </c>
      <c r="M100" s="81">
        <f t="shared" si="5"/>
        <v>-23.6</v>
      </c>
      <c r="N100" s="35">
        <f t="shared" si="6"/>
        <v>-1.7664670658682637</v>
      </c>
    </row>
    <row r="101" spans="1:14" x14ac:dyDescent="0.25">
      <c r="A101" s="75" t="s">
        <v>570</v>
      </c>
      <c r="B101" s="76" t="s">
        <v>569</v>
      </c>
      <c r="C101" s="31">
        <v>0</v>
      </c>
      <c r="D101" s="79">
        <v>0</v>
      </c>
      <c r="E101" s="33">
        <v>0</v>
      </c>
      <c r="F101" s="79">
        <v>0</v>
      </c>
      <c r="G101" s="34"/>
      <c r="H101" s="33">
        <v>0</v>
      </c>
      <c r="I101" s="79">
        <v>0</v>
      </c>
      <c r="J101" s="33">
        <v>0</v>
      </c>
      <c r="K101" s="79">
        <v>0</v>
      </c>
      <c r="L101" s="33">
        <f t="shared" si="4"/>
        <v>0</v>
      </c>
      <c r="M101" s="81">
        <f t="shared" si="5"/>
        <v>0</v>
      </c>
      <c r="N101" s="35"/>
    </row>
    <row r="102" spans="1:14" x14ac:dyDescent="0.25">
      <c r="A102" s="75" t="s">
        <v>642</v>
      </c>
      <c r="B102" s="76" t="s">
        <v>643</v>
      </c>
      <c r="C102" s="31">
        <v>0</v>
      </c>
      <c r="D102" s="79">
        <v>0</v>
      </c>
      <c r="E102" s="33">
        <v>0</v>
      </c>
      <c r="F102" s="79">
        <v>0</v>
      </c>
      <c r="G102" s="34"/>
      <c r="H102" s="33">
        <v>0</v>
      </c>
      <c r="I102" s="79">
        <v>0</v>
      </c>
      <c r="J102" s="33">
        <v>0</v>
      </c>
      <c r="K102" s="79">
        <v>0</v>
      </c>
      <c r="L102" s="33">
        <f t="shared" si="4"/>
        <v>0</v>
      </c>
      <c r="M102" s="81">
        <f t="shared" si="5"/>
        <v>0</v>
      </c>
      <c r="N102" s="35"/>
    </row>
    <row r="103" spans="1:14" x14ac:dyDescent="0.25">
      <c r="A103" s="75" t="s">
        <v>765</v>
      </c>
      <c r="B103" s="76" t="s">
        <v>766</v>
      </c>
      <c r="C103" s="31">
        <v>0</v>
      </c>
      <c r="D103" s="79">
        <v>0</v>
      </c>
      <c r="E103" s="33">
        <v>0</v>
      </c>
      <c r="F103" s="79">
        <v>0</v>
      </c>
      <c r="G103" s="34"/>
      <c r="H103" s="33">
        <v>0</v>
      </c>
      <c r="I103" s="79">
        <v>0</v>
      </c>
      <c r="J103" s="33">
        <v>0</v>
      </c>
      <c r="K103" s="79">
        <v>0</v>
      </c>
      <c r="L103" s="33">
        <f t="shared" si="4"/>
        <v>0</v>
      </c>
      <c r="M103" s="81">
        <f t="shared" si="5"/>
        <v>0</v>
      </c>
      <c r="N103" s="35"/>
    </row>
    <row r="104" spans="1:14" x14ac:dyDescent="0.25">
      <c r="A104" s="75" t="s">
        <v>528</v>
      </c>
      <c r="B104" s="76" t="s">
        <v>527</v>
      </c>
      <c r="C104" s="31">
        <v>82</v>
      </c>
      <c r="D104" s="79">
        <v>3634.71</v>
      </c>
      <c r="E104" s="33">
        <v>43</v>
      </c>
      <c r="F104" s="79">
        <v>2070.6999999999994</v>
      </c>
      <c r="G104" s="34">
        <f t="shared" si="7"/>
        <v>0.36293623070033521</v>
      </c>
      <c r="H104" s="33">
        <v>125</v>
      </c>
      <c r="I104" s="79">
        <v>5705.41</v>
      </c>
      <c r="J104" s="33">
        <v>459</v>
      </c>
      <c r="K104" s="79">
        <v>18840.099999999999</v>
      </c>
      <c r="L104" s="33">
        <f t="shared" si="4"/>
        <v>-334</v>
      </c>
      <c r="M104" s="81">
        <f t="shared" si="5"/>
        <v>-13134.689999999999</v>
      </c>
      <c r="N104" s="35">
        <f t="shared" si="6"/>
        <v>-0.6971666817055111</v>
      </c>
    </row>
    <row r="105" spans="1:14" x14ac:dyDescent="0.25">
      <c r="A105" s="75" t="s">
        <v>77</v>
      </c>
      <c r="B105" s="76" t="s">
        <v>76</v>
      </c>
      <c r="C105" s="31">
        <v>427</v>
      </c>
      <c r="D105" s="79">
        <v>5212.2699999999995</v>
      </c>
      <c r="E105" s="33">
        <v>0</v>
      </c>
      <c r="F105" s="79">
        <v>0</v>
      </c>
      <c r="G105" s="34">
        <f t="shared" si="7"/>
        <v>0</v>
      </c>
      <c r="H105" s="33">
        <v>427</v>
      </c>
      <c r="I105" s="79">
        <v>5212.2699999999995</v>
      </c>
      <c r="J105" s="33">
        <v>99</v>
      </c>
      <c r="K105" s="79">
        <v>900.11</v>
      </c>
      <c r="L105" s="33">
        <f t="shared" si="4"/>
        <v>328</v>
      </c>
      <c r="M105" s="81">
        <f t="shared" si="5"/>
        <v>4312.16</v>
      </c>
      <c r="N105" s="35">
        <f t="shared" si="6"/>
        <v>4.7907033584784076</v>
      </c>
    </row>
    <row r="106" spans="1:14" x14ac:dyDescent="0.25">
      <c r="A106" s="75" t="s">
        <v>644</v>
      </c>
      <c r="B106" s="76" t="s">
        <v>645</v>
      </c>
      <c r="C106" s="31">
        <v>0</v>
      </c>
      <c r="D106" s="79">
        <v>0</v>
      </c>
      <c r="E106" s="33">
        <v>0</v>
      </c>
      <c r="F106" s="79">
        <v>0</v>
      </c>
      <c r="G106" s="34"/>
      <c r="H106" s="33">
        <v>0</v>
      </c>
      <c r="I106" s="79">
        <v>0</v>
      </c>
      <c r="J106" s="33">
        <v>32</v>
      </c>
      <c r="K106" s="79">
        <v>163.84</v>
      </c>
      <c r="L106" s="33">
        <f t="shared" si="4"/>
        <v>-32</v>
      </c>
      <c r="M106" s="81">
        <f t="shared" si="5"/>
        <v>-163.84</v>
      </c>
      <c r="N106" s="35">
        <f t="shared" si="6"/>
        <v>-1</v>
      </c>
    </row>
    <row r="107" spans="1:14" x14ac:dyDescent="0.25">
      <c r="A107" s="75" t="s">
        <v>79</v>
      </c>
      <c r="B107" s="76" t="s">
        <v>78</v>
      </c>
      <c r="C107" s="31">
        <v>137</v>
      </c>
      <c r="D107" s="79">
        <v>1965.1999999999998</v>
      </c>
      <c r="E107" s="33">
        <v>0</v>
      </c>
      <c r="F107" s="79">
        <v>0</v>
      </c>
      <c r="G107" s="34">
        <f t="shared" si="7"/>
        <v>0</v>
      </c>
      <c r="H107" s="33">
        <v>137</v>
      </c>
      <c r="I107" s="79">
        <v>1965.1999999999998</v>
      </c>
      <c r="J107" s="33">
        <v>508</v>
      </c>
      <c r="K107" s="79">
        <v>7145.68</v>
      </c>
      <c r="L107" s="33">
        <f t="shared" si="4"/>
        <v>-371</v>
      </c>
      <c r="M107" s="81">
        <f t="shared" si="5"/>
        <v>-5180.4800000000005</v>
      </c>
      <c r="N107" s="35">
        <f t="shared" si="6"/>
        <v>-0.72498068763224777</v>
      </c>
    </row>
    <row r="108" spans="1:14" x14ac:dyDescent="0.25">
      <c r="A108" s="75" t="s">
        <v>81</v>
      </c>
      <c r="B108" s="76" t="s">
        <v>80</v>
      </c>
      <c r="C108" s="31">
        <v>17</v>
      </c>
      <c r="D108" s="79">
        <v>755.88</v>
      </c>
      <c r="E108" s="33">
        <v>0</v>
      </c>
      <c r="F108" s="79">
        <v>0</v>
      </c>
      <c r="G108" s="34">
        <f t="shared" si="7"/>
        <v>0</v>
      </c>
      <c r="H108" s="33">
        <v>17</v>
      </c>
      <c r="I108" s="79">
        <v>755.88</v>
      </c>
      <c r="J108" s="33">
        <v>1002</v>
      </c>
      <c r="K108" s="79">
        <v>32861.340000000004</v>
      </c>
      <c r="L108" s="33">
        <f t="shared" si="4"/>
        <v>-985</v>
      </c>
      <c r="M108" s="81">
        <f t="shared" si="5"/>
        <v>-32105.460000000003</v>
      </c>
      <c r="N108" s="35">
        <f t="shared" si="6"/>
        <v>-0.97699789479065668</v>
      </c>
    </row>
    <row r="109" spans="1:14" x14ac:dyDescent="0.25">
      <c r="A109" s="75" t="s">
        <v>646</v>
      </c>
      <c r="B109" s="76" t="s">
        <v>647</v>
      </c>
      <c r="C109" s="31">
        <v>0</v>
      </c>
      <c r="D109" s="79">
        <v>0</v>
      </c>
      <c r="E109" s="33">
        <v>0</v>
      </c>
      <c r="F109" s="79">
        <v>0</v>
      </c>
      <c r="G109" s="34"/>
      <c r="H109" s="33">
        <v>0</v>
      </c>
      <c r="I109" s="79">
        <v>0</v>
      </c>
      <c r="J109" s="33">
        <v>-1</v>
      </c>
      <c r="K109" s="79">
        <v>-64.61</v>
      </c>
      <c r="L109" s="33">
        <f t="shared" si="4"/>
        <v>1</v>
      </c>
      <c r="M109" s="81">
        <f t="shared" si="5"/>
        <v>64.61</v>
      </c>
      <c r="N109" s="35">
        <f t="shared" si="6"/>
        <v>1</v>
      </c>
    </row>
    <row r="110" spans="1:14" x14ac:dyDescent="0.25">
      <c r="A110" s="75" t="s">
        <v>83</v>
      </c>
      <c r="B110" s="76" t="s">
        <v>82</v>
      </c>
      <c r="C110" s="31">
        <v>0</v>
      </c>
      <c r="D110" s="79">
        <v>0</v>
      </c>
      <c r="E110" s="33">
        <v>0</v>
      </c>
      <c r="F110" s="79">
        <v>0</v>
      </c>
      <c r="G110" s="34"/>
      <c r="H110" s="33">
        <v>0</v>
      </c>
      <c r="I110" s="79">
        <v>0</v>
      </c>
      <c r="J110" s="33">
        <v>0</v>
      </c>
      <c r="K110" s="79">
        <v>0</v>
      </c>
      <c r="L110" s="33">
        <f t="shared" si="4"/>
        <v>0</v>
      </c>
      <c r="M110" s="81">
        <f t="shared" si="5"/>
        <v>0</v>
      </c>
      <c r="N110" s="35"/>
    </row>
    <row r="111" spans="1:14" x14ac:dyDescent="0.25">
      <c r="A111" s="75" t="s">
        <v>85</v>
      </c>
      <c r="B111" s="76" t="s">
        <v>84</v>
      </c>
      <c r="C111" s="31">
        <v>14</v>
      </c>
      <c r="D111" s="79">
        <v>687.40000000000009</v>
      </c>
      <c r="E111" s="33">
        <v>0</v>
      </c>
      <c r="F111" s="79">
        <v>0</v>
      </c>
      <c r="G111" s="34">
        <f t="shared" si="7"/>
        <v>0</v>
      </c>
      <c r="H111" s="33">
        <v>14</v>
      </c>
      <c r="I111" s="79">
        <v>687.40000000000009</v>
      </c>
      <c r="J111" s="33">
        <v>79</v>
      </c>
      <c r="K111" s="79">
        <v>3867.8</v>
      </c>
      <c r="L111" s="33">
        <f t="shared" si="4"/>
        <v>-65</v>
      </c>
      <c r="M111" s="81">
        <f t="shared" si="5"/>
        <v>-3180.4</v>
      </c>
      <c r="N111" s="35">
        <f t="shared" si="6"/>
        <v>-0.8222762293810435</v>
      </c>
    </row>
    <row r="112" spans="1:14" x14ac:dyDescent="0.25">
      <c r="A112" s="75" t="s">
        <v>494</v>
      </c>
      <c r="B112" s="76" t="s">
        <v>493</v>
      </c>
      <c r="C112" s="31">
        <v>2</v>
      </c>
      <c r="D112" s="79">
        <v>66.28</v>
      </c>
      <c r="E112" s="33">
        <v>21</v>
      </c>
      <c r="F112" s="79">
        <v>896.0999999999998</v>
      </c>
      <c r="G112" s="34">
        <f t="shared" si="7"/>
        <v>0.93112907583283111</v>
      </c>
      <c r="H112" s="33">
        <v>23</v>
      </c>
      <c r="I112" s="79">
        <v>962.37999999999977</v>
      </c>
      <c r="J112" s="33">
        <v>47</v>
      </c>
      <c r="K112" s="79">
        <v>1151.9699999999998</v>
      </c>
      <c r="L112" s="33">
        <f t="shared" si="4"/>
        <v>-24</v>
      </c>
      <c r="M112" s="81">
        <f t="shared" si="5"/>
        <v>-189.59000000000003</v>
      </c>
      <c r="N112" s="35">
        <f t="shared" si="6"/>
        <v>-0.16457893868763948</v>
      </c>
    </row>
    <row r="113" spans="1:14" x14ac:dyDescent="0.25">
      <c r="A113" s="75" t="s">
        <v>87</v>
      </c>
      <c r="B113" s="76" t="s">
        <v>86</v>
      </c>
      <c r="C113" s="31">
        <v>91</v>
      </c>
      <c r="D113" s="79">
        <v>1105.67</v>
      </c>
      <c r="E113" s="33">
        <v>1</v>
      </c>
      <c r="F113" s="79">
        <v>19.899999999999999</v>
      </c>
      <c r="G113" s="34">
        <f t="shared" si="7"/>
        <v>1.7679931057153261E-2</v>
      </c>
      <c r="H113" s="33">
        <v>92</v>
      </c>
      <c r="I113" s="79">
        <v>1125.5700000000002</v>
      </c>
      <c r="J113" s="33">
        <v>40</v>
      </c>
      <c r="K113" s="79">
        <v>444.94</v>
      </c>
      <c r="L113" s="33">
        <f t="shared" si="4"/>
        <v>52</v>
      </c>
      <c r="M113" s="81">
        <f t="shared" si="5"/>
        <v>680.63000000000011</v>
      </c>
      <c r="N113" s="35">
        <f t="shared" si="6"/>
        <v>1.5297118712635414</v>
      </c>
    </row>
    <row r="114" spans="1:14" x14ac:dyDescent="0.25">
      <c r="A114" s="75" t="s">
        <v>89</v>
      </c>
      <c r="B114" s="76" t="s">
        <v>88</v>
      </c>
      <c r="C114" s="31">
        <v>0</v>
      </c>
      <c r="D114" s="79">
        <v>0</v>
      </c>
      <c r="E114" s="33">
        <v>0</v>
      </c>
      <c r="F114" s="79">
        <v>0</v>
      </c>
      <c r="G114" s="34"/>
      <c r="H114" s="33">
        <v>0</v>
      </c>
      <c r="I114" s="79">
        <v>0</v>
      </c>
      <c r="J114" s="33">
        <v>0</v>
      </c>
      <c r="K114" s="79">
        <v>0</v>
      </c>
      <c r="L114" s="33">
        <f t="shared" si="4"/>
        <v>0</v>
      </c>
      <c r="M114" s="81">
        <f t="shared" si="5"/>
        <v>0</v>
      </c>
      <c r="N114" s="35"/>
    </row>
    <row r="115" spans="1:14" x14ac:dyDescent="0.25">
      <c r="A115" s="75" t="s">
        <v>648</v>
      </c>
      <c r="B115" s="76" t="s">
        <v>649</v>
      </c>
      <c r="C115" s="31">
        <v>0</v>
      </c>
      <c r="D115" s="79">
        <v>0</v>
      </c>
      <c r="E115" s="33">
        <v>0</v>
      </c>
      <c r="F115" s="79">
        <v>0</v>
      </c>
      <c r="G115" s="34"/>
      <c r="H115" s="33">
        <v>0</v>
      </c>
      <c r="I115" s="79">
        <v>0</v>
      </c>
      <c r="J115" s="33">
        <v>-4</v>
      </c>
      <c r="K115" s="79">
        <v>-32.44</v>
      </c>
      <c r="L115" s="33">
        <f t="shared" si="4"/>
        <v>4</v>
      </c>
      <c r="M115" s="81">
        <f t="shared" si="5"/>
        <v>32.44</v>
      </c>
      <c r="N115" s="35">
        <f t="shared" si="6"/>
        <v>1</v>
      </c>
    </row>
    <row r="116" spans="1:14" x14ac:dyDescent="0.25">
      <c r="A116" s="75" t="s">
        <v>650</v>
      </c>
      <c r="B116" s="76" t="s">
        <v>651</v>
      </c>
      <c r="C116" s="31">
        <v>0</v>
      </c>
      <c r="D116" s="79">
        <v>0</v>
      </c>
      <c r="E116" s="33">
        <v>0</v>
      </c>
      <c r="F116" s="79">
        <v>0</v>
      </c>
      <c r="G116" s="34"/>
      <c r="H116" s="33">
        <v>0</v>
      </c>
      <c r="I116" s="79">
        <v>0</v>
      </c>
      <c r="J116" s="33">
        <v>0</v>
      </c>
      <c r="K116" s="79">
        <v>0</v>
      </c>
      <c r="L116" s="33">
        <f t="shared" si="4"/>
        <v>0</v>
      </c>
      <c r="M116" s="81">
        <f t="shared" si="5"/>
        <v>0</v>
      </c>
      <c r="N116" s="35"/>
    </row>
    <row r="117" spans="1:14" x14ac:dyDescent="0.25">
      <c r="A117" s="75" t="s">
        <v>91</v>
      </c>
      <c r="B117" s="76" t="s">
        <v>90</v>
      </c>
      <c r="C117" s="31">
        <v>0</v>
      </c>
      <c r="D117" s="79">
        <v>0</v>
      </c>
      <c r="E117" s="33">
        <v>0</v>
      </c>
      <c r="F117" s="79">
        <v>0</v>
      </c>
      <c r="G117" s="34"/>
      <c r="H117" s="33">
        <v>0</v>
      </c>
      <c r="I117" s="79">
        <v>0</v>
      </c>
      <c r="J117" s="33">
        <v>0</v>
      </c>
      <c r="K117" s="79">
        <v>0</v>
      </c>
      <c r="L117" s="33">
        <f t="shared" si="4"/>
        <v>0</v>
      </c>
      <c r="M117" s="81">
        <f t="shared" si="5"/>
        <v>0</v>
      </c>
      <c r="N117" s="35"/>
    </row>
    <row r="118" spans="1:14" x14ac:dyDescent="0.25">
      <c r="A118" s="75" t="s">
        <v>93</v>
      </c>
      <c r="B118" s="76" t="s">
        <v>92</v>
      </c>
      <c r="C118" s="31">
        <v>10</v>
      </c>
      <c r="D118" s="79">
        <v>36.590000000000003</v>
      </c>
      <c r="E118" s="33">
        <v>0</v>
      </c>
      <c r="F118" s="79">
        <v>0</v>
      </c>
      <c r="G118" s="34">
        <f t="shared" si="7"/>
        <v>0</v>
      </c>
      <c r="H118" s="33">
        <v>10</v>
      </c>
      <c r="I118" s="79">
        <v>36.590000000000003</v>
      </c>
      <c r="J118" s="33">
        <v>1</v>
      </c>
      <c r="K118" s="79">
        <v>4.3</v>
      </c>
      <c r="L118" s="33">
        <f t="shared" si="4"/>
        <v>9</v>
      </c>
      <c r="M118" s="81">
        <f t="shared" si="5"/>
        <v>32.290000000000006</v>
      </c>
      <c r="N118" s="35">
        <f t="shared" si="6"/>
        <v>7.5093023255813973</v>
      </c>
    </row>
    <row r="119" spans="1:14" x14ac:dyDescent="0.25">
      <c r="A119" s="75" t="s">
        <v>95</v>
      </c>
      <c r="B119" s="76" t="s">
        <v>94</v>
      </c>
      <c r="C119" s="31">
        <v>0</v>
      </c>
      <c r="D119" s="79">
        <v>0</v>
      </c>
      <c r="E119" s="33">
        <v>0</v>
      </c>
      <c r="F119" s="79">
        <v>0</v>
      </c>
      <c r="G119" s="34"/>
      <c r="H119" s="33">
        <v>0</v>
      </c>
      <c r="I119" s="79">
        <v>0</v>
      </c>
      <c r="J119" s="33">
        <v>0</v>
      </c>
      <c r="K119" s="79">
        <v>0</v>
      </c>
      <c r="L119" s="33">
        <f t="shared" si="4"/>
        <v>0</v>
      </c>
      <c r="M119" s="81">
        <f t="shared" si="5"/>
        <v>0</v>
      </c>
      <c r="N119" s="35"/>
    </row>
    <row r="120" spans="1:14" x14ac:dyDescent="0.25">
      <c r="A120" s="75" t="s">
        <v>97</v>
      </c>
      <c r="B120" s="76" t="s">
        <v>96</v>
      </c>
      <c r="C120" s="31">
        <v>0</v>
      </c>
      <c r="D120" s="79">
        <v>0</v>
      </c>
      <c r="E120" s="33">
        <v>0</v>
      </c>
      <c r="F120" s="79">
        <v>0</v>
      </c>
      <c r="G120" s="34"/>
      <c r="H120" s="33">
        <v>0</v>
      </c>
      <c r="I120" s="79">
        <v>0</v>
      </c>
      <c r="J120" s="33">
        <v>0</v>
      </c>
      <c r="K120" s="79">
        <v>0</v>
      </c>
      <c r="L120" s="33">
        <f t="shared" si="4"/>
        <v>0</v>
      </c>
      <c r="M120" s="81">
        <f t="shared" si="5"/>
        <v>0</v>
      </c>
      <c r="N120" s="35"/>
    </row>
    <row r="121" spans="1:14" x14ac:dyDescent="0.25">
      <c r="A121" s="75" t="s">
        <v>99</v>
      </c>
      <c r="B121" s="76" t="s">
        <v>98</v>
      </c>
      <c r="C121" s="31">
        <v>0</v>
      </c>
      <c r="D121" s="79">
        <v>0</v>
      </c>
      <c r="E121" s="33">
        <v>0</v>
      </c>
      <c r="F121" s="79">
        <v>0</v>
      </c>
      <c r="G121" s="34"/>
      <c r="H121" s="33">
        <v>0</v>
      </c>
      <c r="I121" s="79">
        <v>0</v>
      </c>
      <c r="J121" s="33">
        <v>0</v>
      </c>
      <c r="K121" s="79">
        <v>0</v>
      </c>
      <c r="L121" s="33">
        <f t="shared" si="4"/>
        <v>0</v>
      </c>
      <c r="M121" s="81">
        <f t="shared" si="5"/>
        <v>0</v>
      </c>
      <c r="N121" s="35"/>
    </row>
    <row r="122" spans="1:14" x14ac:dyDescent="0.25">
      <c r="A122" s="75" t="s">
        <v>101</v>
      </c>
      <c r="B122" s="76" t="s">
        <v>100</v>
      </c>
      <c r="C122" s="31">
        <v>0</v>
      </c>
      <c r="D122" s="79">
        <v>0</v>
      </c>
      <c r="E122" s="33">
        <v>0</v>
      </c>
      <c r="F122" s="79">
        <v>0</v>
      </c>
      <c r="G122" s="34"/>
      <c r="H122" s="33">
        <v>0</v>
      </c>
      <c r="I122" s="79">
        <v>0</v>
      </c>
      <c r="J122" s="33">
        <v>20</v>
      </c>
      <c r="K122" s="79">
        <v>108.28</v>
      </c>
      <c r="L122" s="33">
        <f t="shared" si="4"/>
        <v>-20</v>
      </c>
      <c r="M122" s="81">
        <f t="shared" si="5"/>
        <v>-108.28</v>
      </c>
      <c r="N122" s="35">
        <f t="shared" si="6"/>
        <v>-1</v>
      </c>
    </row>
    <row r="123" spans="1:14" x14ac:dyDescent="0.25">
      <c r="A123" s="75" t="s">
        <v>767</v>
      </c>
      <c r="B123" s="76" t="s">
        <v>768</v>
      </c>
      <c r="C123" s="31">
        <v>0</v>
      </c>
      <c r="D123" s="79">
        <v>0</v>
      </c>
      <c r="E123" s="33">
        <v>0</v>
      </c>
      <c r="F123" s="79">
        <v>0</v>
      </c>
      <c r="G123" s="34"/>
      <c r="H123" s="33">
        <v>0</v>
      </c>
      <c r="I123" s="79">
        <v>0</v>
      </c>
      <c r="J123" s="33">
        <v>2</v>
      </c>
      <c r="K123" s="79">
        <v>49.02</v>
      </c>
      <c r="L123" s="33">
        <f t="shared" si="4"/>
        <v>-2</v>
      </c>
      <c r="M123" s="81">
        <f t="shared" si="5"/>
        <v>-49.02</v>
      </c>
      <c r="N123" s="35">
        <f t="shared" si="6"/>
        <v>-1</v>
      </c>
    </row>
    <row r="124" spans="1:14" x14ac:dyDescent="0.25">
      <c r="A124" s="75" t="s">
        <v>103</v>
      </c>
      <c r="B124" s="76" t="s">
        <v>102</v>
      </c>
      <c r="C124" s="31">
        <v>20</v>
      </c>
      <c r="D124" s="79">
        <v>507.84</v>
      </c>
      <c r="E124" s="33">
        <v>40</v>
      </c>
      <c r="F124" s="79">
        <v>1210.6899999999998</v>
      </c>
      <c r="G124" s="34">
        <f t="shared" si="7"/>
        <v>0.70449162947402721</v>
      </c>
      <c r="H124" s="33">
        <v>60</v>
      </c>
      <c r="I124" s="79">
        <v>1718.5299999999997</v>
      </c>
      <c r="J124" s="33">
        <v>231</v>
      </c>
      <c r="K124" s="79">
        <v>5343.8099999999995</v>
      </c>
      <c r="L124" s="33">
        <f t="shared" si="4"/>
        <v>-171</v>
      </c>
      <c r="M124" s="81">
        <f t="shared" si="5"/>
        <v>-3625.2799999999997</v>
      </c>
      <c r="N124" s="35">
        <f t="shared" si="6"/>
        <v>-0.6784073535548607</v>
      </c>
    </row>
    <row r="125" spans="1:14" x14ac:dyDescent="0.25">
      <c r="A125" s="75" t="s">
        <v>652</v>
      </c>
      <c r="B125" s="76" t="s">
        <v>653</v>
      </c>
      <c r="C125" s="31">
        <v>0</v>
      </c>
      <c r="D125" s="79">
        <v>0</v>
      </c>
      <c r="E125" s="33">
        <v>0</v>
      </c>
      <c r="F125" s="79">
        <v>0</v>
      </c>
      <c r="G125" s="34"/>
      <c r="H125" s="33">
        <v>0</v>
      </c>
      <c r="I125" s="79">
        <v>0</v>
      </c>
      <c r="J125" s="33">
        <v>1</v>
      </c>
      <c r="K125" s="79">
        <v>20.41</v>
      </c>
      <c r="L125" s="33">
        <f t="shared" si="4"/>
        <v>-1</v>
      </c>
      <c r="M125" s="81">
        <f t="shared" si="5"/>
        <v>-20.41</v>
      </c>
      <c r="N125" s="35">
        <f t="shared" si="6"/>
        <v>-1</v>
      </c>
    </row>
    <row r="126" spans="1:14" x14ac:dyDescent="0.25">
      <c r="A126" s="75" t="s">
        <v>654</v>
      </c>
      <c r="B126" s="76" t="s">
        <v>655</v>
      </c>
      <c r="C126" s="31">
        <v>0</v>
      </c>
      <c r="D126" s="79">
        <v>0</v>
      </c>
      <c r="E126" s="33">
        <v>0</v>
      </c>
      <c r="F126" s="79">
        <v>0</v>
      </c>
      <c r="G126" s="34"/>
      <c r="H126" s="33">
        <v>0</v>
      </c>
      <c r="I126" s="79">
        <v>0</v>
      </c>
      <c r="J126" s="33">
        <v>0</v>
      </c>
      <c r="K126" s="79">
        <v>0</v>
      </c>
      <c r="L126" s="33">
        <f t="shared" si="4"/>
        <v>0</v>
      </c>
      <c r="M126" s="81">
        <f t="shared" si="5"/>
        <v>0</v>
      </c>
      <c r="N126" s="35"/>
    </row>
    <row r="127" spans="1:14" x14ac:dyDescent="0.25">
      <c r="A127" s="75" t="s">
        <v>510</v>
      </c>
      <c r="B127" s="76" t="s">
        <v>509</v>
      </c>
      <c r="C127" s="31">
        <v>7</v>
      </c>
      <c r="D127" s="79">
        <v>112.77000000000001</v>
      </c>
      <c r="E127" s="33">
        <v>0</v>
      </c>
      <c r="F127" s="79">
        <v>0</v>
      </c>
      <c r="G127" s="34">
        <f t="shared" si="7"/>
        <v>0</v>
      </c>
      <c r="H127" s="33">
        <v>7</v>
      </c>
      <c r="I127" s="79">
        <v>112.77000000000001</v>
      </c>
      <c r="J127" s="33">
        <v>143</v>
      </c>
      <c r="K127" s="79">
        <v>1811.0600000000002</v>
      </c>
      <c r="L127" s="33">
        <f t="shared" si="4"/>
        <v>-136</v>
      </c>
      <c r="M127" s="81">
        <f t="shared" si="5"/>
        <v>-1698.2900000000002</v>
      </c>
      <c r="N127" s="35">
        <f t="shared" si="6"/>
        <v>-0.93773259858867186</v>
      </c>
    </row>
    <row r="128" spans="1:14" x14ac:dyDescent="0.25">
      <c r="A128" s="75" t="s">
        <v>769</v>
      </c>
      <c r="B128" s="76" t="s">
        <v>770</v>
      </c>
      <c r="C128" s="31">
        <v>0</v>
      </c>
      <c r="D128" s="79">
        <v>0</v>
      </c>
      <c r="E128" s="33">
        <v>0</v>
      </c>
      <c r="F128" s="79">
        <v>0</v>
      </c>
      <c r="G128" s="34"/>
      <c r="H128" s="33">
        <v>0</v>
      </c>
      <c r="I128" s="79">
        <v>0</v>
      </c>
      <c r="J128" s="33">
        <v>0</v>
      </c>
      <c r="K128" s="79">
        <v>0</v>
      </c>
      <c r="L128" s="33">
        <f t="shared" si="4"/>
        <v>0</v>
      </c>
      <c r="M128" s="81">
        <f t="shared" si="5"/>
        <v>0</v>
      </c>
      <c r="N128" s="35"/>
    </row>
    <row r="129" spans="1:14" x14ac:dyDescent="0.25">
      <c r="A129" s="75" t="s">
        <v>656</v>
      </c>
      <c r="B129" s="76" t="s">
        <v>657</v>
      </c>
      <c r="C129" s="31">
        <v>0</v>
      </c>
      <c r="D129" s="79">
        <v>0</v>
      </c>
      <c r="E129" s="33">
        <v>0</v>
      </c>
      <c r="F129" s="79">
        <v>0</v>
      </c>
      <c r="G129" s="34"/>
      <c r="H129" s="33">
        <v>0</v>
      </c>
      <c r="I129" s="79">
        <v>0</v>
      </c>
      <c r="J129" s="33">
        <v>0</v>
      </c>
      <c r="K129" s="79">
        <v>0</v>
      </c>
      <c r="L129" s="33">
        <f t="shared" si="4"/>
        <v>0</v>
      </c>
      <c r="M129" s="81">
        <f t="shared" si="5"/>
        <v>0</v>
      </c>
      <c r="N129" s="35"/>
    </row>
    <row r="130" spans="1:14" x14ac:dyDescent="0.25">
      <c r="A130" s="75" t="s">
        <v>479</v>
      </c>
      <c r="B130" s="76" t="s">
        <v>478</v>
      </c>
      <c r="C130" s="31">
        <v>71</v>
      </c>
      <c r="D130" s="79">
        <v>1545.67</v>
      </c>
      <c r="E130" s="33">
        <v>0</v>
      </c>
      <c r="F130" s="79">
        <v>0</v>
      </c>
      <c r="G130" s="34">
        <f t="shared" si="7"/>
        <v>0</v>
      </c>
      <c r="H130" s="33">
        <v>71</v>
      </c>
      <c r="I130" s="79">
        <v>1545.67</v>
      </c>
      <c r="J130" s="33">
        <v>274</v>
      </c>
      <c r="K130" s="79">
        <v>5533</v>
      </c>
      <c r="L130" s="33">
        <f t="shared" si="4"/>
        <v>-203</v>
      </c>
      <c r="M130" s="81">
        <f t="shared" si="5"/>
        <v>-3987.33</v>
      </c>
      <c r="N130" s="35">
        <f t="shared" si="6"/>
        <v>-0.7206452195915416</v>
      </c>
    </row>
    <row r="131" spans="1:14" x14ac:dyDescent="0.25">
      <c r="A131" s="75" t="s">
        <v>105</v>
      </c>
      <c r="B131" s="76" t="s">
        <v>104</v>
      </c>
      <c r="C131" s="31">
        <v>0</v>
      </c>
      <c r="D131" s="79">
        <v>0</v>
      </c>
      <c r="E131" s="33">
        <v>0</v>
      </c>
      <c r="F131" s="79">
        <v>0</v>
      </c>
      <c r="G131" s="34"/>
      <c r="H131" s="33">
        <v>0</v>
      </c>
      <c r="I131" s="79">
        <v>0</v>
      </c>
      <c r="J131" s="33">
        <v>0</v>
      </c>
      <c r="K131" s="79">
        <v>0</v>
      </c>
      <c r="L131" s="33">
        <f t="shared" ref="L131:L194" si="8">H131-J131</f>
        <v>0</v>
      </c>
      <c r="M131" s="81">
        <f t="shared" ref="M131:M194" si="9">I131-K131</f>
        <v>0</v>
      </c>
      <c r="N131" s="35"/>
    </row>
    <row r="132" spans="1:14" x14ac:dyDescent="0.25">
      <c r="A132" s="75" t="s">
        <v>480</v>
      </c>
      <c r="B132" s="76" t="s">
        <v>478</v>
      </c>
      <c r="C132" s="31">
        <v>-11</v>
      </c>
      <c r="D132" s="79">
        <v>-129.62</v>
      </c>
      <c r="E132" s="33">
        <v>479</v>
      </c>
      <c r="F132" s="79">
        <v>7129.0300000000234</v>
      </c>
      <c r="G132" s="34">
        <f t="shared" si="7"/>
        <v>1.0185187037193133</v>
      </c>
      <c r="H132" s="33">
        <v>468</v>
      </c>
      <c r="I132" s="79">
        <v>6999.4100000000235</v>
      </c>
      <c r="J132" s="33">
        <v>343</v>
      </c>
      <c r="K132" s="79">
        <v>3573.3</v>
      </c>
      <c r="L132" s="33">
        <f t="shared" si="8"/>
        <v>125</v>
      </c>
      <c r="M132" s="81">
        <f t="shared" si="9"/>
        <v>3426.1100000000233</v>
      </c>
      <c r="N132" s="35">
        <f t="shared" ref="N132:N194" si="10">M132/ABS(K132)</f>
        <v>0.95880838440657745</v>
      </c>
    </row>
    <row r="133" spans="1:14" x14ac:dyDescent="0.25">
      <c r="A133" s="75" t="s">
        <v>658</v>
      </c>
      <c r="B133" s="76" t="s">
        <v>659</v>
      </c>
      <c r="C133" s="31">
        <v>0</v>
      </c>
      <c r="D133" s="79">
        <v>0</v>
      </c>
      <c r="E133" s="33">
        <v>0</v>
      </c>
      <c r="F133" s="79">
        <v>0</v>
      </c>
      <c r="G133" s="34"/>
      <c r="H133" s="33">
        <v>0</v>
      </c>
      <c r="I133" s="79">
        <v>0</v>
      </c>
      <c r="J133" s="33">
        <v>0</v>
      </c>
      <c r="K133" s="79">
        <v>0</v>
      </c>
      <c r="L133" s="33">
        <f t="shared" si="8"/>
        <v>0</v>
      </c>
      <c r="M133" s="81">
        <f t="shared" si="9"/>
        <v>0</v>
      </c>
      <c r="N133" s="35"/>
    </row>
    <row r="134" spans="1:14" x14ac:dyDescent="0.25">
      <c r="A134" s="75" t="s">
        <v>107</v>
      </c>
      <c r="B134" s="76" t="s">
        <v>106</v>
      </c>
      <c r="C134" s="31">
        <v>6</v>
      </c>
      <c r="D134" s="79">
        <v>107.11</v>
      </c>
      <c r="E134" s="33">
        <v>0</v>
      </c>
      <c r="F134" s="79">
        <v>0</v>
      </c>
      <c r="G134" s="34">
        <f t="shared" si="7"/>
        <v>0</v>
      </c>
      <c r="H134" s="33">
        <v>6</v>
      </c>
      <c r="I134" s="79">
        <v>107.11</v>
      </c>
      <c r="J134" s="33">
        <v>3</v>
      </c>
      <c r="K134" s="79">
        <v>71.39</v>
      </c>
      <c r="L134" s="33">
        <f t="shared" si="8"/>
        <v>3</v>
      </c>
      <c r="M134" s="81">
        <f t="shared" si="9"/>
        <v>35.72</v>
      </c>
      <c r="N134" s="35">
        <f t="shared" si="10"/>
        <v>0.50035018910211515</v>
      </c>
    </row>
    <row r="135" spans="1:14" x14ac:dyDescent="0.25">
      <c r="A135" s="75" t="s">
        <v>109</v>
      </c>
      <c r="B135" s="76" t="s">
        <v>108</v>
      </c>
      <c r="C135" s="31">
        <v>0</v>
      </c>
      <c r="D135" s="79">
        <v>0</v>
      </c>
      <c r="E135" s="33">
        <v>0</v>
      </c>
      <c r="F135" s="79">
        <v>0</v>
      </c>
      <c r="G135" s="34"/>
      <c r="H135" s="33">
        <v>0</v>
      </c>
      <c r="I135" s="79">
        <v>0</v>
      </c>
      <c r="J135" s="33">
        <v>0</v>
      </c>
      <c r="K135" s="79">
        <v>0</v>
      </c>
      <c r="L135" s="33">
        <f t="shared" si="8"/>
        <v>0</v>
      </c>
      <c r="M135" s="81">
        <f t="shared" si="9"/>
        <v>0</v>
      </c>
      <c r="N135" s="35"/>
    </row>
    <row r="136" spans="1:14" x14ac:dyDescent="0.25">
      <c r="A136" s="75" t="s">
        <v>111</v>
      </c>
      <c r="B136" s="76" t="s">
        <v>110</v>
      </c>
      <c r="C136" s="31">
        <v>241</v>
      </c>
      <c r="D136" s="79">
        <v>3103.55</v>
      </c>
      <c r="E136" s="33">
        <v>0</v>
      </c>
      <c r="F136" s="79">
        <v>0</v>
      </c>
      <c r="G136" s="34">
        <f t="shared" si="7"/>
        <v>0</v>
      </c>
      <c r="H136" s="33">
        <v>241</v>
      </c>
      <c r="I136" s="79">
        <v>3103.55</v>
      </c>
      <c r="J136" s="33">
        <v>630</v>
      </c>
      <c r="K136" s="79">
        <v>7692.2999999999993</v>
      </c>
      <c r="L136" s="33">
        <f t="shared" si="8"/>
        <v>-389</v>
      </c>
      <c r="M136" s="81">
        <f t="shared" si="9"/>
        <v>-4588.7499999999991</v>
      </c>
      <c r="N136" s="35">
        <f t="shared" si="10"/>
        <v>-0.59653809653809653</v>
      </c>
    </row>
    <row r="137" spans="1:14" x14ac:dyDescent="0.25">
      <c r="A137" s="75" t="s">
        <v>477</v>
      </c>
      <c r="B137" s="76" t="s">
        <v>476</v>
      </c>
      <c r="C137" s="31">
        <v>0</v>
      </c>
      <c r="D137" s="79">
        <v>0</v>
      </c>
      <c r="E137" s="33">
        <v>1308</v>
      </c>
      <c r="F137" s="79">
        <v>38685.629999999765</v>
      </c>
      <c r="G137" s="34">
        <f t="shared" si="7"/>
        <v>1</v>
      </c>
      <c r="H137" s="33">
        <v>1308</v>
      </c>
      <c r="I137" s="79">
        <v>38685.629999999765</v>
      </c>
      <c r="J137" s="33">
        <v>0</v>
      </c>
      <c r="K137" s="79">
        <v>0</v>
      </c>
      <c r="L137" s="33">
        <f t="shared" si="8"/>
        <v>1308</v>
      </c>
      <c r="M137" s="81">
        <f t="shared" si="9"/>
        <v>38685.629999999765</v>
      </c>
      <c r="N137" s="35"/>
    </row>
    <row r="138" spans="1:14" x14ac:dyDescent="0.25">
      <c r="A138" s="75" t="s">
        <v>660</v>
      </c>
      <c r="B138" s="76" t="s">
        <v>661</v>
      </c>
      <c r="C138" s="31">
        <v>0</v>
      </c>
      <c r="D138" s="79">
        <v>0</v>
      </c>
      <c r="E138" s="33">
        <v>0</v>
      </c>
      <c r="F138" s="79">
        <v>0</v>
      </c>
      <c r="G138" s="34"/>
      <c r="H138" s="33">
        <v>0</v>
      </c>
      <c r="I138" s="79">
        <v>0</v>
      </c>
      <c r="J138" s="33">
        <v>-1</v>
      </c>
      <c r="K138" s="79">
        <v>-65.489999999999995</v>
      </c>
      <c r="L138" s="33">
        <f t="shared" si="8"/>
        <v>1</v>
      </c>
      <c r="M138" s="81">
        <f t="shared" si="9"/>
        <v>65.489999999999995</v>
      </c>
      <c r="N138" s="35">
        <f t="shared" si="10"/>
        <v>1</v>
      </c>
    </row>
    <row r="139" spans="1:14" x14ac:dyDescent="0.25">
      <c r="A139" s="75" t="s">
        <v>662</v>
      </c>
      <c r="B139" s="76" t="s">
        <v>663</v>
      </c>
      <c r="C139" s="31">
        <v>0</v>
      </c>
      <c r="D139" s="79">
        <v>0</v>
      </c>
      <c r="E139" s="33">
        <v>0</v>
      </c>
      <c r="F139" s="79">
        <v>0</v>
      </c>
      <c r="G139" s="34"/>
      <c r="H139" s="33">
        <v>0</v>
      </c>
      <c r="I139" s="79">
        <v>0</v>
      </c>
      <c r="J139" s="33">
        <v>5</v>
      </c>
      <c r="K139" s="79">
        <v>327.45</v>
      </c>
      <c r="L139" s="33">
        <f t="shared" si="8"/>
        <v>-5</v>
      </c>
      <c r="M139" s="81">
        <f t="shared" si="9"/>
        <v>-327.45</v>
      </c>
      <c r="N139" s="35">
        <f t="shared" si="10"/>
        <v>-1</v>
      </c>
    </row>
    <row r="140" spans="1:14" x14ac:dyDescent="0.25">
      <c r="A140" s="75" t="s">
        <v>664</v>
      </c>
      <c r="B140" s="76" t="s">
        <v>665</v>
      </c>
      <c r="C140" s="31">
        <v>0</v>
      </c>
      <c r="D140" s="79">
        <v>0</v>
      </c>
      <c r="E140" s="33">
        <v>0</v>
      </c>
      <c r="F140" s="79">
        <v>0</v>
      </c>
      <c r="G140" s="34"/>
      <c r="H140" s="33">
        <v>0</v>
      </c>
      <c r="I140" s="79">
        <v>0</v>
      </c>
      <c r="J140" s="33">
        <v>0</v>
      </c>
      <c r="K140" s="79">
        <v>0</v>
      </c>
      <c r="L140" s="33">
        <f t="shared" si="8"/>
        <v>0</v>
      </c>
      <c r="M140" s="81">
        <f t="shared" si="9"/>
        <v>0</v>
      </c>
      <c r="N140" s="35"/>
    </row>
    <row r="141" spans="1:14" x14ac:dyDescent="0.25">
      <c r="A141" s="75" t="s">
        <v>490</v>
      </c>
      <c r="B141" s="76" t="s">
        <v>489</v>
      </c>
      <c r="C141" s="31">
        <v>11</v>
      </c>
      <c r="D141" s="79">
        <v>404.8</v>
      </c>
      <c r="E141" s="33">
        <v>37</v>
      </c>
      <c r="F141" s="79">
        <v>1740.1999999999994</v>
      </c>
      <c r="G141" s="34">
        <f t="shared" ref="G141:G201" si="11">F141/I141</f>
        <v>0.81128205128205111</v>
      </c>
      <c r="H141" s="33">
        <v>48</v>
      </c>
      <c r="I141" s="79">
        <v>2144.9999999999995</v>
      </c>
      <c r="J141" s="33">
        <v>174</v>
      </c>
      <c r="K141" s="79">
        <v>6830.4400000000005</v>
      </c>
      <c r="L141" s="33">
        <f t="shared" si="8"/>
        <v>-126</v>
      </c>
      <c r="M141" s="81">
        <f t="shared" si="9"/>
        <v>-4685.4400000000005</v>
      </c>
      <c r="N141" s="35">
        <f t="shared" si="10"/>
        <v>-0.68596459378897989</v>
      </c>
    </row>
    <row r="142" spans="1:14" x14ac:dyDescent="0.25">
      <c r="A142" s="75" t="s">
        <v>522</v>
      </c>
      <c r="B142" s="76" t="s">
        <v>521</v>
      </c>
      <c r="C142" s="31">
        <v>0</v>
      </c>
      <c r="D142" s="79">
        <v>0</v>
      </c>
      <c r="E142" s="33">
        <v>45</v>
      </c>
      <c r="F142" s="79">
        <v>2695.4999999999995</v>
      </c>
      <c r="G142" s="34">
        <f t="shared" si="11"/>
        <v>1</v>
      </c>
      <c r="H142" s="33">
        <v>45</v>
      </c>
      <c r="I142" s="79">
        <v>2695.4999999999995</v>
      </c>
      <c r="J142" s="33">
        <v>0</v>
      </c>
      <c r="K142" s="79">
        <v>0</v>
      </c>
      <c r="L142" s="33">
        <f t="shared" si="8"/>
        <v>45</v>
      </c>
      <c r="M142" s="81">
        <f t="shared" si="9"/>
        <v>2695.4999999999995</v>
      </c>
      <c r="N142" s="35"/>
    </row>
    <row r="143" spans="1:14" x14ac:dyDescent="0.25">
      <c r="A143" s="75" t="s">
        <v>666</v>
      </c>
      <c r="B143" s="76" t="s">
        <v>667</v>
      </c>
      <c r="C143" s="31">
        <v>0</v>
      </c>
      <c r="D143" s="79">
        <v>0</v>
      </c>
      <c r="E143" s="33">
        <v>0</v>
      </c>
      <c r="F143" s="79">
        <v>0</v>
      </c>
      <c r="G143" s="34"/>
      <c r="H143" s="33">
        <v>0</v>
      </c>
      <c r="I143" s="79">
        <v>0</v>
      </c>
      <c r="J143" s="33">
        <v>1</v>
      </c>
      <c r="K143" s="79">
        <v>44.57</v>
      </c>
      <c r="L143" s="33">
        <f t="shared" si="8"/>
        <v>-1</v>
      </c>
      <c r="M143" s="81">
        <f t="shared" si="9"/>
        <v>-44.57</v>
      </c>
      <c r="N143" s="35">
        <f t="shared" si="10"/>
        <v>-1</v>
      </c>
    </row>
    <row r="144" spans="1:14" x14ac:dyDescent="0.25">
      <c r="A144" s="75" t="s">
        <v>113</v>
      </c>
      <c r="B144" s="76" t="s">
        <v>112</v>
      </c>
      <c r="C144" s="31">
        <v>4</v>
      </c>
      <c r="D144" s="79">
        <v>57.2</v>
      </c>
      <c r="E144" s="33">
        <v>0</v>
      </c>
      <c r="F144" s="79">
        <v>0</v>
      </c>
      <c r="G144" s="34">
        <f t="shared" si="11"/>
        <v>0</v>
      </c>
      <c r="H144" s="33">
        <v>4</v>
      </c>
      <c r="I144" s="79">
        <v>57.2</v>
      </c>
      <c r="J144" s="33">
        <v>1</v>
      </c>
      <c r="K144" s="79">
        <v>15.85</v>
      </c>
      <c r="L144" s="33">
        <f t="shared" si="8"/>
        <v>3</v>
      </c>
      <c r="M144" s="81">
        <f t="shared" si="9"/>
        <v>41.35</v>
      </c>
      <c r="N144" s="35">
        <f t="shared" si="10"/>
        <v>2.6088328075709781</v>
      </c>
    </row>
    <row r="145" spans="1:14" x14ac:dyDescent="0.25">
      <c r="A145" s="75" t="s">
        <v>115</v>
      </c>
      <c r="B145" s="76" t="s">
        <v>114</v>
      </c>
      <c r="C145" s="31">
        <v>0</v>
      </c>
      <c r="D145" s="79">
        <v>0</v>
      </c>
      <c r="E145" s="33">
        <v>0</v>
      </c>
      <c r="F145" s="79">
        <v>0</v>
      </c>
      <c r="G145" s="34"/>
      <c r="H145" s="33">
        <v>0</v>
      </c>
      <c r="I145" s="79">
        <v>0</v>
      </c>
      <c r="J145" s="33">
        <v>0</v>
      </c>
      <c r="K145" s="79">
        <v>0</v>
      </c>
      <c r="L145" s="33">
        <f t="shared" si="8"/>
        <v>0</v>
      </c>
      <c r="M145" s="81">
        <f t="shared" si="9"/>
        <v>0</v>
      </c>
      <c r="N145" s="35"/>
    </row>
    <row r="146" spans="1:14" x14ac:dyDescent="0.25">
      <c r="A146" s="75" t="s">
        <v>117</v>
      </c>
      <c r="B146" s="76" t="s">
        <v>116</v>
      </c>
      <c r="C146" s="31">
        <v>0</v>
      </c>
      <c r="D146" s="79">
        <v>0</v>
      </c>
      <c r="E146" s="33">
        <v>0</v>
      </c>
      <c r="F146" s="79">
        <v>0</v>
      </c>
      <c r="G146" s="34"/>
      <c r="H146" s="33">
        <v>0</v>
      </c>
      <c r="I146" s="79">
        <v>0</v>
      </c>
      <c r="J146" s="33">
        <v>0</v>
      </c>
      <c r="K146" s="79">
        <v>0</v>
      </c>
      <c r="L146" s="33">
        <f t="shared" si="8"/>
        <v>0</v>
      </c>
      <c r="M146" s="81">
        <f t="shared" si="9"/>
        <v>0</v>
      </c>
      <c r="N146" s="35"/>
    </row>
    <row r="147" spans="1:14" x14ac:dyDescent="0.25">
      <c r="A147" s="75" t="s">
        <v>544</v>
      </c>
      <c r="B147" s="76" t="s">
        <v>543</v>
      </c>
      <c r="C147" s="31">
        <v>395</v>
      </c>
      <c r="D147" s="79">
        <v>8043.92</v>
      </c>
      <c r="E147" s="33">
        <v>0</v>
      </c>
      <c r="F147" s="79">
        <v>0</v>
      </c>
      <c r="G147" s="34">
        <f t="shared" si="11"/>
        <v>0</v>
      </c>
      <c r="H147" s="33">
        <v>395</v>
      </c>
      <c r="I147" s="79">
        <v>8043.92</v>
      </c>
      <c r="J147" s="33">
        <v>1171</v>
      </c>
      <c r="K147" s="79">
        <v>23908.89</v>
      </c>
      <c r="L147" s="33">
        <f t="shared" si="8"/>
        <v>-776</v>
      </c>
      <c r="M147" s="81">
        <f t="shared" si="9"/>
        <v>-15864.97</v>
      </c>
      <c r="N147" s="35">
        <f t="shared" si="10"/>
        <v>-0.66355945424484364</v>
      </c>
    </row>
    <row r="148" spans="1:14" x14ac:dyDescent="0.25">
      <c r="A148" s="75" t="s">
        <v>771</v>
      </c>
      <c r="B148" s="76" t="s">
        <v>772</v>
      </c>
      <c r="C148" s="31">
        <v>0</v>
      </c>
      <c r="D148" s="79">
        <v>0</v>
      </c>
      <c r="E148" s="33">
        <v>0</v>
      </c>
      <c r="F148" s="79">
        <v>0</v>
      </c>
      <c r="G148" s="34"/>
      <c r="H148" s="33">
        <v>0</v>
      </c>
      <c r="I148" s="79">
        <v>0</v>
      </c>
      <c r="J148" s="33">
        <v>0</v>
      </c>
      <c r="K148" s="79">
        <v>0</v>
      </c>
      <c r="L148" s="33">
        <f t="shared" si="8"/>
        <v>0</v>
      </c>
      <c r="M148" s="81">
        <f t="shared" si="9"/>
        <v>0</v>
      </c>
      <c r="N148" s="35"/>
    </row>
    <row r="149" spans="1:14" x14ac:dyDescent="0.25">
      <c r="A149" s="75" t="s">
        <v>119</v>
      </c>
      <c r="B149" s="76" t="s">
        <v>118</v>
      </c>
      <c r="C149" s="31">
        <v>8</v>
      </c>
      <c r="D149" s="79">
        <v>191.53000000000003</v>
      </c>
      <c r="E149" s="33">
        <v>0</v>
      </c>
      <c r="F149" s="79">
        <v>0</v>
      </c>
      <c r="G149" s="34">
        <f t="shared" si="11"/>
        <v>0</v>
      </c>
      <c r="H149" s="33">
        <v>8</v>
      </c>
      <c r="I149" s="79">
        <v>191.53000000000003</v>
      </c>
      <c r="J149" s="33">
        <v>10</v>
      </c>
      <c r="K149" s="79">
        <v>201.03</v>
      </c>
      <c r="L149" s="33">
        <f t="shared" si="8"/>
        <v>-2</v>
      </c>
      <c r="M149" s="81">
        <f t="shared" si="9"/>
        <v>-9.4999999999999716</v>
      </c>
      <c r="N149" s="35">
        <f t="shared" si="10"/>
        <v>-4.7256628363925642E-2</v>
      </c>
    </row>
    <row r="150" spans="1:14" x14ac:dyDescent="0.25">
      <c r="A150" s="75" t="s">
        <v>668</v>
      </c>
      <c r="B150" s="76" t="s">
        <v>669</v>
      </c>
      <c r="C150" s="31">
        <v>0</v>
      </c>
      <c r="D150" s="79">
        <v>0</v>
      </c>
      <c r="E150" s="33">
        <v>0</v>
      </c>
      <c r="F150" s="79">
        <v>0</v>
      </c>
      <c r="G150" s="34"/>
      <c r="H150" s="33">
        <v>0</v>
      </c>
      <c r="I150" s="79">
        <v>0</v>
      </c>
      <c r="J150" s="33">
        <v>14</v>
      </c>
      <c r="K150" s="79">
        <v>274.26</v>
      </c>
      <c r="L150" s="33">
        <f t="shared" si="8"/>
        <v>-14</v>
      </c>
      <c r="M150" s="81">
        <f t="shared" si="9"/>
        <v>-274.26</v>
      </c>
      <c r="N150" s="35">
        <f t="shared" si="10"/>
        <v>-1</v>
      </c>
    </row>
    <row r="151" spans="1:14" x14ac:dyDescent="0.25">
      <c r="A151" s="75" t="s">
        <v>121</v>
      </c>
      <c r="B151" s="76" t="s">
        <v>120</v>
      </c>
      <c r="C151" s="31">
        <v>0</v>
      </c>
      <c r="D151" s="79">
        <v>0</v>
      </c>
      <c r="E151" s="33">
        <v>0</v>
      </c>
      <c r="F151" s="79">
        <v>0</v>
      </c>
      <c r="G151" s="34"/>
      <c r="H151" s="33">
        <v>0</v>
      </c>
      <c r="I151" s="79">
        <v>0</v>
      </c>
      <c r="J151" s="33">
        <v>0</v>
      </c>
      <c r="K151" s="79">
        <v>0</v>
      </c>
      <c r="L151" s="33">
        <f t="shared" si="8"/>
        <v>0</v>
      </c>
      <c r="M151" s="81">
        <f t="shared" si="9"/>
        <v>0</v>
      </c>
      <c r="N151" s="35"/>
    </row>
    <row r="152" spans="1:14" x14ac:dyDescent="0.25">
      <c r="A152" s="75" t="s">
        <v>546</v>
      </c>
      <c r="B152" s="76" t="s">
        <v>545</v>
      </c>
      <c r="C152" s="31">
        <v>0</v>
      </c>
      <c r="D152" s="79">
        <v>0</v>
      </c>
      <c r="E152" s="33">
        <v>0</v>
      </c>
      <c r="F152" s="79">
        <v>0</v>
      </c>
      <c r="G152" s="34"/>
      <c r="H152" s="33">
        <v>0</v>
      </c>
      <c r="I152" s="79">
        <v>0</v>
      </c>
      <c r="J152" s="33">
        <v>0</v>
      </c>
      <c r="K152" s="79">
        <v>0</v>
      </c>
      <c r="L152" s="33">
        <f t="shared" si="8"/>
        <v>0</v>
      </c>
      <c r="M152" s="81">
        <f t="shared" si="9"/>
        <v>0</v>
      </c>
      <c r="N152" s="35"/>
    </row>
    <row r="153" spans="1:14" x14ac:dyDescent="0.25">
      <c r="A153" s="75" t="s">
        <v>670</v>
      </c>
      <c r="B153" s="76" t="s">
        <v>671</v>
      </c>
      <c r="C153" s="31">
        <v>0</v>
      </c>
      <c r="D153" s="79">
        <v>0</v>
      </c>
      <c r="E153" s="33">
        <v>0</v>
      </c>
      <c r="F153" s="79">
        <v>0</v>
      </c>
      <c r="G153" s="34"/>
      <c r="H153" s="33">
        <v>0</v>
      </c>
      <c r="I153" s="79">
        <v>0</v>
      </c>
      <c r="J153" s="33">
        <v>0</v>
      </c>
      <c r="K153" s="79">
        <v>0</v>
      </c>
      <c r="L153" s="33">
        <f t="shared" si="8"/>
        <v>0</v>
      </c>
      <c r="M153" s="81">
        <f t="shared" si="9"/>
        <v>0</v>
      </c>
      <c r="N153" s="35"/>
    </row>
    <row r="154" spans="1:14" x14ac:dyDescent="0.25">
      <c r="A154" s="75" t="s">
        <v>488</v>
      </c>
      <c r="B154" s="76" t="s">
        <v>487</v>
      </c>
      <c r="C154" s="31">
        <v>0</v>
      </c>
      <c r="D154" s="79">
        <v>0</v>
      </c>
      <c r="E154" s="33">
        <v>0</v>
      </c>
      <c r="F154" s="79">
        <v>0</v>
      </c>
      <c r="G154" s="34"/>
      <c r="H154" s="33">
        <v>0</v>
      </c>
      <c r="I154" s="79">
        <v>0</v>
      </c>
      <c r="J154" s="33">
        <v>0</v>
      </c>
      <c r="K154" s="79">
        <v>0</v>
      </c>
      <c r="L154" s="33">
        <f t="shared" si="8"/>
        <v>0</v>
      </c>
      <c r="M154" s="81">
        <f t="shared" si="9"/>
        <v>0</v>
      </c>
      <c r="N154" s="35"/>
    </row>
    <row r="155" spans="1:14" x14ac:dyDescent="0.25">
      <c r="A155" s="75" t="s">
        <v>672</v>
      </c>
      <c r="B155" s="76" t="s">
        <v>673</v>
      </c>
      <c r="C155" s="31">
        <v>0</v>
      </c>
      <c r="D155" s="79">
        <v>0</v>
      </c>
      <c r="E155" s="33">
        <v>0</v>
      </c>
      <c r="F155" s="79">
        <v>0</v>
      </c>
      <c r="G155" s="34"/>
      <c r="H155" s="33">
        <v>0</v>
      </c>
      <c r="I155" s="79">
        <v>0</v>
      </c>
      <c r="J155" s="33">
        <v>6</v>
      </c>
      <c r="K155" s="79">
        <v>105.66</v>
      </c>
      <c r="L155" s="33">
        <f t="shared" si="8"/>
        <v>-6</v>
      </c>
      <c r="M155" s="81">
        <f t="shared" si="9"/>
        <v>-105.66</v>
      </c>
      <c r="N155" s="35">
        <f t="shared" si="10"/>
        <v>-1</v>
      </c>
    </row>
    <row r="156" spans="1:14" x14ac:dyDescent="0.25">
      <c r="A156" s="75" t="s">
        <v>502</v>
      </c>
      <c r="B156" s="76" t="s">
        <v>501</v>
      </c>
      <c r="C156" s="31">
        <v>0</v>
      </c>
      <c r="D156" s="79">
        <v>0</v>
      </c>
      <c r="E156" s="33">
        <v>0</v>
      </c>
      <c r="F156" s="79">
        <v>0</v>
      </c>
      <c r="G156" s="34"/>
      <c r="H156" s="33">
        <v>0</v>
      </c>
      <c r="I156" s="79">
        <v>0</v>
      </c>
      <c r="J156" s="33">
        <v>11</v>
      </c>
      <c r="K156" s="79">
        <v>892.65</v>
      </c>
      <c r="L156" s="33">
        <f t="shared" si="8"/>
        <v>-11</v>
      </c>
      <c r="M156" s="81">
        <f t="shared" si="9"/>
        <v>-892.65</v>
      </c>
      <c r="N156" s="35">
        <f t="shared" si="10"/>
        <v>-1</v>
      </c>
    </row>
    <row r="157" spans="1:14" x14ac:dyDescent="0.25">
      <c r="A157" s="75" t="s">
        <v>814</v>
      </c>
      <c r="B157" s="76" t="s">
        <v>815</v>
      </c>
      <c r="C157" s="31">
        <v>0</v>
      </c>
      <c r="D157" s="79">
        <v>0</v>
      </c>
      <c r="E157" s="33">
        <v>0</v>
      </c>
      <c r="F157" s="79">
        <v>0</v>
      </c>
      <c r="G157" s="34"/>
      <c r="H157" s="33">
        <v>0</v>
      </c>
      <c r="I157" s="79">
        <v>0</v>
      </c>
      <c r="J157" s="33">
        <v>0</v>
      </c>
      <c r="K157" s="79">
        <v>0</v>
      </c>
      <c r="L157" s="33">
        <f t="shared" si="8"/>
        <v>0</v>
      </c>
      <c r="M157" s="81">
        <f t="shared" si="9"/>
        <v>0</v>
      </c>
      <c r="N157" s="35"/>
    </row>
    <row r="158" spans="1:14" x14ac:dyDescent="0.25">
      <c r="A158" s="75" t="s">
        <v>530</v>
      </c>
      <c r="B158" s="76" t="s">
        <v>529</v>
      </c>
      <c r="C158" s="31">
        <v>0</v>
      </c>
      <c r="D158" s="79">
        <v>0</v>
      </c>
      <c r="E158" s="33">
        <v>0</v>
      </c>
      <c r="F158" s="79">
        <v>0</v>
      </c>
      <c r="G158" s="34"/>
      <c r="H158" s="33">
        <v>0</v>
      </c>
      <c r="I158" s="79">
        <v>0</v>
      </c>
      <c r="J158" s="33">
        <v>0</v>
      </c>
      <c r="K158" s="79">
        <v>0</v>
      </c>
      <c r="L158" s="33">
        <f t="shared" si="8"/>
        <v>0</v>
      </c>
      <c r="M158" s="81">
        <f t="shared" si="9"/>
        <v>0</v>
      </c>
      <c r="N158" s="35"/>
    </row>
    <row r="159" spans="1:14" x14ac:dyDescent="0.25">
      <c r="A159" s="75" t="s">
        <v>773</v>
      </c>
      <c r="B159" s="76" t="s">
        <v>774</v>
      </c>
      <c r="C159" s="31">
        <v>0</v>
      </c>
      <c r="D159" s="79">
        <v>0</v>
      </c>
      <c r="E159" s="33">
        <v>0</v>
      </c>
      <c r="F159" s="79">
        <v>0</v>
      </c>
      <c r="G159" s="34"/>
      <c r="H159" s="33">
        <v>0</v>
      </c>
      <c r="I159" s="79">
        <v>0</v>
      </c>
      <c r="J159" s="33">
        <v>0</v>
      </c>
      <c r="K159" s="79">
        <v>0</v>
      </c>
      <c r="L159" s="33">
        <f t="shared" si="8"/>
        <v>0</v>
      </c>
      <c r="M159" s="81">
        <f t="shared" si="9"/>
        <v>0</v>
      </c>
      <c r="N159" s="35"/>
    </row>
    <row r="160" spans="1:14" x14ac:dyDescent="0.25">
      <c r="A160" s="75" t="s">
        <v>674</v>
      </c>
      <c r="B160" s="76" t="s">
        <v>675</v>
      </c>
      <c r="C160" s="31">
        <v>0</v>
      </c>
      <c r="D160" s="79">
        <v>0</v>
      </c>
      <c r="E160" s="33">
        <v>0</v>
      </c>
      <c r="F160" s="79">
        <v>0</v>
      </c>
      <c r="G160" s="34"/>
      <c r="H160" s="33">
        <v>0</v>
      </c>
      <c r="I160" s="79">
        <v>0</v>
      </c>
      <c r="J160" s="33">
        <v>-2</v>
      </c>
      <c r="K160" s="79">
        <v>-21.14</v>
      </c>
      <c r="L160" s="33">
        <f t="shared" si="8"/>
        <v>2</v>
      </c>
      <c r="M160" s="81">
        <f t="shared" si="9"/>
        <v>21.14</v>
      </c>
      <c r="N160" s="35">
        <f t="shared" si="10"/>
        <v>1</v>
      </c>
    </row>
    <row r="161" spans="1:14" x14ac:dyDescent="0.25">
      <c r="A161" s="75" t="s">
        <v>775</v>
      </c>
      <c r="B161" s="76" t="s">
        <v>776</v>
      </c>
      <c r="C161" s="31">
        <v>0</v>
      </c>
      <c r="D161" s="79">
        <v>0</v>
      </c>
      <c r="E161" s="33">
        <v>0</v>
      </c>
      <c r="F161" s="79">
        <v>0</v>
      </c>
      <c r="G161" s="34"/>
      <c r="H161" s="33">
        <v>0</v>
      </c>
      <c r="I161" s="79">
        <v>0</v>
      </c>
      <c r="J161" s="33">
        <v>2</v>
      </c>
      <c r="K161" s="79">
        <v>98.2</v>
      </c>
      <c r="L161" s="33">
        <f t="shared" si="8"/>
        <v>-2</v>
      </c>
      <c r="M161" s="81">
        <f t="shared" si="9"/>
        <v>-98.2</v>
      </c>
      <c r="N161" s="35">
        <f t="shared" si="10"/>
        <v>-1</v>
      </c>
    </row>
    <row r="162" spans="1:14" x14ac:dyDescent="0.25">
      <c r="A162" s="75" t="s">
        <v>516</v>
      </c>
      <c r="B162" s="76" t="s">
        <v>515</v>
      </c>
      <c r="C162" s="31">
        <v>295</v>
      </c>
      <c r="D162" s="79">
        <v>4085.7500000000005</v>
      </c>
      <c r="E162" s="33">
        <v>0</v>
      </c>
      <c r="F162" s="79">
        <v>0</v>
      </c>
      <c r="G162" s="34">
        <f t="shared" si="11"/>
        <v>0</v>
      </c>
      <c r="H162" s="33">
        <v>295</v>
      </c>
      <c r="I162" s="79">
        <v>4085.7500000000005</v>
      </c>
      <c r="J162" s="33">
        <v>76</v>
      </c>
      <c r="K162" s="79">
        <v>1239.0200000000002</v>
      </c>
      <c r="L162" s="33">
        <f t="shared" si="8"/>
        <v>219</v>
      </c>
      <c r="M162" s="81">
        <f t="shared" si="9"/>
        <v>2846.7300000000005</v>
      </c>
      <c r="N162" s="35">
        <f t="shared" si="10"/>
        <v>2.2975658181465999</v>
      </c>
    </row>
    <row r="163" spans="1:14" x14ac:dyDescent="0.25">
      <c r="A163" s="75" t="s">
        <v>475</v>
      </c>
      <c r="B163" s="76" t="s">
        <v>474</v>
      </c>
      <c r="C163" s="31">
        <v>0</v>
      </c>
      <c r="D163" s="79">
        <v>0</v>
      </c>
      <c r="E163" s="33">
        <v>0</v>
      </c>
      <c r="F163" s="79">
        <v>0</v>
      </c>
      <c r="G163" s="34"/>
      <c r="H163" s="33">
        <v>0</v>
      </c>
      <c r="I163" s="79">
        <v>0</v>
      </c>
      <c r="J163" s="33">
        <v>31</v>
      </c>
      <c r="K163" s="79">
        <v>450.81999999999994</v>
      </c>
      <c r="L163" s="33">
        <f t="shared" si="8"/>
        <v>-31</v>
      </c>
      <c r="M163" s="81">
        <f t="shared" si="9"/>
        <v>-450.81999999999994</v>
      </c>
      <c r="N163" s="35">
        <f t="shared" si="10"/>
        <v>-1</v>
      </c>
    </row>
    <row r="164" spans="1:14" x14ac:dyDescent="0.25">
      <c r="A164" s="75" t="s">
        <v>123</v>
      </c>
      <c r="B164" s="76" t="s">
        <v>122</v>
      </c>
      <c r="C164" s="31">
        <v>54</v>
      </c>
      <c r="D164" s="79">
        <v>1323.54</v>
      </c>
      <c r="E164" s="33">
        <v>19</v>
      </c>
      <c r="F164" s="79">
        <v>727.09999999999991</v>
      </c>
      <c r="G164" s="34">
        <f t="shared" si="11"/>
        <v>0.35457223110833691</v>
      </c>
      <c r="H164" s="33">
        <v>73</v>
      </c>
      <c r="I164" s="79">
        <v>2050.64</v>
      </c>
      <c r="J164" s="33">
        <v>166</v>
      </c>
      <c r="K164" s="79">
        <v>4068.66</v>
      </c>
      <c r="L164" s="33">
        <f t="shared" si="8"/>
        <v>-93</v>
      </c>
      <c r="M164" s="81">
        <f t="shared" si="9"/>
        <v>-2018.02</v>
      </c>
      <c r="N164" s="35">
        <f t="shared" si="10"/>
        <v>-0.4959913091779603</v>
      </c>
    </row>
    <row r="165" spans="1:14" x14ac:dyDescent="0.25">
      <c r="A165" s="75" t="s">
        <v>125</v>
      </c>
      <c r="B165" s="76" t="s">
        <v>124</v>
      </c>
      <c r="C165" s="31">
        <v>0</v>
      </c>
      <c r="D165" s="79">
        <v>0</v>
      </c>
      <c r="E165" s="33">
        <v>0</v>
      </c>
      <c r="F165" s="79">
        <v>0</v>
      </c>
      <c r="G165" s="34"/>
      <c r="H165" s="33">
        <v>0</v>
      </c>
      <c r="I165" s="79">
        <v>0</v>
      </c>
      <c r="J165" s="33">
        <v>2057</v>
      </c>
      <c r="K165" s="79">
        <v>25115.97</v>
      </c>
      <c r="L165" s="33">
        <f t="shared" si="8"/>
        <v>-2057</v>
      </c>
      <c r="M165" s="81">
        <f t="shared" si="9"/>
        <v>-25115.97</v>
      </c>
      <c r="N165" s="35">
        <f t="shared" si="10"/>
        <v>-1</v>
      </c>
    </row>
    <row r="166" spans="1:14" x14ac:dyDescent="0.25">
      <c r="A166" s="75" t="s">
        <v>560</v>
      </c>
      <c r="B166" s="76" t="s">
        <v>559</v>
      </c>
      <c r="C166" s="31">
        <v>63</v>
      </c>
      <c r="D166" s="79">
        <v>674.43</v>
      </c>
      <c r="E166" s="33">
        <v>0</v>
      </c>
      <c r="F166" s="79">
        <v>0</v>
      </c>
      <c r="G166" s="34">
        <f t="shared" si="11"/>
        <v>0</v>
      </c>
      <c r="H166" s="33">
        <v>63</v>
      </c>
      <c r="I166" s="79">
        <v>674.43</v>
      </c>
      <c r="J166" s="33">
        <v>164</v>
      </c>
      <c r="K166" s="79">
        <v>1825.8899999999999</v>
      </c>
      <c r="L166" s="33">
        <f t="shared" si="8"/>
        <v>-101</v>
      </c>
      <c r="M166" s="81">
        <f t="shared" si="9"/>
        <v>-1151.46</v>
      </c>
      <c r="N166" s="35">
        <f t="shared" si="10"/>
        <v>-0.63062944646172558</v>
      </c>
    </row>
    <row r="167" spans="1:14" x14ac:dyDescent="0.25">
      <c r="A167" s="75" t="s">
        <v>496</v>
      </c>
      <c r="B167" s="76" t="s">
        <v>495</v>
      </c>
      <c r="C167" s="31">
        <v>0</v>
      </c>
      <c r="D167" s="79">
        <v>0</v>
      </c>
      <c r="E167" s="33">
        <v>0</v>
      </c>
      <c r="F167" s="79">
        <v>0</v>
      </c>
      <c r="G167" s="34"/>
      <c r="H167" s="33">
        <v>0</v>
      </c>
      <c r="I167" s="79">
        <v>0</v>
      </c>
      <c r="J167" s="33">
        <v>0</v>
      </c>
      <c r="K167" s="79">
        <v>0</v>
      </c>
      <c r="L167" s="33">
        <f t="shared" si="8"/>
        <v>0</v>
      </c>
      <c r="M167" s="81">
        <f t="shared" si="9"/>
        <v>0</v>
      </c>
      <c r="N167" s="35"/>
    </row>
    <row r="168" spans="1:14" x14ac:dyDescent="0.25">
      <c r="A168" s="75" t="s">
        <v>514</v>
      </c>
      <c r="B168" s="76" t="s">
        <v>513</v>
      </c>
      <c r="C168" s="31">
        <v>0</v>
      </c>
      <c r="D168" s="79">
        <v>0</v>
      </c>
      <c r="E168" s="33">
        <v>1</v>
      </c>
      <c r="F168" s="79">
        <v>28.93</v>
      </c>
      <c r="G168" s="34">
        <f t="shared" si="11"/>
        <v>1</v>
      </c>
      <c r="H168" s="33">
        <v>1</v>
      </c>
      <c r="I168" s="79">
        <v>28.93</v>
      </c>
      <c r="J168" s="33">
        <v>0</v>
      </c>
      <c r="K168" s="79">
        <v>0</v>
      </c>
      <c r="L168" s="33">
        <f t="shared" si="8"/>
        <v>1</v>
      </c>
      <c r="M168" s="81">
        <f t="shared" si="9"/>
        <v>28.93</v>
      </c>
      <c r="N168" s="35"/>
    </row>
    <row r="169" spans="1:14" x14ac:dyDescent="0.25">
      <c r="A169" s="75" t="s">
        <v>676</v>
      </c>
      <c r="B169" s="76" t="s">
        <v>677</v>
      </c>
      <c r="C169" s="31">
        <v>0</v>
      </c>
      <c r="D169" s="79">
        <v>0</v>
      </c>
      <c r="E169" s="33">
        <v>0</v>
      </c>
      <c r="F169" s="79">
        <v>0</v>
      </c>
      <c r="G169" s="34"/>
      <c r="H169" s="33">
        <v>0</v>
      </c>
      <c r="I169" s="79">
        <v>0</v>
      </c>
      <c r="J169" s="33">
        <v>11</v>
      </c>
      <c r="K169" s="79">
        <v>115.21000000000001</v>
      </c>
      <c r="L169" s="33">
        <f t="shared" si="8"/>
        <v>-11</v>
      </c>
      <c r="M169" s="81">
        <f t="shared" si="9"/>
        <v>-115.21000000000001</v>
      </c>
      <c r="N169" s="35">
        <f t="shared" si="10"/>
        <v>-1</v>
      </c>
    </row>
    <row r="170" spans="1:14" x14ac:dyDescent="0.25">
      <c r="A170" s="75" t="s">
        <v>678</v>
      </c>
      <c r="B170" s="76" t="s">
        <v>679</v>
      </c>
      <c r="C170" s="31">
        <v>0</v>
      </c>
      <c r="D170" s="79">
        <v>0</v>
      </c>
      <c r="E170" s="33">
        <v>0</v>
      </c>
      <c r="F170" s="79">
        <v>0</v>
      </c>
      <c r="G170" s="34"/>
      <c r="H170" s="33">
        <v>0</v>
      </c>
      <c r="I170" s="79">
        <v>0</v>
      </c>
      <c r="J170" s="33">
        <v>0</v>
      </c>
      <c r="K170" s="79">
        <v>0</v>
      </c>
      <c r="L170" s="33">
        <f t="shared" si="8"/>
        <v>0</v>
      </c>
      <c r="M170" s="81">
        <f t="shared" si="9"/>
        <v>0</v>
      </c>
      <c r="N170" s="35"/>
    </row>
    <row r="171" spans="1:14" x14ac:dyDescent="0.25">
      <c r="A171" s="75" t="s">
        <v>562</v>
      </c>
      <c r="B171" s="76" t="s">
        <v>561</v>
      </c>
      <c r="C171" s="31">
        <v>8</v>
      </c>
      <c r="D171" s="79">
        <v>43.28</v>
      </c>
      <c r="E171" s="33">
        <v>0</v>
      </c>
      <c r="F171" s="79">
        <v>0</v>
      </c>
      <c r="G171" s="34">
        <f t="shared" si="11"/>
        <v>0</v>
      </c>
      <c r="H171" s="33">
        <v>8</v>
      </c>
      <c r="I171" s="79">
        <v>43.28</v>
      </c>
      <c r="J171" s="33">
        <v>46</v>
      </c>
      <c r="K171" s="79">
        <v>358.41999999999996</v>
      </c>
      <c r="L171" s="33">
        <f t="shared" si="8"/>
        <v>-38</v>
      </c>
      <c r="M171" s="81">
        <f t="shared" si="9"/>
        <v>-315.14</v>
      </c>
      <c r="N171" s="35">
        <f t="shared" si="10"/>
        <v>-0.87924780983204065</v>
      </c>
    </row>
    <row r="172" spans="1:14" x14ac:dyDescent="0.25">
      <c r="A172" s="75" t="s">
        <v>127</v>
      </c>
      <c r="B172" s="76" t="s">
        <v>126</v>
      </c>
      <c r="C172" s="31">
        <v>221</v>
      </c>
      <c r="D172" s="79">
        <v>5451.99</v>
      </c>
      <c r="E172" s="33">
        <v>404</v>
      </c>
      <c r="F172" s="79">
        <v>11822.600000000002</v>
      </c>
      <c r="G172" s="34">
        <f t="shared" si="11"/>
        <v>0.68439250946042707</v>
      </c>
      <c r="H172" s="33">
        <v>625</v>
      </c>
      <c r="I172" s="79">
        <v>17274.590000000004</v>
      </c>
      <c r="J172" s="33">
        <v>830</v>
      </c>
      <c r="K172" s="79">
        <v>18552.28</v>
      </c>
      <c r="L172" s="33">
        <f t="shared" si="8"/>
        <v>-205</v>
      </c>
      <c r="M172" s="81">
        <f t="shared" si="9"/>
        <v>-1277.6899999999951</v>
      </c>
      <c r="N172" s="35">
        <f t="shared" si="10"/>
        <v>-6.8869702268400168E-2</v>
      </c>
    </row>
    <row r="173" spans="1:14" x14ac:dyDescent="0.25">
      <c r="A173" s="75" t="s">
        <v>680</v>
      </c>
      <c r="B173" s="76" t="s">
        <v>681</v>
      </c>
      <c r="C173" s="31">
        <v>0</v>
      </c>
      <c r="D173" s="79">
        <v>0</v>
      </c>
      <c r="E173" s="33">
        <v>0</v>
      </c>
      <c r="F173" s="79">
        <v>0</v>
      </c>
      <c r="G173" s="34"/>
      <c r="H173" s="33">
        <v>0</v>
      </c>
      <c r="I173" s="79">
        <v>0</v>
      </c>
      <c r="J173" s="33">
        <v>0</v>
      </c>
      <c r="K173" s="79">
        <v>0</v>
      </c>
      <c r="L173" s="33">
        <f t="shared" si="8"/>
        <v>0</v>
      </c>
      <c r="M173" s="81">
        <f t="shared" si="9"/>
        <v>0</v>
      </c>
      <c r="N173" s="35"/>
    </row>
    <row r="174" spans="1:14" x14ac:dyDescent="0.25">
      <c r="A174" s="75" t="s">
        <v>482</v>
      </c>
      <c r="B174" s="76" t="s">
        <v>481</v>
      </c>
      <c r="C174" s="31">
        <v>77</v>
      </c>
      <c r="D174" s="79">
        <v>3057.9400000000005</v>
      </c>
      <c r="E174" s="33">
        <v>7</v>
      </c>
      <c r="F174" s="79">
        <v>419.29999999999995</v>
      </c>
      <c r="G174" s="34">
        <f t="shared" si="11"/>
        <v>0.12058414144551426</v>
      </c>
      <c r="H174" s="33">
        <v>84</v>
      </c>
      <c r="I174" s="79">
        <v>3477.24</v>
      </c>
      <c r="J174" s="33">
        <v>49</v>
      </c>
      <c r="K174" s="79">
        <v>2194.34</v>
      </c>
      <c r="L174" s="33">
        <f t="shared" si="8"/>
        <v>35</v>
      </c>
      <c r="M174" s="81">
        <f t="shared" si="9"/>
        <v>1282.8999999999996</v>
      </c>
      <c r="N174" s="35">
        <f t="shared" si="10"/>
        <v>0.58464048415468872</v>
      </c>
    </row>
    <row r="175" spans="1:14" x14ac:dyDescent="0.25">
      <c r="A175" s="75" t="s">
        <v>682</v>
      </c>
      <c r="B175" s="76" t="s">
        <v>683</v>
      </c>
      <c r="C175" s="31">
        <v>0</v>
      </c>
      <c r="D175" s="79">
        <v>0</v>
      </c>
      <c r="E175" s="33">
        <v>0</v>
      </c>
      <c r="F175" s="79">
        <v>0</v>
      </c>
      <c r="G175" s="34"/>
      <c r="H175" s="33">
        <v>0</v>
      </c>
      <c r="I175" s="79">
        <v>0</v>
      </c>
      <c r="J175" s="33">
        <v>0</v>
      </c>
      <c r="K175" s="79">
        <v>0</v>
      </c>
      <c r="L175" s="33">
        <f t="shared" si="8"/>
        <v>0</v>
      </c>
      <c r="M175" s="81">
        <f t="shared" si="9"/>
        <v>0</v>
      </c>
      <c r="N175" s="35"/>
    </row>
    <row r="176" spans="1:14" x14ac:dyDescent="0.25">
      <c r="A176" s="75" t="s">
        <v>129</v>
      </c>
      <c r="B176" s="76" t="s">
        <v>128</v>
      </c>
      <c r="C176" s="31">
        <v>0</v>
      </c>
      <c r="D176" s="79">
        <v>0</v>
      </c>
      <c r="E176" s="33">
        <v>0</v>
      </c>
      <c r="F176" s="79">
        <v>0</v>
      </c>
      <c r="G176" s="34"/>
      <c r="H176" s="33">
        <v>0</v>
      </c>
      <c r="I176" s="79">
        <v>0</v>
      </c>
      <c r="J176" s="33">
        <v>0</v>
      </c>
      <c r="K176" s="79">
        <v>0</v>
      </c>
      <c r="L176" s="33">
        <f t="shared" si="8"/>
        <v>0</v>
      </c>
      <c r="M176" s="81">
        <f t="shared" si="9"/>
        <v>0</v>
      </c>
      <c r="N176" s="35"/>
    </row>
    <row r="177" spans="1:14" x14ac:dyDescent="0.25">
      <c r="A177" s="75" t="s">
        <v>684</v>
      </c>
      <c r="B177" s="76" t="s">
        <v>685</v>
      </c>
      <c r="C177" s="31">
        <v>0</v>
      </c>
      <c r="D177" s="79">
        <v>0</v>
      </c>
      <c r="E177" s="33">
        <v>0</v>
      </c>
      <c r="F177" s="79">
        <v>0</v>
      </c>
      <c r="G177" s="34"/>
      <c r="H177" s="33">
        <v>0</v>
      </c>
      <c r="I177" s="79">
        <v>0</v>
      </c>
      <c r="J177" s="33">
        <v>1</v>
      </c>
      <c r="K177" s="79">
        <v>47.98</v>
      </c>
      <c r="L177" s="33">
        <f t="shared" si="8"/>
        <v>-1</v>
      </c>
      <c r="M177" s="81">
        <f t="shared" si="9"/>
        <v>-47.98</v>
      </c>
      <c r="N177" s="35">
        <f t="shared" si="10"/>
        <v>-1</v>
      </c>
    </row>
    <row r="178" spans="1:14" x14ac:dyDescent="0.25">
      <c r="A178" s="75" t="s">
        <v>548</v>
      </c>
      <c r="B178" s="76" t="s">
        <v>547</v>
      </c>
      <c r="C178" s="31">
        <v>10</v>
      </c>
      <c r="D178" s="79">
        <v>198.76</v>
      </c>
      <c r="E178" s="33">
        <v>0</v>
      </c>
      <c r="F178" s="79">
        <v>0</v>
      </c>
      <c r="G178" s="34">
        <f t="shared" si="11"/>
        <v>0</v>
      </c>
      <c r="H178" s="33">
        <v>10</v>
      </c>
      <c r="I178" s="79">
        <v>198.76</v>
      </c>
      <c r="J178" s="33">
        <v>21</v>
      </c>
      <c r="K178" s="79">
        <v>421.26</v>
      </c>
      <c r="L178" s="33">
        <f t="shared" si="8"/>
        <v>-11</v>
      </c>
      <c r="M178" s="81">
        <f t="shared" si="9"/>
        <v>-222.5</v>
      </c>
      <c r="N178" s="35">
        <f t="shared" si="10"/>
        <v>-0.52817737264397291</v>
      </c>
    </row>
    <row r="179" spans="1:14" x14ac:dyDescent="0.25">
      <c r="A179" s="75" t="s">
        <v>131</v>
      </c>
      <c r="B179" s="76" t="s">
        <v>130</v>
      </c>
      <c r="C179" s="31">
        <v>0</v>
      </c>
      <c r="D179" s="79">
        <v>0</v>
      </c>
      <c r="E179" s="33">
        <v>0</v>
      </c>
      <c r="F179" s="79">
        <v>0</v>
      </c>
      <c r="G179" s="34"/>
      <c r="H179" s="33">
        <v>0</v>
      </c>
      <c r="I179" s="79">
        <v>0</v>
      </c>
      <c r="J179" s="33">
        <v>0</v>
      </c>
      <c r="K179" s="79">
        <v>0</v>
      </c>
      <c r="L179" s="33">
        <f t="shared" si="8"/>
        <v>0</v>
      </c>
      <c r="M179" s="81">
        <f t="shared" si="9"/>
        <v>0</v>
      </c>
      <c r="N179" s="35"/>
    </row>
    <row r="180" spans="1:14" x14ac:dyDescent="0.25">
      <c r="A180" s="75" t="s">
        <v>564</v>
      </c>
      <c r="B180" s="76" t="s">
        <v>563</v>
      </c>
      <c r="C180" s="31">
        <v>0</v>
      </c>
      <c r="D180" s="79">
        <v>0</v>
      </c>
      <c r="E180" s="33">
        <v>0</v>
      </c>
      <c r="F180" s="79">
        <v>0</v>
      </c>
      <c r="G180" s="34"/>
      <c r="H180" s="33">
        <v>0</v>
      </c>
      <c r="I180" s="79">
        <v>0</v>
      </c>
      <c r="J180" s="33">
        <v>0</v>
      </c>
      <c r="K180" s="79">
        <v>0</v>
      </c>
      <c r="L180" s="33">
        <f t="shared" si="8"/>
        <v>0</v>
      </c>
      <c r="M180" s="81">
        <f t="shared" si="9"/>
        <v>0</v>
      </c>
      <c r="N180" s="35"/>
    </row>
    <row r="181" spans="1:14" x14ac:dyDescent="0.25">
      <c r="A181" s="75" t="s">
        <v>686</v>
      </c>
      <c r="B181" s="76" t="s">
        <v>687</v>
      </c>
      <c r="C181" s="31">
        <v>0</v>
      </c>
      <c r="D181" s="79">
        <v>0</v>
      </c>
      <c r="E181" s="33">
        <v>0</v>
      </c>
      <c r="F181" s="79">
        <v>0</v>
      </c>
      <c r="G181" s="34"/>
      <c r="H181" s="33">
        <v>0</v>
      </c>
      <c r="I181" s="79">
        <v>0</v>
      </c>
      <c r="J181" s="33">
        <v>0</v>
      </c>
      <c r="K181" s="79">
        <v>0</v>
      </c>
      <c r="L181" s="33">
        <f t="shared" si="8"/>
        <v>0</v>
      </c>
      <c r="M181" s="81">
        <f t="shared" si="9"/>
        <v>0</v>
      </c>
      <c r="N181" s="35"/>
    </row>
    <row r="182" spans="1:14" x14ac:dyDescent="0.25">
      <c r="A182" s="75" t="s">
        <v>566</v>
      </c>
      <c r="B182" s="76" t="s">
        <v>565</v>
      </c>
      <c r="C182" s="31">
        <v>0</v>
      </c>
      <c r="D182" s="79">
        <v>0</v>
      </c>
      <c r="E182" s="33">
        <v>78</v>
      </c>
      <c r="F182" s="79">
        <v>6222.6100000000033</v>
      </c>
      <c r="G182" s="34">
        <f t="shared" si="11"/>
        <v>1</v>
      </c>
      <c r="H182" s="33">
        <v>78</v>
      </c>
      <c r="I182" s="79">
        <v>6222.6100000000033</v>
      </c>
      <c r="J182" s="33">
        <v>0</v>
      </c>
      <c r="K182" s="79">
        <v>0</v>
      </c>
      <c r="L182" s="33">
        <f t="shared" si="8"/>
        <v>78</v>
      </c>
      <c r="M182" s="81">
        <f t="shared" si="9"/>
        <v>6222.6100000000033</v>
      </c>
      <c r="N182" s="35"/>
    </row>
    <row r="183" spans="1:14" x14ac:dyDescent="0.25">
      <c r="A183" s="75" t="s">
        <v>133</v>
      </c>
      <c r="B183" s="76" t="s">
        <v>132</v>
      </c>
      <c r="C183" s="31">
        <v>0</v>
      </c>
      <c r="D183" s="79">
        <v>0</v>
      </c>
      <c r="E183" s="33">
        <v>4</v>
      </c>
      <c r="F183" s="79">
        <v>199.6</v>
      </c>
      <c r="G183" s="34">
        <f t="shared" si="11"/>
        <v>1</v>
      </c>
      <c r="H183" s="33">
        <v>4</v>
      </c>
      <c r="I183" s="79">
        <v>199.6</v>
      </c>
      <c r="J183" s="33">
        <v>0</v>
      </c>
      <c r="K183" s="79">
        <v>0</v>
      </c>
      <c r="L183" s="33">
        <f t="shared" si="8"/>
        <v>4</v>
      </c>
      <c r="M183" s="81">
        <f t="shared" si="9"/>
        <v>199.6</v>
      </c>
      <c r="N183" s="35"/>
    </row>
    <row r="184" spans="1:14" x14ac:dyDescent="0.25">
      <c r="A184" s="75" t="s">
        <v>135</v>
      </c>
      <c r="B184" s="76" t="s">
        <v>134</v>
      </c>
      <c r="C184" s="31">
        <v>15</v>
      </c>
      <c r="D184" s="79">
        <v>391.77</v>
      </c>
      <c r="E184" s="33">
        <v>0</v>
      </c>
      <c r="F184" s="79">
        <v>0</v>
      </c>
      <c r="G184" s="34">
        <f t="shared" si="11"/>
        <v>0</v>
      </c>
      <c r="H184" s="33">
        <v>15</v>
      </c>
      <c r="I184" s="79">
        <v>391.77</v>
      </c>
      <c r="J184" s="33">
        <v>98</v>
      </c>
      <c r="K184" s="79">
        <v>2300.81</v>
      </c>
      <c r="L184" s="33">
        <f t="shared" si="8"/>
        <v>-83</v>
      </c>
      <c r="M184" s="81">
        <f t="shared" si="9"/>
        <v>-1909.04</v>
      </c>
      <c r="N184" s="35">
        <f t="shared" si="10"/>
        <v>-0.82972518373963955</v>
      </c>
    </row>
    <row r="185" spans="1:14" x14ac:dyDescent="0.25">
      <c r="A185" s="75" t="s">
        <v>520</v>
      </c>
      <c r="B185" s="76" t="s">
        <v>519</v>
      </c>
      <c r="C185" s="31">
        <v>-14</v>
      </c>
      <c r="D185" s="79">
        <v>-837.39</v>
      </c>
      <c r="E185" s="33">
        <v>0</v>
      </c>
      <c r="F185" s="79">
        <v>0</v>
      </c>
      <c r="G185" s="34">
        <f t="shared" si="11"/>
        <v>0</v>
      </c>
      <c r="H185" s="33">
        <v>-14</v>
      </c>
      <c r="I185" s="79">
        <v>-837.39</v>
      </c>
      <c r="J185" s="33">
        <v>164</v>
      </c>
      <c r="K185" s="79">
        <v>10219.66</v>
      </c>
      <c r="L185" s="33">
        <f t="shared" si="8"/>
        <v>-178</v>
      </c>
      <c r="M185" s="81">
        <f t="shared" si="9"/>
        <v>-11057.05</v>
      </c>
      <c r="N185" s="35">
        <f t="shared" si="10"/>
        <v>-1.0819391251763757</v>
      </c>
    </row>
    <row r="186" spans="1:14" x14ac:dyDescent="0.25">
      <c r="A186" s="75" t="s">
        <v>688</v>
      </c>
      <c r="B186" s="76" t="s">
        <v>689</v>
      </c>
      <c r="C186" s="31">
        <v>0</v>
      </c>
      <c r="D186" s="79">
        <v>0</v>
      </c>
      <c r="E186" s="33">
        <v>0</v>
      </c>
      <c r="F186" s="79">
        <v>0</v>
      </c>
      <c r="G186" s="34"/>
      <c r="H186" s="33">
        <v>0</v>
      </c>
      <c r="I186" s="79">
        <v>0</v>
      </c>
      <c r="J186" s="33">
        <v>0</v>
      </c>
      <c r="K186" s="79">
        <v>0</v>
      </c>
      <c r="L186" s="33">
        <f t="shared" si="8"/>
        <v>0</v>
      </c>
      <c r="M186" s="81">
        <f t="shared" si="9"/>
        <v>0</v>
      </c>
      <c r="N186" s="35"/>
    </row>
    <row r="187" spans="1:14" x14ac:dyDescent="0.25">
      <c r="A187" s="75" t="s">
        <v>137</v>
      </c>
      <c r="B187" s="76" t="s">
        <v>136</v>
      </c>
      <c r="C187" s="31">
        <v>51</v>
      </c>
      <c r="D187" s="79">
        <v>2965.3399999999997</v>
      </c>
      <c r="E187" s="33">
        <v>0</v>
      </c>
      <c r="F187" s="79">
        <v>0</v>
      </c>
      <c r="G187" s="34">
        <f t="shared" si="11"/>
        <v>0</v>
      </c>
      <c r="H187" s="33">
        <v>51</v>
      </c>
      <c r="I187" s="79">
        <v>2965.3399999999997</v>
      </c>
      <c r="J187" s="33">
        <v>78</v>
      </c>
      <c r="K187" s="79">
        <v>4504.68</v>
      </c>
      <c r="L187" s="33">
        <f t="shared" si="8"/>
        <v>-27</v>
      </c>
      <c r="M187" s="81">
        <f t="shared" si="9"/>
        <v>-1539.3400000000006</v>
      </c>
      <c r="N187" s="35">
        <f t="shared" si="10"/>
        <v>-0.34172016658231008</v>
      </c>
    </row>
    <row r="188" spans="1:14" x14ac:dyDescent="0.25">
      <c r="A188" s="75" t="s">
        <v>816</v>
      </c>
      <c r="B188" s="76" t="s">
        <v>817</v>
      </c>
      <c r="C188" s="31">
        <v>0</v>
      </c>
      <c r="D188" s="79">
        <v>0</v>
      </c>
      <c r="E188" s="33">
        <v>0</v>
      </c>
      <c r="F188" s="79">
        <v>0</v>
      </c>
      <c r="G188" s="34"/>
      <c r="H188" s="33">
        <v>0</v>
      </c>
      <c r="I188" s="79">
        <v>0</v>
      </c>
      <c r="J188" s="33">
        <v>0</v>
      </c>
      <c r="K188" s="79">
        <v>0</v>
      </c>
      <c r="L188" s="33">
        <f t="shared" si="8"/>
        <v>0</v>
      </c>
      <c r="M188" s="81">
        <f t="shared" si="9"/>
        <v>0</v>
      </c>
      <c r="N188" s="35"/>
    </row>
    <row r="189" spans="1:14" x14ac:dyDescent="0.25">
      <c r="A189" s="75" t="s">
        <v>139</v>
      </c>
      <c r="B189" s="76" t="s">
        <v>138</v>
      </c>
      <c r="C189" s="31">
        <v>852</v>
      </c>
      <c r="D189" s="79">
        <v>10785.9</v>
      </c>
      <c r="E189" s="33">
        <v>155</v>
      </c>
      <c r="F189" s="79">
        <v>2309.5000000000064</v>
      </c>
      <c r="G189" s="34">
        <f t="shared" si="11"/>
        <v>0.1763596377353884</v>
      </c>
      <c r="H189" s="33">
        <v>1007</v>
      </c>
      <c r="I189" s="79">
        <v>13095.400000000005</v>
      </c>
      <c r="J189" s="33">
        <v>6903</v>
      </c>
      <c r="K189" s="79">
        <v>84282.26999999999</v>
      </c>
      <c r="L189" s="33">
        <f t="shared" si="8"/>
        <v>-5896</v>
      </c>
      <c r="M189" s="81">
        <f t="shared" si="9"/>
        <v>-71186.869999999981</v>
      </c>
      <c r="N189" s="35">
        <f t="shared" si="10"/>
        <v>-0.84462449812991502</v>
      </c>
    </row>
    <row r="190" spans="1:14" x14ac:dyDescent="0.25">
      <c r="A190" s="75" t="s">
        <v>690</v>
      </c>
      <c r="B190" s="76" t="s">
        <v>691</v>
      </c>
      <c r="C190" s="31">
        <v>0</v>
      </c>
      <c r="D190" s="79">
        <v>0</v>
      </c>
      <c r="E190" s="33">
        <v>0</v>
      </c>
      <c r="F190" s="79">
        <v>0</v>
      </c>
      <c r="G190" s="34"/>
      <c r="H190" s="33">
        <v>0</v>
      </c>
      <c r="I190" s="79">
        <v>0</v>
      </c>
      <c r="J190" s="33">
        <v>0</v>
      </c>
      <c r="K190" s="79">
        <v>0</v>
      </c>
      <c r="L190" s="33">
        <f t="shared" si="8"/>
        <v>0</v>
      </c>
      <c r="M190" s="81">
        <f t="shared" si="9"/>
        <v>0</v>
      </c>
      <c r="N190" s="35"/>
    </row>
    <row r="191" spans="1:14" x14ac:dyDescent="0.25">
      <c r="A191" s="75" t="s">
        <v>484</v>
      </c>
      <c r="B191" s="76" t="s">
        <v>483</v>
      </c>
      <c r="C191" s="31">
        <v>10</v>
      </c>
      <c r="D191" s="79">
        <v>224.56000000000003</v>
      </c>
      <c r="E191" s="33">
        <v>0</v>
      </c>
      <c r="F191" s="79">
        <v>0</v>
      </c>
      <c r="G191" s="34">
        <f t="shared" si="11"/>
        <v>0</v>
      </c>
      <c r="H191" s="33">
        <v>10</v>
      </c>
      <c r="I191" s="79">
        <v>224.56000000000003</v>
      </c>
      <c r="J191" s="33">
        <v>18</v>
      </c>
      <c r="K191" s="79">
        <v>355.32</v>
      </c>
      <c r="L191" s="33">
        <f t="shared" si="8"/>
        <v>-8</v>
      </c>
      <c r="M191" s="81">
        <f t="shared" si="9"/>
        <v>-130.75999999999996</v>
      </c>
      <c r="N191" s="35">
        <f t="shared" si="10"/>
        <v>-0.36800630417651686</v>
      </c>
    </row>
    <row r="192" spans="1:14" x14ac:dyDescent="0.25">
      <c r="A192" s="75" t="s">
        <v>692</v>
      </c>
      <c r="B192" s="76" t="s">
        <v>693</v>
      </c>
      <c r="C192" s="31">
        <v>0</v>
      </c>
      <c r="D192" s="79">
        <v>0</v>
      </c>
      <c r="E192" s="33">
        <v>0</v>
      </c>
      <c r="F192" s="79">
        <v>0</v>
      </c>
      <c r="G192" s="34"/>
      <c r="H192" s="33">
        <v>0</v>
      </c>
      <c r="I192" s="79">
        <v>0</v>
      </c>
      <c r="J192" s="33">
        <v>3</v>
      </c>
      <c r="K192" s="79">
        <v>61.23</v>
      </c>
      <c r="L192" s="33">
        <f t="shared" si="8"/>
        <v>-3</v>
      </c>
      <c r="M192" s="81">
        <f t="shared" si="9"/>
        <v>-61.23</v>
      </c>
      <c r="N192" s="35">
        <f t="shared" si="10"/>
        <v>-1</v>
      </c>
    </row>
    <row r="193" spans="1:14" x14ac:dyDescent="0.25">
      <c r="A193" s="75" t="s">
        <v>141</v>
      </c>
      <c r="B193" s="76" t="s">
        <v>140</v>
      </c>
      <c r="C193" s="31">
        <v>0</v>
      </c>
      <c r="D193" s="79">
        <v>0</v>
      </c>
      <c r="E193" s="33">
        <v>168</v>
      </c>
      <c r="F193" s="79">
        <v>10733.200000000004</v>
      </c>
      <c r="G193" s="34">
        <f t="shared" si="11"/>
        <v>1</v>
      </c>
      <c r="H193" s="33">
        <v>168</v>
      </c>
      <c r="I193" s="79">
        <v>10733.200000000004</v>
      </c>
      <c r="J193" s="33">
        <v>0</v>
      </c>
      <c r="K193" s="79">
        <v>0</v>
      </c>
      <c r="L193" s="33">
        <f t="shared" si="8"/>
        <v>168</v>
      </c>
      <c r="M193" s="81">
        <f t="shared" si="9"/>
        <v>10733.200000000004</v>
      </c>
      <c r="N193" s="35"/>
    </row>
    <row r="194" spans="1:14" x14ac:dyDescent="0.25">
      <c r="A194" s="75" t="s">
        <v>143</v>
      </c>
      <c r="B194" s="76" t="s">
        <v>142</v>
      </c>
      <c r="C194" s="31">
        <v>2</v>
      </c>
      <c r="D194" s="79">
        <v>49.76</v>
      </c>
      <c r="E194" s="33">
        <v>175</v>
      </c>
      <c r="F194" s="79">
        <v>5246.9400000000041</v>
      </c>
      <c r="G194" s="34">
        <f t="shared" si="11"/>
        <v>0.99060547133120624</v>
      </c>
      <c r="H194" s="33">
        <v>177</v>
      </c>
      <c r="I194" s="79">
        <v>5296.7000000000044</v>
      </c>
      <c r="J194" s="33">
        <v>1988</v>
      </c>
      <c r="K194" s="79">
        <v>40573.86</v>
      </c>
      <c r="L194" s="33">
        <f t="shared" si="8"/>
        <v>-1811</v>
      </c>
      <c r="M194" s="81">
        <f t="shared" si="9"/>
        <v>-35277.159999999996</v>
      </c>
      <c r="N194" s="35">
        <f t="shared" si="10"/>
        <v>-0.86945535869646107</v>
      </c>
    </row>
    <row r="195" spans="1:14" x14ac:dyDescent="0.25">
      <c r="A195" s="75" t="s">
        <v>145</v>
      </c>
      <c r="B195" s="76" t="s">
        <v>144</v>
      </c>
      <c r="C195" s="31">
        <v>67</v>
      </c>
      <c r="D195" s="79">
        <v>1630.74</v>
      </c>
      <c r="E195" s="33">
        <v>0</v>
      </c>
      <c r="F195" s="79">
        <v>0</v>
      </c>
      <c r="G195" s="34">
        <f t="shared" si="11"/>
        <v>0</v>
      </c>
      <c r="H195" s="33">
        <v>67</v>
      </c>
      <c r="I195" s="79">
        <v>1630.74</v>
      </c>
      <c r="J195" s="33">
        <v>457</v>
      </c>
      <c r="K195" s="79">
        <v>11201.07</v>
      </c>
      <c r="L195" s="33">
        <f t="shared" ref="L195:L258" si="12">H195-J195</f>
        <v>-390</v>
      </c>
      <c r="M195" s="81">
        <f t="shared" ref="M195:M258" si="13">I195-K195</f>
        <v>-9570.33</v>
      </c>
      <c r="N195" s="35">
        <f t="shared" ref="N195:N258" si="14">M195/ABS(K195)</f>
        <v>-0.85441212312752268</v>
      </c>
    </row>
    <row r="196" spans="1:14" x14ac:dyDescent="0.25">
      <c r="A196" s="75" t="s">
        <v>694</v>
      </c>
      <c r="B196" s="76" t="s">
        <v>695</v>
      </c>
      <c r="C196" s="31">
        <v>0</v>
      </c>
      <c r="D196" s="79">
        <v>0</v>
      </c>
      <c r="E196" s="33">
        <v>0</v>
      </c>
      <c r="F196" s="79">
        <v>0</v>
      </c>
      <c r="G196" s="34"/>
      <c r="H196" s="33">
        <v>0</v>
      </c>
      <c r="I196" s="79">
        <v>0</v>
      </c>
      <c r="J196" s="33">
        <v>-3</v>
      </c>
      <c r="K196" s="79">
        <v>-48.929999999999993</v>
      </c>
      <c r="L196" s="33">
        <f t="shared" si="12"/>
        <v>3</v>
      </c>
      <c r="M196" s="81">
        <f t="shared" si="13"/>
        <v>48.929999999999993</v>
      </c>
      <c r="N196" s="35">
        <f t="shared" si="14"/>
        <v>1</v>
      </c>
    </row>
    <row r="197" spans="1:14" x14ac:dyDescent="0.25">
      <c r="A197" s="75" t="s">
        <v>147</v>
      </c>
      <c r="B197" s="76" t="s">
        <v>146</v>
      </c>
      <c r="C197" s="31">
        <v>17</v>
      </c>
      <c r="D197" s="79">
        <v>83.47</v>
      </c>
      <c r="E197" s="33">
        <v>0</v>
      </c>
      <c r="F197" s="79">
        <v>0</v>
      </c>
      <c r="G197" s="34">
        <f t="shared" si="11"/>
        <v>0</v>
      </c>
      <c r="H197" s="33">
        <v>17</v>
      </c>
      <c r="I197" s="79">
        <v>83.47</v>
      </c>
      <c r="J197" s="33">
        <v>47</v>
      </c>
      <c r="K197" s="79">
        <v>268.74</v>
      </c>
      <c r="L197" s="33">
        <f t="shared" si="12"/>
        <v>-30</v>
      </c>
      <c r="M197" s="81">
        <f t="shared" si="13"/>
        <v>-185.27</v>
      </c>
      <c r="N197" s="35">
        <f t="shared" si="14"/>
        <v>-0.68940239636823697</v>
      </c>
    </row>
    <row r="198" spans="1:14" x14ac:dyDescent="0.25">
      <c r="A198" s="75" t="s">
        <v>149</v>
      </c>
      <c r="B198" s="76" t="s">
        <v>148</v>
      </c>
      <c r="C198" s="31">
        <v>2</v>
      </c>
      <c r="D198" s="79">
        <v>15.24</v>
      </c>
      <c r="E198" s="33">
        <v>0</v>
      </c>
      <c r="F198" s="79">
        <v>0</v>
      </c>
      <c r="G198" s="34">
        <f t="shared" si="11"/>
        <v>0</v>
      </c>
      <c r="H198" s="33">
        <v>2</v>
      </c>
      <c r="I198" s="79">
        <v>15.24</v>
      </c>
      <c r="J198" s="33">
        <v>201</v>
      </c>
      <c r="K198" s="79">
        <v>1469.68</v>
      </c>
      <c r="L198" s="33">
        <f t="shared" si="12"/>
        <v>-199</v>
      </c>
      <c r="M198" s="81">
        <f t="shared" si="13"/>
        <v>-1454.44</v>
      </c>
      <c r="N198" s="35">
        <f t="shared" si="14"/>
        <v>-0.9896303957324043</v>
      </c>
    </row>
    <row r="199" spans="1:14" x14ac:dyDescent="0.25">
      <c r="A199" s="75" t="s">
        <v>550</v>
      </c>
      <c r="B199" s="76" t="s">
        <v>549</v>
      </c>
      <c r="C199" s="31">
        <v>106</v>
      </c>
      <c r="D199" s="79">
        <v>666.8</v>
      </c>
      <c r="E199" s="33">
        <v>0</v>
      </c>
      <c r="F199" s="79">
        <v>0</v>
      </c>
      <c r="G199" s="34">
        <f t="shared" si="11"/>
        <v>0</v>
      </c>
      <c r="H199" s="33">
        <v>106</v>
      </c>
      <c r="I199" s="79">
        <v>666.8</v>
      </c>
      <c r="J199" s="33">
        <v>166</v>
      </c>
      <c r="K199" s="79">
        <v>681.8</v>
      </c>
      <c r="L199" s="33">
        <f t="shared" si="12"/>
        <v>-60</v>
      </c>
      <c r="M199" s="81">
        <f t="shared" si="13"/>
        <v>-15</v>
      </c>
      <c r="N199" s="35">
        <f t="shared" si="14"/>
        <v>-2.2000586682311529E-2</v>
      </c>
    </row>
    <row r="200" spans="1:14" x14ac:dyDescent="0.25">
      <c r="A200" s="75" t="s">
        <v>151</v>
      </c>
      <c r="B200" s="76" t="s">
        <v>150</v>
      </c>
      <c r="C200" s="31">
        <v>88</v>
      </c>
      <c r="D200" s="79">
        <v>576.4</v>
      </c>
      <c r="E200" s="33">
        <v>0</v>
      </c>
      <c r="F200" s="79">
        <v>0</v>
      </c>
      <c r="G200" s="34">
        <f t="shared" si="11"/>
        <v>0</v>
      </c>
      <c r="H200" s="33">
        <v>88</v>
      </c>
      <c r="I200" s="79">
        <v>576.4</v>
      </c>
      <c r="J200" s="33">
        <v>561</v>
      </c>
      <c r="K200" s="79">
        <v>2199.8000000000002</v>
      </c>
      <c r="L200" s="33">
        <f t="shared" si="12"/>
        <v>-473</v>
      </c>
      <c r="M200" s="81">
        <f t="shared" si="13"/>
        <v>-1623.4</v>
      </c>
      <c r="N200" s="35">
        <f t="shared" si="14"/>
        <v>-0.73797617965269569</v>
      </c>
    </row>
    <row r="201" spans="1:14" x14ac:dyDescent="0.25">
      <c r="A201" s="75" t="s">
        <v>153</v>
      </c>
      <c r="B201" s="76" t="s">
        <v>152</v>
      </c>
      <c r="C201" s="31">
        <v>232</v>
      </c>
      <c r="D201" s="79">
        <v>1409.5</v>
      </c>
      <c r="E201" s="33">
        <v>0</v>
      </c>
      <c r="F201" s="79">
        <v>0</v>
      </c>
      <c r="G201" s="34">
        <f t="shared" si="11"/>
        <v>0</v>
      </c>
      <c r="H201" s="33">
        <v>232</v>
      </c>
      <c r="I201" s="79">
        <v>1409.5</v>
      </c>
      <c r="J201" s="33">
        <v>396</v>
      </c>
      <c r="K201" s="79">
        <v>1729.23</v>
      </c>
      <c r="L201" s="33">
        <f t="shared" si="12"/>
        <v>-164</v>
      </c>
      <c r="M201" s="81">
        <f t="shared" si="13"/>
        <v>-319.73</v>
      </c>
      <c r="N201" s="35">
        <f t="shared" si="14"/>
        <v>-0.18489732424258196</v>
      </c>
    </row>
    <row r="202" spans="1:14" x14ac:dyDescent="0.25">
      <c r="A202" s="75" t="s">
        <v>486</v>
      </c>
      <c r="B202" s="76" t="s">
        <v>485</v>
      </c>
      <c r="C202" s="31">
        <v>0</v>
      </c>
      <c r="D202" s="79">
        <v>0</v>
      </c>
      <c r="E202" s="33">
        <v>0</v>
      </c>
      <c r="F202" s="79">
        <v>0</v>
      </c>
      <c r="G202" s="34"/>
      <c r="H202" s="33">
        <v>0</v>
      </c>
      <c r="I202" s="79">
        <v>0</v>
      </c>
      <c r="J202" s="33">
        <v>0</v>
      </c>
      <c r="K202" s="79">
        <v>0</v>
      </c>
      <c r="L202" s="33">
        <f t="shared" si="12"/>
        <v>0</v>
      </c>
      <c r="M202" s="81">
        <f t="shared" si="13"/>
        <v>0</v>
      </c>
      <c r="N202" s="35"/>
    </row>
    <row r="203" spans="1:14" x14ac:dyDescent="0.25">
      <c r="A203" s="75" t="s">
        <v>568</v>
      </c>
      <c r="B203" s="76" t="s">
        <v>567</v>
      </c>
      <c r="C203" s="31">
        <v>117</v>
      </c>
      <c r="D203" s="79">
        <v>1549.9899999999998</v>
      </c>
      <c r="E203" s="33">
        <v>0</v>
      </c>
      <c r="F203" s="79">
        <v>0</v>
      </c>
      <c r="G203" s="34">
        <f t="shared" ref="G203:G266" si="15">F203/I203</f>
        <v>0</v>
      </c>
      <c r="H203" s="33">
        <v>117</v>
      </c>
      <c r="I203" s="79">
        <v>1549.9899999999998</v>
      </c>
      <c r="J203" s="33">
        <v>92</v>
      </c>
      <c r="K203" s="79">
        <v>1449.73</v>
      </c>
      <c r="L203" s="33">
        <f t="shared" si="12"/>
        <v>25</v>
      </c>
      <c r="M203" s="81">
        <f t="shared" si="13"/>
        <v>100.25999999999976</v>
      </c>
      <c r="N203" s="35">
        <f t="shared" si="14"/>
        <v>6.9157705227869848E-2</v>
      </c>
    </row>
    <row r="204" spans="1:14" x14ac:dyDescent="0.25">
      <c r="A204" s="75" t="s">
        <v>155</v>
      </c>
      <c r="B204" s="76" t="s">
        <v>154</v>
      </c>
      <c r="C204" s="31">
        <v>5</v>
      </c>
      <c r="D204" s="79">
        <v>33.400000000000006</v>
      </c>
      <c r="E204" s="33">
        <v>0</v>
      </c>
      <c r="F204" s="79">
        <v>0</v>
      </c>
      <c r="G204" s="34">
        <f t="shared" si="15"/>
        <v>0</v>
      </c>
      <c r="H204" s="33">
        <v>5</v>
      </c>
      <c r="I204" s="79">
        <v>33.400000000000006</v>
      </c>
      <c r="J204" s="33">
        <v>1</v>
      </c>
      <c r="K204" s="79">
        <v>8.11</v>
      </c>
      <c r="L204" s="33">
        <f t="shared" si="12"/>
        <v>4</v>
      </c>
      <c r="M204" s="81">
        <f t="shared" si="13"/>
        <v>25.290000000000006</v>
      </c>
      <c r="N204" s="35">
        <f t="shared" si="14"/>
        <v>3.1183723797780529</v>
      </c>
    </row>
    <row r="205" spans="1:14" x14ac:dyDescent="0.25">
      <c r="A205" s="75" t="s">
        <v>696</v>
      </c>
      <c r="B205" s="76" t="s">
        <v>697</v>
      </c>
      <c r="C205" s="31">
        <v>0</v>
      </c>
      <c r="D205" s="79">
        <v>0</v>
      </c>
      <c r="E205" s="33">
        <v>0</v>
      </c>
      <c r="F205" s="79">
        <v>0</v>
      </c>
      <c r="G205" s="34"/>
      <c r="H205" s="33">
        <v>0</v>
      </c>
      <c r="I205" s="79">
        <v>0</v>
      </c>
      <c r="J205" s="33">
        <v>136</v>
      </c>
      <c r="K205" s="79">
        <v>2220.0700000000002</v>
      </c>
      <c r="L205" s="33">
        <f t="shared" si="12"/>
        <v>-136</v>
      </c>
      <c r="M205" s="81">
        <f t="shared" si="13"/>
        <v>-2220.0700000000002</v>
      </c>
      <c r="N205" s="35">
        <f t="shared" si="14"/>
        <v>-1</v>
      </c>
    </row>
    <row r="206" spans="1:14" x14ac:dyDescent="0.25">
      <c r="A206" s="75" t="s">
        <v>552</v>
      </c>
      <c r="B206" s="76" t="s">
        <v>551</v>
      </c>
      <c r="C206" s="31">
        <v>59</v>
      </c>
      <c r="D206" s="79">
        <v>1445.8600000000001</v>
      </c>
      <c r="E206" s="33">
        <v>1</v>
      </c>
      <c r="F206" s="79">
        <v>29.9</v>
      </c>
      <c r="G206" s="34">
        <f t="shared" si="15"/>
        <v>2.026074700493305E-2</v>
      </c>
      <c r="H206" s="33">
        <v>60</v>
      </c>
      <c r="I206" s="79">
        <v>1475.76</v>
      </c>
      <c r="J206" s="33">
        <v>249</v>
      </c>
      <c r="K206" s="79">
        <v>5594.59</v>
      </c>
      <c r="L206" s="33">
        <f t="shared" si="12"/>
        <v>-189</v>
      </c>
      <c r="M206" s="81">
        <f t="shared" si="13"/>
        <v>-4118.83</v>
      </c>
      <c r="N206" s="35">
        <f t="shared" si="14"/>
        <v>-0.73621659496048864</v>
      </c>
    </row>
    <row r="207" spans="1:14" x14ac:dyDescent="0.25">
      <c r="A207" s="75" t="s">
        <v>157</v>
      </c>
      <c r="B207" s="76" t="s">
        <v>156</v>
      </c>
      <c r="C207" s="31">
        <v>16</v>
      </c>
      <c r="D207" s="79">
        <v>260.95999999999998</v>
      </c>
      <c r="E207" s="33">
        <v>0</v>
      </c>
      <c r="F207" s="79">
        <v>0</v>
      </c>
      <c r="G207" s="34">
        <f t="shared" si="15"/>
        <v>0</v>
      </c>
      <c r="H207" s="33">
        <v>16</v>
      </c>
      <c r="I207" s="79">
        <v>260.95999999999998</v>
      </c>
      <c r="J207" s="33">
        <v>0</v>
      </c>
      <c r="K207" s="79">
        <v>0</v>
      </c>
      <c r="L207" s="33">
        <f t="shared" si="12"/>
        <v>16</v>
      </c>
      <c r="M207" s="81">
        <f t="shared" si="13"/>
        <v>260.95999999999998</v>
      </c>
      <c r="N207" s="35"/>
    </row>
    <row r="208" spans="1:14" x14ac:dyDescent="0.25">
      <c r="A208" s="75" t="s">
        <v>159</v>
      </c>
      <c r="B208" s="76" t="s">
        <v>158</v>
      </c>
      <c r="C208" s="31">
        <v>0</v>
      </c>
      <c r="D208" s="79">
        <v>0</v>
      </c>
      <c r="E208" s="33">
        <v>0</v>
      </c>
      <c r="F208" s="79">
        <v>0</v>
      </c>
      <c r="G208" s="34"/>
      <c r="H208" s="33">
        <v>0</v>
      </c>
      <c r="I208" s="79">
        <v>0</v>
      </c>
      <c r="J208" s="33">
        <v>0</v>
      </c>
      <c r="K208" s="79">
        <v>0</v>
      </c>
      <c r="L208" s="33">
        <f t="shared" si="12"/>
        <v>0</v>
      </c>
      <c r="M208" s="81">
        <f t="shared" si="13"/>
        <v>0</v>
      </c>
      <c r="N208" s="35"/>
    </row>
    <row r="209" spans="1:14" x14ac:dyDescent="0.25">
      <c r="A209" s="75" t="s">
        <v>161</v>
      </c>
      <c r="B209" s="76" t="s">
        <v>160</v>
      </c>
      <c r="C209" s="31">
        <v>152</v>
      </c>
      <c r="D209" s="79">
        <v>984.82</v>
      </c>
      <c r="E209" s="33">
        <v>0</v>
      </c>
      <c r="F209" s="79">
        <v>0</v>
      </c>
      <c r="G209" s="34">
        <f t="shared" si="15"/>
        <v>0</v>
      </c>
      <c r="H209" s="33">
        <v>152</v>
      </c>
      <c r="I209" s="79">
        <v>984.82</v>
      </c>
      <c r="J209" s="33">
        <v>480</v>
      </c>
      <c r="K209" s="79">
        <v>3375.95</v>
      </c>
      <c r="L209" s="33">
        <f t="shared" si="12"/>
        <v>-328</v>
      </c>
      <c r="M209" s="81">
        <f t="shared" si="13"/>
        <v>-2391.1299999999997</v>
      </c>
      <c r="N209" s="35">
        <f t="shared" si="14"/>
        <v>-0.70828359424754506</v>
      </c>
    </row>
    <row r="210" spans="1:14" x14ac:dyDescent="0.25">
      <c r="A210" s="75" t="s">
        <v>163</v>
      </c>
      <c r="B210" s="76" t="s">
        <v>162</v>
      </c>
      <c r="C210" s="31">
        <v>36</v>
      </c>
      <c r="D210" s="79">
        <v>470.74</v>
      </c>
      <c r="E210" s="33">
        <v>0</v>
      </c>
      <c r="F210" s="79">
        <v>0</v>
      </c>
      <c r="G210" s="34">
        <f t="shared" si="15"/>
        <v>0</v>
      </c>
      <c r="H210" s="33">
        <v>36</v>
      </c>
      <c r="I210" s="79">
        <v>470.74</v>
      </c>
      <c r="J210" s="33">
        <v>2347</v>
      </c>
      <c r="K210" s="79">
        <v>28649.1</v>
      </c>
      <c r="L210" s="33">
        <f t="shared" si="12"/>
        <v>-2311</v>
      </c>
      <c r="M210" s="81">
        <f t="shared" si="13"/>
        <v>-28178.359999999997</v>
      </c>
      <c r="N210" s="35">
        <f t="shared" si="14"/>
        <v>-0.98356876830336726</v>
      </c>
    </row>
    <row r="211" spans="1:14" x14ac:dyDescent="0.25">
      <c r="A211" s="75" t="s">
        <v>165</v>
      </c>
      <c r="B211" s="76" t="s">
        <v>164</v>
      </c>
      <c r="C211" s="31">
        <v>22</v>
      </c>
      <c r="D211" s="79">
        <v>449.02</v>
      </c>
      <c r="E211" s="33">
        <v>0</v>
      </c>
      <c r="F211" s="79">
        <v>0</v>
      </c>
      <c r="G211" s="34">
        <f t="shared" si="15"/>
        <v>0</v>
      </c>
      <c r="H211" s="33">
        <v>22</v>
      </c>
      <c r="I211" s="79">
        <v>449.02</v>
      </c>
      <c r="J211" s="33">
        <v>0</v>
      </c>
      <c r="K211" s="79">
        <v>0</v>
      </c>
      <c r="L211" s="33">
        <f t="shared" si="12"/>
        <v>22</v>
      </c>
      <c r="M211" s="81">
        <f t="shared" si="13"/>
        <v>449.02</v>
      </c>
      <c r="N211" s="35"/>
    </row>
    <row r="212" spans="1:14" x14ac:dyDescent="0.25">
      <c r="A212" s="75" t="s">
        <v>167</v>
      </c>
      <c r="B212" s="76" t="s">
        <v>166</v>
      </c>
      <c r="C212" s="31">
        <v>127</v>
      </c>
      <c r="D212" s="79">
        <v>646.71</v>
      </c>
      <c r="E212" s="33">
        <v>0</v>
      </c>
      <c r="F212" s="79">
        <v>0</v>
      </c>
      <c r="G212" s="34">
        <f t="shared" si="15"/>
        <v>0</v>
      </c>
      <c r="H212" s="33">
        <v>127</v>
      </c>
      <c r="I212" s="79">
        <v>646.71</v>
      </c>
      <c r="J212" s="33">
        <v>520</v>
      </c>
      <c r="K212" s="79">
        <v>2518.4499999999998</v>
      </c>
      <c r="L212" s="33">
        <f t="shared" si="12"/>
        <v>-393</v>
      </c>
      <c r="M212" s="81">
        <f t="shared" si="13"/>
        <v>-1871.7399999999998</v>
      </c>
      <c r="N212" s="35">
        <f t="shared" si="14"/>
        <v>-0.74321110206674734</v>
      </c>
    </row>
    <row r="213" spans="1:14" x14ac:dyDescent="0.25">
      <c r="A213" s="75" t="s">
        <v>698</v>
      </c>
      <c r="B213" s="76" t="s">
        <v>699</v>
      </c>
      <c r="C213" s="31">
        <v>0</v>
      </c>
      <c r="D213" s="79">
        <v>0</v>
      </c>
      <c r="E213" s="33">
        <v>0</v>
      </c>
      <c r="F213" s="79">
        <v>0</v>
      </c>
      <c r="G213" s="34"/>
      <c r="H213" s="33">
        <v>0</v>
      </c>
      <c r="I213" s="79">
        <v>0</v>
      </c>
      <c r="J213" s="33">
        <v>0</v>
      </c>
      <c r="K213" s="79">
        <v>0</v>
      </c>
      <c r="L213" s="33">
        <f t="shared" si="12"/>
        <v>0</v>
      </c>
      <c r="M213" s="81">
        <f t="shared" si="13"/>
        <v>0</v>
      </c>
      <c r="N213" s="35"/>
    </row>
    <row r="214" spans="1:14" x14ac:dyDescent="0.25">
      <c r="A214" s="75" t="s">
        <v>169</v>
      </c>
      <c r="B214" s="76" t="s">
        <v>168</v>
      </c>
      <c r="C214" s="31">
        <v>4</v>
      </c>
      <c r="D214" s="79">
        <v>57.82</v>
      </c>
      <c r="E214" s="33">
        <v>0</v>
      </c>
      <c r="F214" s="79">
        <v>0</v>
      </c>
      <c r="G214" s="34">
        <f t="shared" si="15"/>
        <v>0</v>
      </c>
      <c r="H214" s="33">
        <v>4</v>
      </c>
      <c r="I214" s="79">
        <v>57.82</v>
      </c>
      <c r="J214" s="33">
        <v>26</v>
      </c>
      <c r="K214" s="79">
        <v>248.36</v>
      </c>
      <c r="L214" s="33">
        <f t="shared" si="12"/>
        <v>-22</v>
      </c>
      <c r="M214" s="81">
        <f t="shared" si="13"/>
        <v>-190.54000000000002</v>
      </c>
      <c r="N214" s="35">
        <f t="shared" si="14"/>
        <v>-0.76719278466741836</v>
      </c>
    </row>
    <row r="215" spans="1:14" x14ac:dyDescent="0.25">
      <c r="A215" s="75" t="s">
        <v>171</v>
      </c>
      <c r="B215" s="76" t="s">
        <v>170</v>
      </c>
      <c r="C215" s="31">
        <v>293</v>
      </c>
      <c r="D215" s="79">
        <v>4407.8900000000003</v>
      </c>
      <c r="E215" s="33">
        <v>4</v>
      </c>
      <c r="F215" s="79">
        <v>91.6</v>
      </c>
      <c r="G215" s="34">
        <f t="shared" si="15"/>
        <v>2.0357862780003955E-2</v>
      </c>
      <c r="H215" s="33">
        <v>297</v>
      </c>
      <c r="I215" s="79">
        <v>4499.49</v>
      </c>
      <c r="J215" s="33">
        <v>744</v>
      </c>
      <c r="K215" s="79">
        <v>10960.470000000001</v>
      </c>
      <c r="L215" s="33">
        <f t="shared" si="12"/>
        <v>-447</v>
      </c>
      <c r="M215" s="81">
        <f t="shared" si="13"/>
        <v>-6460.9800000000014</v>
      </c>
      <c r="N215" s="35">
        <f t="shared" si="14"/>
        <v>-0.58948019564854437</v>
      </c>
    </row>
    <row r="216" spans="1:14" x14ac:dyDescent="0.25">
      <c r="A216" s="75" t="s">
        <v>173</v>
      </c>
      <c r="B216" s="76" t="s">
        <v>172</v>
      </c>
      <c r="C216" s="31">
        <v>0</v>
      </c>
      <c r="D216" s="79">
        <v>0</v>
      </c>
      <c r="E216" s="33">
        <v>0</v>
      </c>
      <c r="F216" s="79">
        <v>0</v>
      </c>
      <c r="G216" s="34"/>
      <c r="H216" s="33">
        <v>0</v>
      </c>
      <c r="I216" s="79">
        <v>0</v>
      </c>
      <c r="J216" s="33">
        <v>0</v>
      </c>
      <c r="K216" s="79">
        <v>0</v>
      </c>
      <c r="L216" s="33">
        <f t="shared" si="12"/>
        <v>0</v>
      </c>
      <c r="M216" s="81">
        <f t="shared" si="13"/>
        <v>0</v>
      </c>
      <c r="N216" s="35"/>
    </row>
    <row r="217" spans="1:14" x14ac:dyDescent="0.25">
      <c r="A217" s="75" t="s">
        <v>700</v>
      </c>
      <c r="B217" s="76" t="s">
        <v>701</v>
      </c>
      <c r="C217" s="31">
        <v>-1</v>
      </c>
      <c r="D217" s="79">
        <v>-32.700000000000003</v>
      </c>
      <c r="E217" s="33">
        <v>0</v>
      </c>
      <c r="F217" s="79">
        <v>0</v>
      </c>
      <c r="G217" s="34">
        <f t="shared" si="15"/>
        <v>0</v>
      </c>
      <c r="H217" s="33">
        <v>-1</v>
      </c>
      <c r="I217" s="79">
        <v>-32.700000000000003</v>
      </c>
      <c r="J217" s="33">
        <v>1</v>
      </c>
      <c r="K217" s="79">
        <v>31.89</v>
      </c>
      <c r="L217" s="33">
        <f t="shared" si="12"/>
        <v>-2</v>
      </c>
      <c r="M217" s="81">
        <f t="shared" si="13"/>
        <v>-64.59</v>
      </c>
      <c r="N217" s="35">
        <f t="shared" si="14"/>
        <v>-2.0253998118532457</v>
      </c>
    </row>
    <row r="218" spans="1:14" x14ac:dyDescent="0.25">
      <c r="A218" s="75" t="s">
        <v>175</v>
      </c>
      <c r="B218" s="76" t="s">
        <v>174</v>
      </c>
      <c r="C218" s="31">
        <v>0</v>
      </c>
      <c r="D218" s="79">
        <v>0</v>
      </c>
      <c r="E218" s="33">
        <v>0</v>
      </c>
      <c r="F218" s="79">
        <v>0</v>
      </c>
      <c r="G218" s="34"/>
      <c r="H218" s="33">
        <v>0</v>
      </c>
      <c r="I218" s="79">
        <v>0</v>
      </c>
      <c r="J218" s="33">
        <v>0</v>
      </c>
      <c r="K218" s="79">
        <v>0</v>
      </c>
      <c r="L218" s="33">
        <f t="shared" si="12"/>
        <v>0</v>
      </c>
      <c r="M218" s="81">
        <f t="shared" si="13"/>
        <v>0</v>
      </c>
      <c r="N218" s="35"/>
    </row>
    <row r="219" spans="1:14" x14ac:dyDescent="0.25">
      <c r="A219" s="75" t="s">
        <v>702</v>
      </c>
      <c r="B219" s="76" t="s">
        <v>703</v>
      </c>
      <c r="C219" s="31">
        <v>0</v>
      </c>
      <c r="D219" s="79">
        <v>0</v>
      </c>
      <c r="E219" s="33">
        <v>0</v>
      </c>
      <c r="F219" s="79">
        <v>0</v>
      </c>
      <c r="G219" s="34"/>
      <c r="H219" s="33">
        <v>0</v>
      </c>
      <c r="I219" s="79">
        <v>0</v>
      </c>
      <c r="J219" s="33">
        <v>0</v>
      </c>
      <c r="K219" s="79">
        <v>0</v>
      </c>
      <c r="L219" s="33">
        <f t="shared" si="12"/>
        <v>0</v>
      </c>
      <c r="M219" s="81">
        <f t="shared" si="13"/>
        <v>0</v>
      </c>
      <c r="N219" s="35"/>
    </row>
    <row r="220" spans="1:14" x14ac:dyDescent="0.25">
      <c r="A220" s="75" t="s">
        <v>177</v>
      </c>
      <c r="B220" s="76" t="s">
        <v>176</v>
      </c>
      <c r="C220" s="31">
        <v>28</v>
      </c>
      <c r="D220" s="79">
        <v>1469.5</v>
      </c>
      <c r="E220" s="33">
        <v>0</v>
      </c>
      <c r="F220" s="79">
        <v>0</v>
      </c>
      <c r="G220" s="34">
        <f t="shared" si="15"/>
        <v>0</v>
      </c>
      <c r="H220" s="33">
        <v>28</v>
      </c>
      <c r="I220" s="79">
        <v>1469.5</v>
      </c>
      <c r="J220" s="33">
        <v>1</v>
      </c>
      <c r="K220" s="79">
        <v>51.7</v>
      </c>
      <c r="L220" s="33">
        <f t="shared" si="12"/>
        <v>27</v>
      </c>
      <c r="M220" s="81">
        <f t="shared" si="13"/>
        <v>1417.8</v>
      </c>
      <c r="N220" s="35">
        <f t="shared" si="14"/>
        <v>27.423597678916824</v>
      </c>
    </row>
    <row r="221" spans="1:14" x14ac:dyDescent="0.25">
      <c r="A221" s="75" t="s">
        <v>179</v>
      </c>
      <c r="B221" s="76" t="s">
        <v>178</v>
      </c>
      <c r="C221" s="31">
        <v>0</v>
      </c>
      <c r="D221" s="79">
        <v>0</v>
      </c>
      <c r="E221" s="33">
        <v>0</v>
      </c>
      <c r="F221" s="79">
        <v>0</v>
      </c>
      <c r="G221" s="34"/>
      <c r="H221" s="33">
        <v>0</v>
      </c>
      <c r="I221" s="79">
        <v>0</v>
      </c>
      <c r="J221" s="33">
        <v>0</v>
      </c>
      <c r="K221" s="79">
        <v>0</v>
      </c>
      <c r="L221" s="33">
        <f t="shared" si="12"/>
        <v>0</v>
      </c>
      <c r="M221" s="81">
        <f t="shared" si="13"/>
        <v>0</v>
      </c>
      <c r="N221" s="35"/>
    </row>
    <row r="222" spans="1:14" x14ac:dyDescent="0.25">
      <c r="A222" s="75" t="s">
        <v>777</v>
      </c>
      <c r="B222" s="76" t="s">
        <v>778</v>
      </c>
      <c r="C222" s="31">
        <v>0</v>
      </c>
      <c r="D222" s="79">
        <v>0</v>
      </c>
      <c r="E222" s="33">
        <v>0</v>
      </c>
      <c r="F222" s="79">
        <v>0</v>
      </c>
      <c r="G222" s="34"/>
      <c r="H222" s="33">
        <v>0</v>
      </c>
      <c r="I222" s="79">
        <v>0</v>
      </c>
      <c r="J222" s="33">
        <v>0</v>
      </c>
      <c r="K222" s="79">
        <v>0</v>
      </c>
      <c r="L222" s="33">
        <f t="shared" si="12"/>
        <v>0</v>
      </c>
      <c r="M222" s="81">
        <f t="shared" si="13"/>
        <v>0</v>
      </c>
      <c r="N222" s="35"/>
    </row>
    <row r="223" spans="1:14" x14ac:dyDescent="0.25">
      <c r="A223" s="75" t="s">
        <v>181</v>
      </c>
      <c r="B223" s="76" t="s">
        <v>180</v>
      </c>
      <c r="C223" s="31">
        <v>98</v>
      </c>
      <c r="D223" s="79">
        <v>1196.5800000000002</v>
      </c>
      <c r="E223" s="33">
        <v>0</v>
      </c>
      <c r="F223" s="79">
        <v>0</v>
      </c>
      <c r="G223" s="34">
        <f t="shared" si="15"/>
        <v>0</v>
      </c>
      <c r="H223" s="33">
        <v>98</v>
      </c>
      <c r="I223" s="79">
        <v>1196.5800000000002</v>
      </c>
      <c r="J223" s="33">
        <v>440</v>
      </c>
      <c r="K223" s="79">
        <v>4719.18</v>
      </c>
      <c r="L223" s="33">
        <f t="shared" si="12"/>
        <v>-342</v>
      </c>
      <c r="M223" s="81">
        <f t="shared" si="13"/>
        <v>-3522.6000000000004</v>
      </c>
      <c r="N223" s="35">
        <f t="shared" si="14"/>
        <v>-0.74644323802016455</v>
      </c>
    </row>
    <row r="224" spans="1:14" x14ac:dyDescent="0.25">
      <c r="A224" s="75" t="s">
        <v>183</v>
      </c>
      <c r="B224" s="76" t="s">
        <v>182</v>
      </c>
      <c r="C224" s="31">
        <v>0</v>
      </c>
      <c r="D224" s="79">
        <v>0</v>
      </c>
      <c r="E224" s="33">
        <v>0</v>
      </c>
      <c r="F224" s="79">
        <v>0</v>
      </c>
      <c r="G224" s="34"/>
      <c r="H224" s="33">
        <v>0</v>
      </c>
      <c r="I224" s="79">
        <v>0</v>
      </c>
      <c r="J224" s="33">
        <v>0</v>
      </c>
      <c r="K224" s="79">
        <v>0</v>
      </c>
      <c r="L224" s="33">
        <f t="shared" si="12"/>
        <v>0</v>
      </c>
      <c r="M224" s="81">
        <f t="shared" si="13"/>
        <v>0</v>
      </c>
      <c r="N224" s="35"/>
    </row>
    <row r="225" spans="1:14" x14ac:dyDescent="0.25">
      <c r="A225" s="75" t="s">
        <v>704</v>
      </c>
      <c r="B225" s="76" t="s">
        <v>705</v>
      </c>
      <c r="C225" s="31">
        <v>0</v>
      </c>
      <c r="D225" s="79">
        <v>0</v>
      </c>
      <c r="E225" s="33">
        <v>0</v>
      </c>
      <c r="F225" s="79">
        <v>0</v>
      </c>
      <c r="G225" s="34"/>
      <c r="H225" s="33">
        <v>0</v>
      </c>
      <c r="I225" s="79">
        <v>0</v>
      </c>
      <c r="J225" s="33">
        <v>30</v>
      </c>
      <c r="K225" s="79">
        <v>624.28</v>
      </c>
      <c r="L225" s="33">
        <f t="shared" si="12"/>
        <v>-30</v>
      </c>
      <c r="M225" s="81">
        <f t="shared" si="13"/>
        <v>-624.28</v>
      </c>
      <c r="N225" s="35">
        <f t="shared" si="14"/>
        <v>-1</v>
      </c>
    </row>
    <row r="226" spans="1:14" x14ac:dyDescent="0.25">
      <c r="A226" s="75" t="s">
        <v>706</v>
      </c>
      <c r="B226" s="76" t="s">
        <v>707</v>
      </c>
      <c r="C226" s="31">
        <v>0</v>
      </c>
      <c r="D226" s="79">
        <v>0</v>
      </c>
      <c r="E226" s="33">
        <v>0</v>
      </c>
      <c r="F226" s="79">
        <v>0</v>
      </c>
      <c r="G226" s="34"/>
      <c r="H226" s="33">
        <v>0</v>
      </c>
      <c r="I226" s="79">
        <v>0</v>
      </c>
      <c r="J226" s="33">
        <v>0</v>
      </c>
      <c r="K226" s="79">
        <v>0</v>
      </c>
      <c r="L226" s="33">
        <f t="shared" si="12"/>
        <v>0</v>
      </c>
      <c r="M226" s="81">
        <f t="shared" si="13"/>
        <v>0</v>
      </c>
      <c r="N226" s="35"/>
    </row>
    <row r="227" spans="1:14" x14ac:dyDescent="0.25">
      <c r="A227" s="75" t="s">
        <v>185</v>
      </c>
      <c r="B227" s="76" t="s">
        <v>184</v>
      </c>
      <c r="C227" s="31">
        <v>0</v>
      </c>
      <c r="D227" s="79">
        <v>0</v>
      </c>
      <c r="E227" s="33">
        <v>0</v>
      </c>
      <c r="F227" s="79">
        <v>0</v>
      </c>
      <c r="G227" s="34"/>
      <c r="H227" s="33">
        <v>0</v>
      </c>
      <c r="I227" s="79">
        <v>0</v>
      </c>
      <c r="J227" s="33">
        <v>1366</v>
      </c>
      <c r="K227" s="79">
        <v>16762.939999999999</v>
      </c>
      <c r="L227" s="33">
        <f t="shared" si="12"/>
        <v>-1366</v>
      </c>
      <c r="M227" s="81">
        <f t="shared" si="13"/>
        <v>-16762.939999999999</v>
      </c>
      <c r="N227" s="35">
        <f t="shared" si="14"/>
        <v>-1</v>
      </c>
    </row>
    <row r="228" spans="1:14" x14ac:dyDescent="0.25">
      <c r="A228" s="75" t="s">
        <v>187</v>
      </c>
      <c r="B228" s="76" t="s">
        <v>186</v>
      </c>
      <c r="C228" s="31">
        <v>31</v>
      </c>
      <c r="D228" s="79">
        <v>1013.7</v>
      </c>
      <c r="E228" s="33">
        <v>0</v>
      </c>
      <c r="F228" s="79">
        <v>0</v>
      </c>
      <c r="G228" s="34">
        <f t="shared" si="15"/>
        <v>0</v>
      </c>
      <c r="H228" s="33">
        <v>31</v>
      </c>
      <c r="I228" s="79">
        <v>1013.7</v>
      </c>
      <c r="J228" s="33">
        <v>15</v>
      </c>
      <c r="K228" s="79">
        <v>463.90999999999997</v>
      </c>
      <c r="L228" s="33">
        <f t="shared" si="12"/>
        <v>16</v>
      </c>
      <c r="M228" s="81">
        <f t="shared" si="13"/>
        <v>549.79000000000008</v>
      </c>
      <c r="N228" s="35">
        <f t="shared" si="14"/>
        <v>1.1851221142031862</v>
      </c>
    </row>
    <row r="229" spans="1:14" x14ac:dyDescent="0.25">
      <c r="A229" s="75" t="s">
        <v>708</v>
      </c>
      <c r="B229" s="76" t="s">
        <v>709</v>
      </c>
      <c r="C229" s="31">
        <v>0</v>
      </c>
      <c r="D229" s="79">
        <v>0</v>
      </c>
      <c r="E229" s="33">
        <v>0</v>
      </c>
      <c r="F229" s="79">
        <v>0</v>
      </c>
      <c r="G229" s="34"/>
      <c r="H229" s="33">
        <v>0</v>
      </c>
      <c r="I229" s="79">
        <v>0</v>
      </c>
      <c r="J229" s="33">
        <v>0</v>
      </c>
      <c r="K229" s="79">
        <v>0</v>
      </c>
      <c r="L229" s="33">
        <f t="shared" si="12"/>
        <v>0</v>
      </c>
      <c r="M229" s="81">
        <f t="shared" si="13"/>
        <v>0</v>
      </c>
      <c r="N229" s="35"/>
    </row>
    <row r="230" spans="1:14" x14ac:dyDescent="0.25">
      <c r="A230" s="75" t="s">
        <v>189</v>
      </c>
      <c r="B230" s="76" t="s">
        <v>188</v>
      </c>
      <c r="C230" s="31">
        <v>69</v>
      </c>
      <c r="D230" s="79">
        <v>897.62999999999988</v>
      </c>
      <c r="E230" s="33">
        <v>0</v>
      </c>
      <c r="F230" s="79">
        <v>0</v>
      </c>
      <c r="G230" s="34">
        <f t="shared" si="15"/>
        <v>0</v>
      </c>
      <c r="H230" s="33">
        <v>69</v>
      </c>
      <c r="I230" s="79">
        <v>897.62999999999988</v>
      </c>
      <c r="J230" s="33">
        <v>275</v>
      </c>
      <c r="K230" s="79">
        <v>2652.55</v>
      </c>
      <c r="L230" s="33">
        <f t="shared" si="12"/>
        <v>-206</v>
      </c>
      <c r="M230" s="81">
        <f t="shared" si="13"/>
        <v>-1754.9200000000003</v>
      </c>
      <c r="N230" s="35">
        <f t="shared" si="14"/>
        <v>-0.66159733087029471</v>
      </c>
    </row>
    <row r="231" spans="1:14" x14ac:dyDescent="0.25">
      <c r="A231" s="75" t="s">
        <v>191</v>
      </c>
      <c r="B231" s="76" t="s">
        <v>190</v>
      </c>
      <c r="C231" s="31">
        <v>10</v>
      </c>
      <c r="D231" s="79">
        <v>220.5</v>
      </c>
      <c r="E231" s="33">
        <v>0</v>
      </c>
      <c r="F231" s="79">
        <v>0</v>
      </c>
      <c r="G231" s="34">
        <f t="shared" si="15"/>
        <v>0</v>
      </c>
      <c r="H231" s="33">
        <v>10</v>
      </c>
      <c r="I231" s="79">
        <v>220.5</v>
      </c>
      <c r="J231" s="33">
        <v>31</v>
      </c>
      <c r="K231" s="79">
        <v>487.34</v>
      </c>
      <c r="L231" s="33">
        <f t="shared" si="12"/>
        <v>-21</v>
      </c>
      <c r="M231" s="81">
        <f t="shared" si="13"/>
        <v>-266.83999999999997</v>
      </c>
      <c r="N231" s="35">
        <f t="shared" si="14"/>
        <v>-0.5475438092502154</v>
      </c>
    </row>
    <row r="232" spans="1:14" x14ac:dyDescent="0.25">
      <c r="A232" s="75" t="s">
        <v>193</v>
      </c>
      <c r="B232" s="76" t="s">
        <v>192</v>
      </c>
      <c r="C232" s="31">
        <v>7</v>
      </c>
      <c r="D232" s="79">
        <v>68.25</v>
      </c>
      <c r="E232" s="33">
        <v>0</v>
      </c>
      <c r="F232" s="79">
        <v>0</v>
      </c>
      <c r="G232" s="34">
        <f t="shared" si="15"/>
        <v>0</v>
      </c>
      <c r="H232" s="33">
        <v>7</v>
      </c>
      <c r="I232" s="79">
        <v>68.25</v>
      </c>
      <c r="J232" s="33">
        <v>7</v>
      </c>
      <c r="K232" s="79">
        <v>77.990000000000009</v>
      </c>
      <c r="L232" s="33">
        <f t="shared" si="12"/>
        <v>0</v>
      </c>
      <c r="M232" s="81">
        <f t="shared" si="13"/>
        <v>-9.7400000000000091</v>
      </c>
      <c r="N232" s="35">
        <f t="shared" si="14"/>
        <v>-0.124887806128991</v>
      </c>
    </row>
    <row r="233" spans="1:14" x14ac:dyDescent="0.25">
      <c r="A233" s="75" t="s">
        <v>195</v>
      </c>
      <c r="B233" s="76" t="s">
        <v>194</v>
      </c>
      <c r="C233" s="31">
        <v>0</v>
      </c>
      <c r="D233" s="79">
        <v>0</v>
      </c>
      <c r="E233" s="33">
        <v>0</v>
      </c>
      <c r="F233" s="79">
        <v>0</v>
      </c>
      <c r="G233" s="34"/>
      <c r="H233" s="33">
        <v>0</v>
      </c>
      <c r="I233" s="79">
        <v>0</v>
      </c>
      <c r="J233" s="33">
        <v>0</v>
      </c>
      <c r="K233" s="79">
        <v>0</v>
      </c>
      <c r="L233" s="33">
        <f t="shared" si="12"/>
        <v>0</v>
      </c>
      <c r="M233" s="81">
        <f t="shared" si="13"/>
        <v>0</v>
      </c>
      <c r="N233" s="35"/>
    </row>
    <row r="234" spans="1:14" x14ac:dyDescent="0.25">
      <c r="A234" s="75" t="s">
        <v>197</v>
      </c>
      <c r="B234" s="76" t="s">
        <v>196</v>
      </c>
      <c r="C234" s="31">
        <v>0</v>
      </c>
      <c r="D234" s="79">
        <v>0</v>
      </c>
      <c r="E234" s="33">
        <v>0</v>
      </c>
      <c r="F234" s="79">
        <v>0</v>
      </c>
      <c r="G234" s="34"/>
      <c r="H234" s="33">
        <v>0</v>
      </c>
      <c r="I234" s="79">
        <v>0</v>
      </c>
      <c r="J234" s="33">
        <v>4</v>
      </c>
      <c r="K234" s="79">
        <v>48.84</v>
      </c>
      <c r="L234" s="33">
        <f t="shared" si="12"/>
        <v>-4</v>
      </c>
      <c r="M234" s="81">
        <f t="shared" si="13"/>
        <v>-48.84</v>
      </c>
      <c r="N234" s="35">
        <f t="shared" si="14"/>
        <v>-1</v>
      </c>
    </row>
    <row r="235" spans="1:14" x14ac:dyDescent="0.25">
      <c r="A235" s="75" t="s">
        <v>199</v>
      </c>
      <c r="B235" s="76" t="s">
        <v>198</v>
      </c>
      <c r="C235" s="31">
        <v>0</v>
      </c>
      <c r="D235" s="79">
        <v>0</v>
      </c>
      <c r="E235" s="33">
        <v>0</v>
      </c>
      <c r="F235" s="79">
        <v>0</v>
      </c>
      <c r="G235" s="34"/>
      <c r="H235" s="33">
        <v>0</v>
      </c>
      <c r="I235" s="79">
        <v>0</v>
      </c>
      <c r="J235" s="33">
        <v>0</v>
      </c>
      <c r="K235" s="79">
        <v>0</v>
      </c>
      <c r="L235" s="33">
        <f t="shared" si="12"/>
        <v>0</v>
      </c>
      <c r="M235" s="81">
        <f t="shared" si="13"/>
        <v>0</v>
      </c>
      <c r="N235" s="35"/>
    </row>
    <row r="236" spans="1:14" x14ac:dyDescent="0.25">
      <c r="A236" s="75" t="s">
        <v>201</v>
      </c>
      <c r="B236" s="76" t="s">
        <v>200</v>
      </c>
      <c r="C236" s="31">
        <v>28</v>
      </c>
      <c r="D236" s="79">
        <v>686.28</v>
      </c>
      <c r="E236" s="33">
        <v>6</v>
      </c>
      <c r="F236" s="79">
        <v>214.39999999999998</v>
      </c>
      <c r="G236" s="34">
        <f t="shared" si="15"/>
        <v>0.23804236798863077</v>
      </c>
      <c r="H236" s="33">
        <v>34</v>
      </c>
      <c r="I236" s="79">
        <v>900.68000000000006</v>
      </c>
      <c r="J236" s="33">
        <v>63</v>
      </c>
      <c r="K236" s="79">
        <v>1635.1399999999999</v>
      </c>
      <c r="L236" s="33">
        <f t="shared" si="12"/>
        <v>-29</v>
      </c>
      <c r="M236" s="81">
        <f t="shared" si="13"/>
        <v>-734.45999999999981</v>
      </c>
      <c r="N236" s="35">
        <f t="shared" si="14"/>
        <v>-0.44917254791638628</v>
      </c>
    </row>
    <row r="237" spans="1:14" x14ac:dyDescent="0.25">
      <c r="A237" s="75" t="s">
        <v>203</v>
      </c>
      <c r="B237" s="76" t="s">
        <v>202</v>
      </c>
      <c r="C237" s="31">
        <v>6</v>
      </c>
      <c r="D237" s="79">
        <v>164.83999999999997</v>
      </c>
      <c r="E237" s="33">
        <v>0</v>
      </c>
      <c r="F237" s="79">
        <v>0</v>
      </c>
      <c r="G237" s="34">
        <f t="shared" si="15"/>
        <v>0</v>
      </c>
      <c r="H237" s="33">
        <v>6</v>
      </c>
      <c r="I237" s="79">
        <v>164.83999999999997</v>
      </c>
      <c r="J237" s="33">
        <v>17</v>
      </c>
      <c r="K237" s="79">
        <v>448.97</v>
      </c>
      <c r="L237" s="33">
        <f t="shared" si="12"/>
        <v>-11</v>
      </c>
      <c r="M237" s="81">
        <f t="shared" si="13"/>
        <v>-284.13000000000005</v>
      </c>
      <c r="N237" s="35">
        <f t="shared" si="14"/>
        <v>-0.6328485199456535</v>
      </c>
    </row>
    <row r="238" spans="1:14" x14ac:dyDescent="0.25">
      <c r="A238" s="75" t="s">
        <v>205</v>
      </c>
      <c r="B238" s="76" t="s">
        <v>204</v>
      </c>
      <c r="C238" s="31">
        <v>0</v>
      </c>
      <c r="D238" s="79">
        <v>0</v>
      </c>
      <c r="E238" s="33">
        <v>0</v>
      </c>
      <c r="F238" s="79">
        <v>0</v>
      </c>
      <c r="G238" s="34"/>
      <c r="H238" s="33">
        <v>0</v>
      </c>
      <c r="I238" s="79">
        <v>0</v>
      </c>
      <c r="J238" s="33">
        <v>44</v>
      </c>
      <c r="K238" s="79">
        <v>594.07000000000005</v>
      </c>
      <c r="L238" s="33">
        <f t="shared" si="12"/>
        <v>-44</v>
      </c>
      <c r="M238" s="81">
        <f t="shared" si="13"/>
        <v>-594.07000000000005</v>
      </c>
      <c r="N238" s="35">
        <f t="shared" si="14"/>
        <v>-1</v>
      </c>
    </row>
    <row r="239" spans="1:14" x14ac:dyDescent="0.25">
      <c r="A239" s="75" t="s">
        <v>207</v>
      </c>
      <c r="B239" s="76" t="s">
        <v>206</v>
      </c>
      <c r="C239" s="31">
        <v>31</v>
      </c>
      <c r="D239" s="79">
        <v>630.23</v>
      </c>
      <c r="E239" s="33">
        <v>0</v>
      </c>
      <c r="F239" s="79">
        <v>0</v>
      </c>
      <c r="G239" s="34">
        <f t="shared" si="15"/>
        <v>0</v>
      </c>
      <c r="H239" s="33">
        <v>31</v>
      </c>
      <c r="I239" s="79">
        <v>630.23</v>
      </c>
      <c r="J239" s="33">
        <v>289</v>
      </c>
      <c r="K239" s="79">
        <v>5515.11</v>
      </c>
      <c r="L239" s="33">
        <f t="shared" si="12"/>
        <v>-258</v>
      </c>
      <c r="M239" s="81">
        <f t="shared" si="13"/>
        <v>-4884.8799999999992</v>
      </c>
      <c r="N239" s="35">
        <f t="shared" si="14"/>
        <v>-0.88572666728315474</v>
      </c>
    </row>
    <row r="240" spans="1:14" x14ac:dyDescent="0.25">
      <c r="A240" s="75" t="s">
        <v>209</v>
      </c>
      <c r="B240" s="76" t="s">
        <v>208</v>
      </c>
      <c r="C240" s="31">
        <v>0</v>
      </c>
      <c r="D240" s="79">
        <v>0</v>
      </c>
      <c r="E240" s="33">
        <v>0</v>
      </c>
      <c r="F240" s="79">
        <v>0</v>
      </c>
      <c r="G240" s="34"/>
      <c r="H240" s="33">
        <v>0</v>
      </c>
      <c r="I240" s="79">
        <v>0</v>
      </c>
      <c r="J240" s="33">
        <v>0</v>
      </c>
      <c r="K240" s="79">
        <v>0</v>
      </c>
      <c r="L240" s="33">
        <f t="shared" si="12"/>
        <v>0</v>
      </c>
      <c r="M240" s="81">
        <f t="shared" si="13"/>
        <v>0</v>
      </c>
      <c r="N240" s="35"/>
    </row>
    <row r="241" spans="1:14" x14ac:dyDescent="0.25">
      <c r="A241" s="75" t="s">
        <v>211</v>
      </c>
      <c r="B241" s="76" t="s">
        <v>210</v>
      </c>
      <c r="C241" s="31">
        <v>92</v>
      </c>
      <c r="D241" s="79">
        <v>1498.12</v>
      </c>
      <c r="E241" s="33">
        <v>28</v>
      </c>
      <c r="F241" s="79">
        <v>583.24999999999966</v>
      </c>
      <c r="G241" s="34">
        <f t="shared" si="15"/>
        <v>0.28022408317598491</v>
      </c>
      <c r="H241" s="33">
        <v>120</v>
      </c>
      <c r="I241" s="79">
        <v>2081.37</v>
      </c>
      <c r="J241" s="33">
        <v>354</v>
      </c>
      <c r="K241" s="79">
        <v>5902.26</v>
      </c>
      <c r="L241" s="33">
        <f t="shared" si="12"/>
        <v>-234</v>
      </c>
      <c r="M241" s="81">
        <f t="shared" si="13"/>
        <v>-3820.8900000000003</v>
      </c>
      <c r="N241" s="35">
        <f t="shared" si="14"/>
        <v>-0.64736050258714462</v>
      </c>
    </row>
    <row r="242" spans="1:14" x14ac:dyDescent="0.25">
      <c r="A242" s="75" t="s">
        <v>213</v>
      </c>
      <c r="B242" s="76" t="s">
        <v>212</v>
      </c>
      <c r="C242" s="31">
        <v>0</v>
      </c>
      <c r="D242" s="79">
        <v>0</v>
      </c>
      <c r="E242" s="33">
        <v>0</v>
      </c>
      <c r="F242" s="79">
        <v>0</v>
      </c>
      <c r="G242" s="34"/>
      <c r="H242" s="33">
        <v>0</v>
      </c>
      <c r="I242" s="79">
        <v>0</v>
      </c>
      <c r="J242" s="33">
        <v>0</v>
      </c>
      <c r="K242" s="79">
        <v>0</v>
      </c>
      <c r="L242" s="33">
        <f t="shared" si="12"/>
        <v>0</v>
      </c>
      <c r="M242" s="81">
        <f t="shared" si="13"/>
        <v>0</v>
      </c>
      <c r="N242" s="35"/>
    </row>
    <row r="243" spans="1:14" x14ac:dyDescent="0.25">
      <c r="A243" s="75" t="s">
        <v>215</v>
      </c>
      <c r="B243" s="76" t="s">
        <v>214</v>
      </c>
      <c r="C243" s="31">
        <v>34</v>
      </c>
      <c r="D243" s="79">
        <v>569.66</v>
      </c>
      <c r="E243" s="33">
        <v>0</v>
      </c>
      <c r="F243" s="79">
        <v>0</v>
      </c>
      <c r="G243" s="34">
        <f t="shared" si="15"/>
        <v>0</v>
      </c>
      <c r="H243" s="33">
        <v>34</v>
      </c>
      <c r="I243" s="79">
        <v>569.66</v>
      </c>
      <c r="J243" s="33">
        <v>46</v>
      </c>
      <c r="K243" s="79">
        <v>804.56</v>
      </c>
      <c r="L243" s="33">
        <f t="shared" si="12"/>
        <v>-12</v>
      </c>
      <c r="M243" s="81">
        <f t="shared" si="13"/>
        <v>-234.89999999999998</v>
      </c>
      <c r="N243" s="35">
        <f t="shared" si="14"/>
        <v>-0.29196082330714923</v>
      </c>
    </row>
    <row r="244" spans="1:14" x14ac:dyDescent="0.25">
      <c r="A244" s="75" t="s">
        <v>217</v>
      </c>
      <c r="B244" s="76" t="s">
        <v>216</v>
      </c>
      <c r="C244" s="31">
        <v>407</v>
      </c>
      <c r="D244" s="79">
        <v>5660.36</v>
      </c>
      <c r="E244" s="33">
        <v>141</v>
      </c>
      <c r="F244" s="79">
        <v>3148.6700000000023</v>
      </c>
      <c r="G244" s="34">
        <f t="shared" si="15"/>
        <v>0.35743663036679424</v>
      </c>
      <c r="H244" s="33">
        <v>548</v>
      </c>
      <c r="I244" s="79">
        <v>8809.0300000000025</v>
      </c>
      <c r="J244" s="33">
        <v>2042</v>
      </c>
      <c r="K244" s="79">
        <v>42605.630000000005</v>
      </c>
      <c r="L244" s="33">
        <f t="shared" si="12"/>
        <v>-1494</v>
      </c>
      <c r="M244" s="81">
        <f t="shared" si="13"/>
        <v>-33796.600000000006</v>
      </c>
      <c r="N244" s="35">
        <f t="shared" si="14"/>
        <v>-0.7932425831985116</v>
      </c>
    </row>
    <row r="245" spans="1:14" x14ac:dyDescent="0.25">
      <c r="A245" s="75" t="s">
        <v>219</v>
      </c>
      <c r="B245" s="76" t="s">
        <v>218</v>
      </c>
      <c r="C245" s="31">
        <v>78</v>
      </c>
      <c r="D245" s="79">
        <v>824.46</v>
      </c>
      <c r="E245" s="33">
        <v>0</v>
      </c>
      <c r="F245" s="79">
        <v>0</v>
      </c>
      <c r="G245" s="34">
        <f t="shared" si="15"/>
        <v>0</v>
      </c>
      <c r="H245" s="33">
        <v>78</v>
      </c>
      <c r="I245" s="79">
        <v>824.46</v>
      </c>
      <c r="J245" s="33">
        <v>186</v>
      </c>
      <c r="K245" s="79">
        <v>3027.92</v>
      </c>
      <c r="L245" s="33">
        <f t="shared" si="12"/>
        <v>-108</v>
      </c>
      <c r="M245" s="81">
        <f t="shared" si="13"/>
        <v>-2203.46</v>
      </c>
      <c r="N245" s="35">
        <f t="shared" si="14"/>
        <v>-0.72771407434806734</v>
      </c>
    </row>
    <row r="246" spans="1:14" x14ac:dyDescent="0.25">
      <c r="A246" s="75" t="s">
        <v>221</v>
      </c>
      <c r="B246" s="76" t="s">
        <v>220</v>
      </c>
      <c r="C246" s="31">
        <v>4</v>
      </c>
      <c r="D246" s="79">
        <v>53.210000000000008</v>
      </c>
      <c r="E246" s="33">
        <v>0</v>
      </c>
      <c r="F246" s="79">
        <v>0</v>
      </c>
      <c r="G246" s="34">
        <f t="shared" si="15"/>
        <v>0</v>
      </c>
      <c r="H246" s="33">
        <v>4</v>
      </c>
      <c r="I246" s="79">
        <v>53.210000000000008</v>
      </c>
      <c r="J246" s="33">
        <v>35</v>
      </c>
      <c r="K246" s="79">
        <v>464.97</v>
      </c>
      <c r="L246" s="33">
        <f t="shared" si="12"/>
        <v>-31</v>
      </c>
      <c r="M246" s="81">
        <f t="shared" si="13"/>
        <v>-411.76</v>
      </c>
      <c r="N246" s="35">
        <f t="shared" si="14"/>
        <v>-0.88556250940920911</v>
      </c>
    </row>
    <row r="247" spans="1:14" x14ac:dyDescent="0.25">
      <c r="A247" s="75" t="s">
        <v>710</v>
      </c>
      <c r="B247" s="76" t="s">
        <v>711</v>
      </c>
      <c r="C247" s="31">
        <v>0</v>
      </c>
      <c r="D247" s="79">
        <v>0</v>
      </c>
      <c r="E247" s="33">
        <v>0</v>
      </c>
      <c r="F247" s="79">
        <v>0</v>
      </c>
      <c r="G247" s="34"/>
      <c r="H247" s="33">
        <v>0</v>
      </c>
      <c r="I247" s="79">
        <v>0</v>
      </c>
      <c r="J247" s="33">
        <v>2</v>
      </c>
      <c r="K247" s="79">
        <v>27.72</v>
      </c>
      <c r="L247" s="33">
        <f t="shared" si="12"/>
        <v>-2</v>
      </c>
      <c r="M247" s="81">
        <f t="shared" si="13"/>
        <v>-27.72</v>
      </c>
      <c r="N247" s="35">
        <f t="shared" si="14"/>
        <v>-1</v>
      </c>
    </row>
    <row r="248" spans="1:14" x14ac:dyDescent="0.25">
      <c r="A248" s="75" t="s">
        <v>712</v>
      </c>
      <c r="B248" s="76" t="s">
        <v>713</v>
      </c>
      <c r="C248" s="31">
        <v>0</v>
      </c>
      <c r="D248" s="79">
        <v>0</v>
      </c>
      <c r="E248" s="33">
        <v>267</v>
      </c>
      <c r="F248" s="79">
        <v>10658.299999999992</v>
      </c>
      <c r="G248" s="34">
        <f t="shared" si="15"/>
        <v>1</v>
      </c>
      <c r="H248" s="33">
        <v>267</v>
      </c>
      <c r="I248" s="79">
        <v>10658.299999999992</v>
      </c>
      <c r="J248" s="33">
        <v>0</v>
      </c>
      <c r="K248" s="79">
        <v>0</v>
      </c>
      <c r="L248" s="33">
        <f t="shared" si="12"/>
        <v>267</v>
      </c>
      <c r="M248" s="81">
        <f t="shared" si="13"/>
        <v>10658.299999999992</v>
      </c>
      <c r="N248" s="35"/>
    </row>
    <row r="249" spans="1:14" x14ac:dyDescent="0.25">
      <c r="A249" s="75" t="s">
        <v>223</v>
      </c>
      <c r="B249" s="76" t="s">
        <v>222</v>
      </c>
      <c r="C249" s="31">
        <v>5</v>
      </c>
      <c r="D249" s="79">
        <v>56.13</v>
      </c>
      <c r="E249" s="33">
        <v>392</v>
      </c>
      <c r="F249" s="79">
        <v>6424.8000000000065</v>
      </c>
      <c r="G249" s="34">
        <f t="shared" si="15"/>
        <v>0.99133920594729463</v>
      </c>
      <c r="H249" s="33">
        <v>397</v>
      </c>
      <c r="I249" s="79">
        <v>6480.9300000000067</v>
      </c>
      <c r="J249" s="33">
        <v>1454</v>
      </c>
      <c r="K249" s="79">
        <v>13896.880000000001</v>
      </c>
      <c r="L249" s="33">
        <f t="shared" si="12"/>
        <v>-1057</v>
      </c>
      <c r="M249" s="81">
        <f t="shared" si="13"/>
        <v>-7415.9499999999944</v>
      </c>
      <c r="N249" s="35">
        <f t="shared" si="14"/>
        <v>-0.53364136410474827</v>
      </c>
    </row>
    <row r="250" spans="1:14" x14ac:dyDescent="0.25">
      <c r="A250" s="75" t="s">
        <v>225</v>
      </c>
      <c r="B250" s="76" t="s">
        <v>224</v>
      </c>
      <c r="C250" s="31">
        <v>211</v>
      </c>
      <c r="D250" s="79">
        <v>1901.1100000000001</v>
      </c>
      <c r="E250" s="33">
        <v>0</v>
      </c>
      <c r="F250" s="79">
        <v>0</v>
      </c>
      <c r="G250" s="34">
        <f t="shared" si="15"/>
        <v>0</v>
      </c>
      <c r="H250" s="33">
        <v>211</v>
      </c>
      <c r="I250" s="79">
        <v>1901.1100000000001</v>
      </c>
      <c r="J250" s="33">
        <v>1703</v>
      </c>
      <c r="K250" s="79">
        <v>13222.41</v>
      </c>
      <c r="L250" s="33">
        <f t="shared" si="12"/>
        <v>-1492</v>
      </c>
      <c r="M250" s="81">
        <f t="shared" si="13"/>
        <v>-11321.3</v>
      </c>
      <c r="N250" s="35">
        <f t="shared" si="14"/>
        <v>-0.85622061333750799</v>
      </c>
    </row>
    <row r="251" spans="1:14" x14ac:dyDescent="0.25">
      <c r="A251" s="75" t="s">
        <v>227</v>
      </c>
      <c r="B251" s="76" t="s">
        <v>226</v>
      </c>
      <c r="C251" s="31">
        <v>0</v>
      </c>
      <c r="D251" s="79">
        <v>0</v>
      </c>
      <c r="E251" s="33">
        <v>0</v>
      </c>
      <c r="F251" s="79">
        <v>0</v>
      </c>
      <c r="G251" s="34"/>
      <c r="H251" s="33">
        <v>0</v>
      </c>
      <c r="I251" s="79">
        <v>0</v>
      </c>
      <c r="J251" s="33">
        <v>40</v>
      </c>
      <c r="K251" s="79">
        <v>536.85</v>
      </c>
      <c r="L251" s="33">
        <f t="shared" si="12"/>
        <v>-40</v>
      </c>
      <c r="M251" s="81">
        <f t="shared" si="13"/>
        <v>-536.85</v>
      </c>
      <c r="N251" s="35">
        <f t="shared" si="14"/>
        <v>-1</v>
      </c>
    </row>
    <row r="252" spans="1:14" x14ac:dyDescent="0.25">
      <c r="A252" s="75" t="s">
        <v>229</v>
      </c>
      <c r="B252" s="76" t="s">
        <v>228</v>
      </c>
      <c r="C252" s="31">
        <v>0</v>
      </c>
      <c r="D252" s="79">
        <v>0</v>
      </c>
      <c r="E252" s="33">
        <v>44</v>
      </c>
      <c r="F252" s="79">
        <v>1755.5999999999995</v>
      </c>
      <c r="G252" s="34">
        <f t="shared" si="15"/>
        <v>1</v>
      </c>
      <c r="H252" s="33">
        <v>44</v>
      </c>
      <c r="I252" s="79">
        <v>1755.5999999999995</v>
      </c>
      <c r="J252" s="33">
        <v>0</v>
      </c>
      <c r="K252" s="79">
        <v>0</v>
      </c>
      <c r="L252" s="33">
        <f t="shared" si="12"/>
        <v>44</v>
      </c>
      <c r="M252" s="81">
        <f t="shared" si="13"/>
        <v>1755.5999999999995</v>
      </c>
      <c r="N252" s="35"/>
    </row>
    <row r="253" spans="1:14" x14ac:dyDescent="0.25">
      <c r="A253" s="75" t="s">
        <v>231</v>
      </c>
      <c r="B253" s="76" t="s">
        <v>230</v>
      </c>
      <c r="C253" s="31">
        <v>14</v>
      </c>
      <c r="D253" s="79">
        <v>578.22</v>
      </c>
      <c r="E253" s="33">
        <v>0</v>
      </c>
      <c r="F253" s="79">
        <v>0</v>
      </c>
      <c r="G253" s="34">
        <f t="shared" si="15"/>
        <v>0</v>
      </c>
      <c r="H253" s="33">
        <v>14</v>
      </c>
      <c r="I253" s="79">
        <v>578.22</v>
      </c>
      <c r="J253" s="33">
        <v>196</v>
      </c>
      <c r="K253" s="79">
        <v>8244.36</v>
      </c>
      <c r="L253" s="33">
        <f t="shared" si="12"/>
        <v>-182</v>
      </c>
      <c r="M253" s="81">
        <f t="shared" si="13"/>
        <v>-7666.14</v>
      </c>
      <c r="N253" s="35">
        <f t="shared" si="14"/>
        <v>-0.92986478028615926</v>
      </c>
    </row>
    <row r="254" spans="1:14" x14ac:dyDescent="0.25">
      <c r="A254" s="75" t="s">
        <v>233</v>
      </c>
      <c r="B254" s="76" t="s">
        <v>232</v>
      </c>
      <c r="C254" s="31">
        <v>66</v>
      </c>
      <c r="D254" s="79">
        <v>3781.8</v>
      </c>
      <c r="E254" s="33">
        <v>5</v>
      </c>
      <c r="F254" s="79">
        <v>349.5</v>
      </c>
      <c r="G254" s="34">
        <f t="shared" si="15"/>
        <v>8.4598068404618393E-2</v>
      </c>
      <c r="H254" s="33">
        <v>71</v>
      </c>
      <c r="I254" s="79">
        <v>4131.3</v>
      </c>
      <c r="J254" s="33">
        <v>350</v>
      </c>
      <c r="K254" s="79">
        <v>17946.43</v>
      </c>
      <c r="L254" s="33">
        <f t="shared" si="12"/>
        <v>-279</v>
      </c>
      <c r="M254" s="81">
        <f t="shared" si="13"/>
        <v>-13815.130000000001</v>
      </c>
      <c r="N254" s="35">
        <f t="shared" si="14"/>
        <v>-0.76979822727974312</v>
      </c>
    </row>
    <row r="255" spans="1:14" x14ac:dyDescent="0.25">
      <c r="A255" s="75" t="s">
        <v>235</v>
      </c>
      <c r="B255" s="76" t="s">
        <v>234</v>
      </c>
      <c r="C255" s="31">
        <v>5</v>
      </c>
      <c r="D255" s="79">
        <v>24.55</v>
      </c>
      <c r="E255" s="33">
        <v>0</v>
      </c>
      <c r="F255" s="79">
        <v>0</v>
      </c>
      <c r="G255" s="34">
        <f t="shared" si="15"/>
        <v>0</v>
      </c>
      <c r="H255" s="33">
        <v>5</v>
      </c>
      <c r="I255" s="79">
        <v>24.55</v>
      </c>
      <c r="J255" s="33">
        <v>32</v>
      </c>
      <c r="K255" s="79">
        <v>128.63999999999999</v>
      </c>
      <c r="L255" s="33">
        <f t="shared" si="12"/>
        <v>-27</v>
      </c>
      <c r="M255" s="81">
        <f t="shared" si="13"/>
        <v>-104.08999999999999</v>
      </c>
      <c r="N255" s="35">
        <f t="shared" si="14"/>
        <v>-0.80915733830845771</v>
      </c>
    </row>
    <row r="256" spans="1:14" x14ac:dyDescent="0.25">
      <c r="A256" s="75" t="s">
        <v>237</v>
      </c>
      <c r="B256" s="76" t="s">
        <v>236</v>
      </c>
      <c r="C256" s="31">
        <v>12</v>
      </c>
      <c r="D256" s="79">
        <v>195.71999999999997</v>
      </c>
      <c r="E256" s="33">
        <v>0</v>
      </c>
      <c r="F256" s="79">
        <v>0</v>
      </c>
      <c r="G256" s="34">
        <f t="shared" si="15"/>
        <v>0</v>
      </c>
      <c r="H256" s="33">
        <v>12</v>
      </c>
      <c r="I256" s="79">
        <v>195.71999999999997</v>
      </c>
      <c r="J256" s="33">
        <v>6</v>
      </c>
      <c r="K256" s="79">
        <v>97.859999999999985</v>
      </c>
      <c r="L256" s="33">
        <f t="shared" si="12"/>
        <v>6</v>
      </c>
      <c r="M256" s="81">
        <f t="shared" si="13"/>
        <v>97.859999999999985</v>
      </c>
      <c r="N256" s="35">
        <f t="shared" si="14"/>
        <v>1</v>
      </c>
    </row>
    <row r="257" spans="1:14" x14ac:dyDescent="0.25">
      <c r="A257" s="75" t="s">
        <v>239</v>
      </c>
      <c r="B257" s="76" t="s">
        <v>238</v>
      </c>
      <c r="C257" s="31">
        <v>0</v>
      </c>
      <c r="D257" s="79">
        <v>0</v>
      </c>
      <c r="E257" s="33">
        <v>70</v>
      </c>
      <c r="F257" s="79">
        <v>5452.0000000000018</v>
      </c>
      <c r="G257" s="34">
        <f t="shared" si="15"/>
        <v>1</v>
      </c>
      <c r="H257" s="33">
        <v>70</v>
      </c>
      <c r="I257" s="79">
        <v>5452.0000000000018</v>
      </c>
      <c r="J257" s="33">
        <v>0</v>
      </c>
      <c r="K257" s="79">
        <v>0</v>
      </c>
      <c r="L257" s="33">
        <f t="shared" si="12"/>
        <v>70</v>
      </c>
      <c r="M257" s="81">
        <f t="shared" si="13"/>
        <v>5452.0000000000018</v>
      </c>
      <c r="N257" s="35"/>
    </row>
    <row r="258" spans="1:14" x14ac:dyDescent="0.25">
      <c r="A258" s="75" t="s">
        <v>241</v>
      </c>
      <c r="B258" s="76" t="s">
        <v>240</v>
      </c>
      <c r="C258" s="31">
        <v>2</v>
      </c>
      <c r="D258" s="79">
        <v>55.32</v>
      </c>
      <c r="E258" s="33">
        <v>0</v>
      </c>
      <c r="F258" s="79">
        <v>0</v>
      </c>
      <c r="G258" s="34">
        <f t="shared" si="15"/>
        <v>0</v>
      </c>
      <c r="H258" s="33">
        <v>2</v>
      </c>
      <c r="I258" s="79">
        <v>55.32</v>
      </c>
      <c r="J258" s="33">
        <v>18</v>
      </c>
      <c r="K258" s="79">
        <v>513.98</v>
      </c>
      <c r="L258" s="33">
        <f t="shared" si="12"/>
        <v>-16</v>
      </c>
      <c r="M258" s="81">
        <f t="shared" si="13"/>
        <v>-458.66</v>
      </c>
      <c r="N258" s="35">
        <f t="shared" si="14"/>
        <v>-0.8923693528931087</v>
      </c>
    </row>
    <row r="259" spans="1:14" x14ac:dyDescent="0.25">
      <c r="A259" s="75" t="s">
        <v>243</v>
      </c>
      <c r="B259" s="76" t="s">
        <v>242</v>
      </c>
      <c r="C259" s="31">
        <v>12</v>
      </c>
      <c r="D259" s="79">
        <v>159.84</v>
      </c>
      <c r="E259" s="33">
        <v>0</v>
      </c>
      <c r="F259" s="79">
        <v>0</v>
      </c>
      <c r="G259" s="34">
        <f t="shared" si="15"/>
        <v>0</v>
      </c>
      <c r="H259" s="33">
        <v>12</v>
      </c>
      <c r="I259" s="79">
        <v>159.84</v>
      </c>
      <c r="J259" s="33">
        <v>266</v>
      </c>
      <c r="K259" s="79">
        <v>3247.86</v>
      </c>
      <c r="L259" s="33">
        <f t="shared" ref="L259:L322" si="16">H259-J259</f>
        <v>-254</v>
      </c>
      <c r="M259" s="81">
        <f t="shared" ref="M259:M322" si="17">I259-K259</f>
        <v>-3088.02</v>
      </c>
      <c r="N259" s="35">
        <f t="shared" ref="N259:N322" si="18">M259/ABS(K259)</f>
        <v>-0.95078605604921385</v>
      </c>
    </row>
    <row r="260" spans="1:14" x14ac:dyDescent="0.25">
      <c r="A260" s="75" t="s">
        <v>245</v>
      </c>
      <c r="B260" s="76" t="s">
        <v>244</v>
      </c>
      <c r="C260" s="31">
        <v>0</v>
      </c>
      <c r="D260" s="79">
        <v>0</v>
      </c>
      <c r="E260" s="33">
        <v>0</v>
      </c>
      <c r="F260" s="79">
        <v>0</v>
      </c>
      <c r="G260" s="34"/>
      <c r="H260" s="33">
        <v>0</v>
      </c>
      <c r="I260" s="79">
        <v>0</v>
      </c>
      <c r="J260" s="33">
        <v>0</v>
      </c>
      <c r="K260" s="79">
        <v>0</v>
      </c>
      <c r="L260" s="33">
        <f t="shared" si="16"/>
        <v>0</v>
      </c>
      <c r="M260" s="81">
        <f t="shared" si="17"/>
        <v>0</v>
      </c>
      <c r="N260" s="35"/>
    </row>
    <row r="261" spans="1:14" x14ac:dyDescent="0.25">
      <c r="A261" s="75" t="s">
        <v>247</v>
      </c>
      <c r="B261" s="76" t="s">
        <v>246</v>
      </c>
      <c r="C261" s="31">
        <v>26</v>
      </c>
      <c r="D261" s="79">
        <v>581.37</v>
      </c>
      <c r="E261" s="33">
        <v>0</v>
      </c>
      <c r="F261" s="79">
        <v>0</v>
      </c>
      <c r="G261" s="34">
        <f t="shared" si="15"/>
        <v>0</v>
      </c>
      <c r="H261" s="33">
        <v>26</v>
      </c>
      <c r="I261" s="79">
        <v>581.37</v>
      </c>
      <c r="J261" s="33">
        <v>30</v>
      </c>
      <c r="K261" s="79">
        <v>707.72</v>
      </c>
      <c r="L261" s="33">
        <f t="shared" si="16"/>
        <v>-4</v>
      </c>
      <c r="M261" s="81">
        <f t="shared" si="17"/>
        <v>-126.35000000000002</v>
      </c>
      <c r="N261" s="35">
        <f t="shared" si="18"/>
        <v>-0.1785310574803595</v>
      </c>
    </row>
    <row r="262" spans="1:14" x14ac:dyDescent="0.25">
      <c r="A262" s="75" t="s">
        <v>249</v>
      </c>
      <c r="B262" s="76" t="s">
        <v>248</v>
      </c>
      <c r="C262" s="31">
        <v>0</v>
      </c>
      <c r="D262" s="79">
        <v>0</v>
      </c>
      <c r="E262" s="33">
        <v>0</v>
      </c>
      <c r="F262" s="79">
        <v>0</v>
      </c>
      <c r="G262" s="34"/>
      <c r="H262" s="33">
        <v>0</v>
      </c>
      <c r="I262" s="79">
        <v>0</v>
      </c>
      <c r="J262" s="33">
        <v>4</v>
      </c>
      <c r="K262" s="79">
        <v>48.84</v>
      </c>
      <c r="L262" s="33">
        <f t="shared" si="16"/>
        <v>-4</v>
      </c>
      <c r="M262" s="81">
        <f t="shared" si="17"/>
        <v>-48.84</v>
      </c>
      <c r="N262" s="35">
        <f t="shared" si="18"/>
        <v>-1</v>
      </c>
    </row>
    <row r="263" spans="1:14" x14ac:dyDescent="0.25">
      <c r="A263" s="75" t="s">
        <v>251</v>
      </c>
      <c r="B263" s="76" t="s">
        <v>250</v>
      </c>
      <c r="C263" s="31">
        <v>18</v>
      </c>
      <c r="D263" s="79">
        <v>91.76</v>
      </c>
      <c r="E263" s="33">
        <v>0</v>
      </c>
      <c r="F263" s="79">
        <v>0</v>
      </c>
      <c r="G263" s="34">
        <f t="shared" si="15"/>
        <v>0</v>
      </c>
      <c r="H263" s="33">
        <v>18</v>
      </c>
      <c r="I263" s="79">
        <v>91.76</v>
      </c>
      <c r="J263" s="33">
        <v>41</v>
      </c>
      <c r="K263" s="79">
        <v>278.17</v>
      </c>
      <c r="L263" s="33">
        <f t="shared" si="16"/>
        <v>-23</v>
      </c>
      <c r="M263" s="81">
        <f t="shared" si="17"/>
        <v>-186.41000000000003</v>
      </c>
      <c r="N263" s="35">
        <f t="shared" si="18"/>
        <v>-0.67012977675522167</v>
      </c>
    </row>
    <row r="264" spans="1:14" x14ac:dyDescent="0.25">
      <c r="A264" s="75" t="s">
        <v>253</v>
      </c>
      <c r="B264" s="76" t="s">
        <v>252</v>
      </c>
      <c r="C264" s="31">
        <v>0</v>
      </c>
      <c r="D264" s="79">
        <v>0</v>
      </c>
      <c r="E264" s="33">
        <v>0</v>
      </c>
      <c r="F264" s="79">
        <v>0</v>
      </c>
      <c r="G264" s="34"/>
      <c r="H264" s="33">
        <v>0</v>
      </c>
      <c r="I264" s="79">
        <v>0</v>
      </c>
      <c r="J264" s="33">
        <v>22</v>
      </c>
      <c r="K264" s="79">
        <v>199.73999999999998</v>
      </c>
      <c r="L264" s="33">
        <f t="shared" si="16"/>
        <v>-22</v>
      </c>
      <c r="M264" s="81">
        <f t="shared" si="17"/>
        <v>-199.73999999999998</v>
      </c>
      <c r="N264" s="35">
        <f t="shared" si="18"/>
        <v>-1</v>
      </c>
    </row>
    <row r="265" spans="1:14" x14ac:dyDescent="0.25">
      <c r="A265" s="75" t="s">
        <v>255</v>
      </c>
      <c r="B265" s="76" t="s">
        <v>254</v>
      </c>
      <c r="C265" s="31">
        <v>0</v>
      </c>
      <c r="D265" s="79">
        <v>0</v>
      </c>
      <c r="E265" s="33">
        <v>0</v>
      </c>
      <c r="F265" s="79">
        <v>0</v>
      </c>
      <c r="G265" s="34"/>
      <c r="H265" s="33">
        <v>0</v>
      </c>
      <c r="I265" s="79">
        <v>0</v>
      </c>
      <c r="J265" s="33">
        <v>0</v>
      </c>
      <c r="K265" s="79">
        <v>0</v>
      </c>
      <c r="L265" s="33">
        <f t="shared" si="16"/>
        <v>0</v>
      </c>
      <c r="M265" s="81">
        <f t="shared" si="17"/>
        <v>0</v>
      </c>
      <c r="N265" s="35"/>
    </row>
    <row r="266" spans="1:14" x14ac:dyDescent="0.25">
      <c r="A266" s="75" t="s">
        <v>257</v>
      </c>
      <c r="B266" s="76" t="s">
        <v>256</v>
      </c>
      <c r="C266" s="31">
        <v>4</v>
      </c>
      <c r="D266" s="79">
        <v>61.32</v>
      </c>
      <c r="E266" s="33">
        <v>0</v>
      </c>
      <c r="F266" s="79">
        <v>0</v>
      </c>
      <c r="G266" s="34">
        <f t="shared" si="15"/>
        <v>0</v>
      </c>
      <c r="H266" s="33">
        <v>4</v>
      </c>
      <c r="I266" s="79">
        <v>61.32</v>
      </c>
      <c r="J266" s="33">
        <v>9</v>
      </c>
      <c r="K266" s="79">
        <v>99.73</v>
      </c>
      <c r="L266" s="33">
        <f t="shared" si="16"/>
        <v>-5</v>
      </c>
      <c r="M266" s="81">
        <f t="shared" si="17"/>
        <v>-38.410000000000004</v>
      </c>
      <c r="N266" s="35">
        <f t="shared" si="18"/>
        <v>-0.38513987766970825</v>
      </c>
    </row>
    <row r="267" spans="1:14" x14ac:dyDescent="0.25">
      <c r="A267" s="75" t="s">
        <v>259</v>
      </c>
      <c r="B267" s="76" t="s">
        <v>258</v>
      </c>
      <c r="C267" s="31">
        <v>0</v>
      </c>
      <c r="D267" s="79">
        <v>0</v>
      </c>
      <c r="E267" s="33">
        <v>0</v>
      </c>
      <c r="F267" s="79">
        <v>0</v>
      </c>
      <c r="G267" s="34"/>
      <c r="H267" s="33">
        <v>0</v>
      </c>
      <c r="I267" s="79">
        <v>0</v>
      </c>
      <c r="J267" s="33">
        <v>0</v>
      </c>
      <c r="K267" s="79">
        <v>0</v>
      </c>
      <c r="L267" s="33">
        <f t="shared" si="16"/>
        <v>0</v>
      </c>
      <c r="M267" s="81">
        <f t="shared" si="17"/>
        <v>0</v>
      </c>
      <c r="N267" s="35"/>
    </row>
    <row r="268" spans="1:14" x14ac:dyDescent="0.25">
      <c r="A268" s="75" t="s">
        <v>261</v>
      </c>
      <c r="B268" s="76" t="s">
        <v>260</v>
      </c>
      <c r="C268" s="31">
        <v>0</v>
      </c>
      <c r="D268" s="79">
        <v>0</v>
      </c>
      <c r="E268" s="33">
        <v>0</v>
      </c>
      <c r="F268" s="79">
        <v>0</v>
      </c>
      <c r="G268" s="34"/>
      <c r="H268" s="33">
        <v>0</v>
      </c>
      <c r="I268" s="79">
        <v>0</v>
      </c>
      <c r="J268" s="33">
        <v>0</v>
      </c>
      <c r="K268" s="79">
        <v>0</v>
      </c>
      <c r="L268" s="33">
        <f t="shared" si="16"/>
        <v>0</v>
      </c>
      <c r="M268" s="81">
        <f t="shared" si="17"/>
        <v>0</v>
      </c>
      <c r="N268" s="35"/>
    </row>
    <row r="269" spans="1:14" x14ac:dyDescent="0.25">
      <c r="A269" s="75" t="s">
        <v>263</v>
      </c>
      <c r="B269" s="76" t="s">
        <v>262</v>
      </c>
      <c r="C269" s="31">
        <v>0</v>
      </c>
      <c r="D269" s="79">
        <v>0</v>
      </c>
      <c r="E269" s="33">
        <v>0</v>
      </c>
      <c r="F269" s="79">
        <v>0</v>
      </c>
      <c r="G269" s="34"/>
      <c r="H269" s="33">
        <v>0</v>
      </c>
      <c r="I269" s="79">
        <v>0</v>
      </c>
      <c r="J269" s="33">
        <v>3</v>
      </c>
      <c r="K269" s="79">
        <v>33.159999999999997</v>
      </c>
      <c r="L269" s="33">
        <f t="shared" si="16"/>
        <v>-3</v>
      </c>
      <c r="M269" s="81">
        <f t="shared" si="17"/>
        <v>-33.159999999999997</v>
      </c>
      <c r="N269" s="35">
        <f t="shared" si="18"/>
        <v>-1</v>
      </c>
    </row>
    <row r="270" spans="1:14" x14ac:dyDescent="0.25">
      <c r="A270" s="75" t="s">
        <v>265</v>
      </c>
      <c r="B270" s="76" t="s">
        <v>264</v>
      </c>
      <c r="C270" s="31">
        <v>0</v>
      </c>
      <c r="D270" s="79">
        <v>0</v>
      </c>
      <c r="E270" s="33">
        <v>0</v>
      </c>
      <c r="F270" s="79">
        <v>0</v>
      </c>
      <c r="G270" s="34"/>
      <c r="H270" s="33">
        <v>0</v>
      </c>
      <c r="I270" s="79">
        <v>0</v>
      </c>
      <c r="J270" s="33">
        <v>0</v>
      </c>
      <c r="K270" s="79">
        <v>0</v>
      </c>
      <c r="L270" s="33">
        <f t="shared" si="16"/>
        <v>0</v>
      </c>
      <c r="M270" s="81">
        <f t="shared" si="17"/>
        <v>0</v>
      </c>
      <c r="N270" s="35"/>
    </row>
    <row r="271" spans="1:14" x14ac:dyDescent="0.25">
      <c r="A271" s="75" t="s">
        <v>267</v>
      </c>
      <c r="B271" s="76" t="s">
        <v>266</v>
      </c>
      <c r="C271" s="31">
        <v>1509</v>
      </c>
      <c r="D271" s="79">
        <v>16275.43</v>
      </c>
      <c r="E271" s="33">
        <v>0</v>
      </c>
      <c r="F271" s="79">
        <v>0</v>
      </c>
      <c r="G271" s="34">
        <f t="shared" ref="G271:G330" si="19">F271/I271</f>
        <v>0</v>
      </c>
      <c r="H271" s="33">
        <v>1509</v>
      </c>
      <c r="I271" s="79">
        <v>16275.43</v>
      </c>
      <c r="J271" s="33">
        <v>3951</v>
      </c>
      <c r="K271" s="79">
        <v>32041.629999999997</v>
      </c>
      <c r="L271" s="33">
        <f t="shared" si="16"/>
        <v>-2442</v>
      </c>
      <c r="M271" s="81">
        <f t="shared" si="17"/>
        <v>-15766.199999999997</v>
      </c>
      <c r="N271" s="35">
        <f t="shared" si="18"/>
        <v>-0.49205361899503858</v>
      </c>
    </row>
    <row r="272" spans="1:14" x14ac:dyDescent="0.25">
      <c r="A272" s="75" t="s">
        <v>269</v>
      </c>
      <c r="B272" s="76" t="s">
        <v>268</v>
      </c>
      <c r="C272" s="31">
        <v>0</v>
      </c>
      <c r="D272" s="79">
        <v>0</v>
      </c>
      <c r="E272" s="33">
        <v>0</v>
      </c>
      <c r="F272" s="79">
        <v>0</v>
      </c>
      <c r="G272" s="34"/>
      <c r="H272" s="33">
        <v>0</v>
      </c>
      <c r="I272" s="79">
        <v>0</v>
      </c>
      <c r="J272" s="33">
        <v>2</v>
      </c>
      <c r="K272" s="79">
        <v>131.38</v>
      </c>
      <c r="L272" s="33">
        <f t="shared" si="16"/>
        <v>-2</v>
      </c>
      <c r="M272" s="81">
        <f t="shared" si="17"/>
        <v>-131.38</v>
      </c>
      <c r="N272" s="35">
        <f t="shared" si="18"/>
        <v>-1</v>
      </c>
    </row>
    <row r="273" spans="1:14" x14ac:dyDescent="0.25">
      <c r="A273" s="75" t="s">
        <v>271</v>
      </c>
      <c r="B273" s="76" t="s">
        <v>270</v>
      </c>
      <c r="C273" s="31">
        <v>20</v>
      </c>
      <c r="D273" s="79">
        <v>1178.56</v>
      </c>
      <c r="E273" s="33">
        <v>0</v>
      </c>
      <c r="F273" s="79">
        <v>0</v>
      </c>
      <c r="G273" s="34">
        <f t="shared" si="19"/>
        <v>0</v>
      </c>
      <c r="H273" s="33">
        <v>20</v>
      </c>
      <c r="I273" s="79">
        <v>1178.56</v>
      </c>
      <c r="J273" s="33">
        <v>201</v>
      </c>
      <c r="K273" s="79">
        <v>13077.09</v>
      </c>
      <c r="L273" s="33">
        <f t="shared" si="16"/>
        <v>-181</v>
      </c>
      <c r="M273" s="81">
        <f t="shared" si="17"/>
        <v>-11898.53</v>
      </c>
      <c r="N273" s="35">
        <f t="shared" si="18"/>
        <v>-0.90987597393609743</v>
      </c>
    </row>
    <row r="274" spans="1:14" x14ac:dyDescent="0.25">
      <c r="A274" s="75" t="s">
        <v>273</v>
      </c>
      <c r="B274" s="76" t="s">
        <v>272</v>
      </c>
      <c r="C274" s="31">
        <v>2</v>
      </c>
      <c r="D274" s="79">
        <v>36.36</v>
      </c>
      <c r="E274" s="33">
        <v>0</v>
      </c>
      <c r="F274" s="79">
        <v>0</v>
      </c>
      <c r="G274" s="34">
        <f t="shared" si="19"/>
        <v>0</v>
      </c>
      <c r="H274" s="33">
        <v>2</v>
      </c>
      <c r="I274" s="79">
        <v>36.36</v>
      </c>
      <c r="J274" s="33">
        <v>4</v>
      </c>
      <c r="K274" s="79">
        <v>69.34</v>
      </c>
      <c r="L274" s="33">
        <f t="shared" si="16"/>
        <v>-2</v>
      </c>
      <c r="M274" s="81">
        <f t="shared" si="17"/>
        <v>-32.980000000000004</v>
      </c>
      <c r="N274" s="35">
        <f t="shared" si="18"/>
        <v>-0.47562734352466113</v>
      </c>
    </row>
    <row r="275" spans="1:14" x14ac:dyDescent="0.25">
      <c r="A275" s="75" t="s">
        <v>275</v>
      </c>
      <c r="B275" s="76" t="s">
        <v>274</v>
      </c>
      <c r="C275" s="31">
        <v>4</v>
      </c>
      <c r="D275" s="79">
        <v>64.02</v>
      </c>
      <c r="E275" s="33">
        <v>0</v>
      </c>
      <c r="F275" s="79">
        <v>0</v>
      </c>
      <c r="G275" s="34">
        <f t="shared" si="19"/>
        <v>0</v>
      </c>
      <c r="H275" s="33">
        <v>4</v>
      </c>
      <c r="I275" s="79">
        <v>64.02</v>
      </c>
      <c r="J275" s="33">
        <v>11</v>
      </c>
      <c r="K275" s="79">
        <v>179.41</v>
      </c>
      <c r="L275" s="33">
        <f t="shared" si="16"/>
        <v>-7</v>
      </c>
      <c r="M275" s="81">
        <f t="shared" si="17"/>
        <v>-115.39</v>
      </c>
      <c r="N275" s="35">
        <f t="shared" si="18"/>
        <v>-0.6431637032495402</v>
      </c>
    </row>
    <row r="276" spans="1:14" x14ac:dyDescent="0.25">
      <c r="A276" s="75" t="s">
        <v>277</v>
      </c>
      <c r="B276" s="76" t="s">
        <v>276</v>
      </c>
      <c r="C276" s="31">
        <v>19</v>
      </c>
      <c r="D276" s="79">
        <v>191.01000000000002</v>
      </c>
      <c r="E276" s="33">
        <v>0</v>
      </c>
      <c r="F276" s="79">
        <v>0</v>
      </c>
      <c r="G276" s="34">
        <f t="shared" si="19"/>
        <v>0</v>
      </c>
      <c r="H276" s="33">
        <v>19</v>
      </c>
      <c r="I276" s="79">
        <v>191.01000000000002</v>
      </c>
      <c r="J276" s="33">
        <v>0</v>
      </c>
      <c r="K276" s="79">
        <v>0</v>
      </c>
      <c r="L276" s="33">
        <f t="shared" si="16"/>
        <v>19</v>
      </c>
      <c r="M276" s="81">
        <f t="shared" si="17"/>
        <v>191.01000000000002</v>
      </c>
      <c r="N276" s="35"/>
    </row>
    <row r="277" spans="1:14" x14ac:dyDescent="0.25">
      <c r="A277" s="75" t="s">
        <v>279</v>
      </c>
      <c r="B277" s="76" t="s">
        <v>278</v>
      </c>
      <c r="C277" s="31">
        <v>8</v>
      </c>
      <c r="D277" s="79">
        <v>162.08000000000001</v>
      </c>
      <c r="E277" s="33">
        <v>0</v>
      </c>
      <c r="F277" s="79">
        <v>0</v>
      </c>
      <c r="G277" s="34">
        <f t="shared" si="19"/>
        <v>0</v>
      </c>
      <c r="H277" s="33">
        <v>8</v>
      </c>
      <c r="I277" s="79">
        <v>162.08000000000001</v>
      </c>
      <c r="J277" s="33">
        <v>4</v>
      </c>
      <c r="K277" s="79">
        <v>48.84</v>
      </c>
      <c r="L277" s="33">
        <f t="shared" si="16"/>
        <v>4</v>
      </c>
      <c r="M277" s="81">
        <f t="shared" si="17"/>
        <v>113.24000000000001</v>
      </c>
      <c r="N277" s="35">
        <f t="shared" si="18"/>
        <v>2.3185913185913187</v>
      </c>
    </row>
    <row r="278" spans="1:14" x14ac:dyDescent="0.25">
      <c r="A278" s="75" t="s">
        <v>281</v>
      </c>
      <c r="B278" s="76" t="s">
        <v>280</v>
      </c>
      <c r="C278" s="31">
        <v>1</v>
      </c>
      <c r="D278" s="79">
        <v>7.21</v>
      </c>
      <c r="E278" s="33">
        <v>0</v>
      </c>
      <c r="F278" s="79">
        <v>0</v>
      </c>
      <c r="G278" s="34">
        <f t="shared" si="19"/>
        <v>0</v>
      </c>
      <c r="H278" s="33">
        <v>1</v>
      </c>
      <c r="I278" s="79">
        <v>7.21</v>
      </c>
      <c r="J278" s="33">
        <v>0</v>
      </c>
      <c r="K278" s="79">
        <v>0</v>
      </c>
      <c r="L278" s="33">
        <f t="shared" si="16"/>
        <v>1</v>
      </c>
      <c r="M278" s="81">
        <f t="shared" si="17"/>
        <v>7.21</v>
      </c>
      <c r="N278" s="35"/>
    </row>
    <row r="279" spans="1:14" x14ac:dyDescent="0.25">
      <c r="A279" s="75" t="s">
        <v>283</v>
      </c>
      <c r="B279" s="76" t="s">
        <v>282</v>
      </c>
      <c r="C279" s="31">
        <v>2</v>
      </c>
      <c r="D279" s="79">
        <v>16.38</v>
      </c>
      <c r="E279" s="33">
        <v>0</v>
      </c>
      <c r="F279" s="79">
        <v>0</v>
      </c>
      <c r="G279" s="34">
        <f t="shared" si="19"/>
        <v>0</v>
      </c>
      <c r="H279" s="33">
        <v>2</v>
      </c>
      <c r="I279" s="79">
        <v>16.38</v>
      </c>
      <c r="J279" s="33">
        <v>93</v>
      </c>
      <c r="K279" s="79">
        <v>717.78</v>
      </c>
      <c r="L279" s="33">
        <f t="shared" si="16"/>
        <v>-91</v>
      </c>
      <c r="M279" s="81">
        <f t="shared" si="17"/>
        <v>-701.4</v>
      </c>
      <c r="N279" s="35">
        <f t="shared" si="18"/>
        <v>-0.97717963721474543</v>
      </c>
    </row>
    <row r="280" spans="1:14" x14ac:dyDescent="0.25">
      <c r="A280" s="75" t="s">
        <v>714</v>
      </c>
      <c r="B280" s="76" t="s">
        <v>715</v>
      </c>
      <c r="C280" s="31">
        <v>0</v>
      </c>
      <c r="D280" s="79">
        <v>0</v>
      </c>
      <c r="E280" s="33">
        <v>0</v>
      </c>
      <c r="F280" s="79">
        <v>0</v>
      </c>
      <c r="G280" s="34"/>
      <c r="H280" s="33">
        <v>0</v>
      </c>
      <c r="I280" s="79">
        <v>0</v>
      </c>
      <c r="J280" s="33">
        <v>2</v>
      </c>
      <c r="K280" s="79">
        <v>16.22</v>
      </c>
      <c r="L280" s="33">
        <f t="shared" si="16"/>
        <v>-2</v>
      </c>
      <c r="M280" s="81">
        <f t="shared" si="17"/>
        <v>-16.22</v>
      </c>
      <c r="N280" s="35">
        <f t="shared" si="18"/>
        <v>-1</v>
      </c>
    </row>
    <row r="281" spans="1:14" x14ac:dyDescent="0.25">
      <c r="A281" s="75" t="s">
        <v>285</v>
      </c>
      <c r="B281" s="76" t="s">
        <v>284</v>
      </c>
      <c r="C281" s="31">
        <v>18</v>
      </c>
      <c r="D281" s="79">
        <v>323.60000000000002</v>
      </c>
      <c r="E281" s="33">
        <v>0</v>
      </c>
      <c r="F281" s="79">
        <v>0</v>
      </c>
      <c r="G281" s="34">
        <f t="shared" si="19"/>
        <v>0</v>
      </c>
      <c r="H281" s="33">
        <v>18</v>
      </c>
      <c r="I281" s="79">
        <v>323.60000000000002</v>
      </c>
      <c r="J281" s="33">
        <v>83</v>
      </c>
      <c r="K281" s="79">
        <v>1272.79</v>
      </c>
      <c r="L281" s="33">
        <f t="shared" si="16"/>
        <v>-65</v>
      </c>
      <c r="M281" s="81">
        <f t="shared" si="17"/>
        <v>-949.18999999999994</v>
      </c>
      <c r="N281" s="35">
        <f t="shared" si="18"/>
        <v>-0.74575538777017414</v>
      </c>
    </row>
    <row r="282" spans="1:14" x14ac:dyDescent="0.25">
      <c r="A282" s="75" t="s">
        <v>716</v>
      </c>
      <c r="B282" s="76" t="s">
        <v>717</v>
      </c>
      <c r="C282" s="31">
        <v>0</v>
      </c>
      <c r="D282" s="79">
        <v>0</v>
      </c>
      <c r="E282" s="33">
        <v>0</v>
      </c>
      <c r="F282" s="79">
        <v>0</v>
      </c>
      <c r="G282" s="34"/>
      <c r="H282" s="33">
        <v>0</v>
      </c>
      <c r="I282" s="79">
        <v>0</v>
      </c>
      <c r="J282" s="33">
        <v>0</v>
      </c>
      <c r="K282" s="79">
        <v>0</v>
      </c>
      <c r="L282" s="33">
        <f t="shared" si="16"/>
        <v>0</v>
      </c>
      <c r="M282" s="81">
        <f t="shared" si="17"/>
        <v>0</v>
      </c>
      <c r="N282" s="35"/>
    </row>
    <row r="283" spans="1:14" x14ac:dyDescent="0.25">
      <c r="A283" s="75" t="s">
        <v>287</v>
      </c>
      <c r="B283" s="76" t="s">
        <v>286</v>
      </c>
      <c r="C283" s="31">
        <v>57</v>
      </c>
      <c r="D283" s="79">
        <v>929.67</v>
      </c>
      <c r="E283" s="33">
        <v>0</v>
      </c>
      <c r="F283" s="79">
        <v>0</v>
      </c>
      <c r="G283" s="34">
        <f t="shared" si="19"/>
        <v>0</v>
      </c>
      <c r="H283" s="33">
        <v>57</v>
      </c>
      <c r="I283" s="79">
        <v>929.67</v>
      </c>
      <c r="J283" s="33">
        <v>802</v>
      </c>
      <c r="K283" s="79">
        <v>12531.9</v>
      </c>
      <c r="L283" s="33">
        <f t="shared" si="16"/>
        <v>-745</v>
      </c>
      <c r="M283" s="81">
        <f t="shared" si="17"/>
        <v>-11602.23</v>
      </c>
      <c r="N283" s="35">
        <f t="shared" si="18"/>
        <v>-0.92581571828693177</v>
      </c>
    </row>
    <row r="284" spans="1:14" x14ac:dyDescent="0.25">
      <c r="A284" s="75" t="s">
        <v>289</v>
      </c>
      <c r="B284" s="76" t="s">
        <v>288</v>
      </c>
      <c r="C284" s="31">
        <v>20</v>
      </c>
      <c r="D284" s="79">
        <v>324.64000000000004</v>
      </c>
      <c r="E284" s="33">
        <v>0</v>
      </c>
      <c r="F284" s="79">
        <v>0</v>
      </c>
      <c r="G284" s="34">
        <f t="shared" si="19"/>
        <v>0</v>
      </c>
      <c r="H284" s="33">
        <v>20</v>
      </c>
      <c r="I284" s="79">
        <v>324.64000000000004</v>
      </c>
      <c r="J284" s="33">
        <v>240</v>
      </c>
      <c r="K284" s="79">
        <v>2929.42</v>
      </c>
      <c r="L284" s="33">
        <f t="shared" si="16"/>
        <v>-220</v>
      </c>
      <c r="M284" s="81">
        <f t="shared" si="17"/>
        <v>-2604.7800000000002</v>
      </c>
      <c r="N284" s="35">
        <f t="shared" si="18"/>
        <v>-0.88917942800964023</v>
      </c>
    </row>
    <row r="285" spans="1:14" x14ac:dyDescent="0.25">
      <c r="A285" s="75" t="s">
        <v>291</v>
      </c>
      <c r="B285" s="76" t="s">
        <v>290</v>
      </c>
      <c r="C285" s="31">
        <v>0</v>
      </c>
      <c r="D285" s="79">
        <v>0</v>
      </c>
      <c r="E285" s="33">
        <v>0</v>
      </c>
      <c r="F285" s="79">
        <v>0</v>
      </c>
      <c r="G285" s="34"/>
      <c r="H285" s="33">
        <v>0</v>
      </c>
      <c r="I285" s="79">
        <v>0</v>
      </c>
      <c r="J285" s="33">
        <v>0</v>
      </c>
      <c r="K285" s="79">
        <v>0</v>
      </c>
      <c r="L285" s="33">
        <f t="shared" si="16"/>
        <v>0</v>
      </c>
      <c r="M285" s="81">
        <f t="shared" si="17"/>
        <v>0</v>
      </c>
      <c r="N285" s="35"/>
    </row>
    <row r="286" spans="1:14" x14ac:dyDescent="0.25">
      <c r="A286" s="75" t="s">
        <v>293</v>
      </c>
      <c r="B286" s="76" t="s">
        <v>292</v>
      </c>
      <c r="C286" s="31">
        <v>257</v>
      </c>
      <c r="D286" s="79">
        <v>2873.08</v>
      </c>
      <c r="E286" s="33">
        <v>0</v>
      </c>
      <c r="F286" s="79">
        <v>0</v>
      </c>
      <c r="G286" s="34">
        <f t="shared" si="19"/>
        <v>0</v>
      </c>
      <c r="H286" s="33">
        <v>257</v>
      </c>
      <c r="I286" s="79">
        <v>2873.08</v>
      </c>
      <c r="J286" s="33">
        <v>1491</v>
      </c>
      <c r="K286" s="79">
        <v>12092.01</v>
      </c>
      <c r="L286" s="33">
        <f t="shared" si="16"/>
        <v>-1234</v>
      </c>
      <c r="M286" s="81">
        <f t="shared" si="17"/>
        <v>-9218.93</v>
      </c>
      <c r="N286" s="35">
        <f t="shared" si="18"/>
        <v>-0.76239847634925872</v>
      </c>
    </row>
    <row r="287" spans="1:14" x14ac:dyDescent="0.25">
      <c r="A287" s="75" t="s">
        <v>779</v>
      </c>
      <c r="B287" s="76" t="s">
        <v>780</v>
      </c>
      <c r="C287" s="31">
        <v>0</v>
      </c>
      <c r="D287" s="79">
        <v>0</v>
      </c>
      <c r="E287" s="33">
        <v>0</v>
      </c>
      <c r="F287" s="79">
        <v>0</v>
      </c>
      <c r="G287" s="34"/>
      <c r="H287" s="33">
        <v>0</v>
      </c>
      <c r="I287" s="79">
        <v>0</v>
      </c>
      <c r="J287" s="33">
        <v>0</v>
      </c>
      <c r="K287" s="79">
        <v>0</v>
      </c>
      <c r="L287" s="33">
        <f t="shared" si="16"/>
        <v>0</v>
      </c>
      <c r="M287" s="81">
        <f t="shared" si="17"/>
        <v>0</v>
      </c>
      <c r="N287" s="35"/>
    </row>
    <row r="288" spans="1:14" x14ac:dyDescent="0.25">
      <c r="A288" s="75" t="s">
        <v>295</v>
      </c>
      <c r="B288" s="76" t="s">
        <v>294</v>
      </c>
      <c r="C288" s="31">
        <v>33</v>
      </c>
      <c r="D288" s="79">
        <v>257.15999999999997</v>
      </c>
      <c r="E288" s="33">
        <v>0</v>
      </c>
      <c r="F288" s="79">
        <v>0</v>
      </c>
      <c r="G288" s="34">
        <f t="shared" si="19"/>
        <v>0</v>
      </c>
      <c r="H288" s="33">
        <v>33</v>
      </c>
      <c r="I288" s="79">
        <v>257.15999999999997</v>
      </c>
      <c r="J288" s="33">
        <v>199</v>
      </c>
      <c r="K288" s="79">
        <v>1524.25</v>
      </c>
      <c r="L288" s="33">
        <f t="shared" si="16"/>
        <v>-166</v>
      </c>
      <c r="M288" s="81">
        <f t="shared" si="17"/>
        <v>-1267.0900000000001</v>
      </c>
      <c r="N288" s="35">
        <f t="shared" si="18"/>
        <v>-0.83128751845169768</v>
      </c>
    </row>
    <row r="289" spans="1:14" x14ac:dyDescent="0.25">
      <c r="A289" s="75" t="s">
        <v>297</v>
      </c>
      <c r="B289" s="76" t="s">
        <v>296</v>
      </c>
      <c r="C289" s="31">
        <v>2</v>
      </c>
      <c r="D289" s="79">
        <v>19.02</v>
      </c>
      <c r="E289" s="33">
        <v>0</v>
      </c>
      <c r="F289" s="79">
        <v>0</v>
      </c>
      <c r="G289" s="34">
        <f t="shared" si="19"/>
        <v>0</v>
      </c>
      <c r="H289" s="33">
        <v>2</v>
      </c>
      <c r="I289" s="79">
        <v>19.02</v>
      </c>
      <c r="J289" s="33">
        <v>176</v>
      </c>
      <c r="K289" s="79">
        <v>2914.59</v>
      </c>
      <c r="L289" s="33">
        <f t="shared" si="16"/>
        <v>-174</v>
      </c>
      <c r="M289" s="81">
        <f t="shared" si="17"/>
        <v>-2895.57</v>
      </c>
      <c r="N289" s="35">
        <f t="shared" si="18"/>
        <v>-0.99347421078093312</v>
      </c>
    </row>
    <row r="290" spans="1:14" x14ac:dyDescent="0.25">
      <c r="A290" s="75" t="s">
        <v>299</v>
      </c>
      <c r="B290" s="76" t="s">
        <v>298</v>
      </c>
      <c r="C290" s="31">
        <v>2</v>
      </c>
      <c r="D290" s="79">
        <v>19.3</v>
      </c>
      <c r="E290" s="33">
        <v>0</v>
      </c>
      <c r="F290" s="79">
        <v>0</v>
      </c>
      <c r="G290" s="34">
        <f t="shared" si="19"/>
        <v>0</v>
      </c>
      <c r="H290" s="33">
        <v>2</v>
      </c>
      <c r="I290" s="79">
        <v>19.3</v>
      </c>
      <c r="J290" s="33">
        <v>101</v>
      </c>
      <c r="K290" s="79">
        <v>921.79</v>
      </c>
      <c r="L290" s="33">
        <f t="shared" si="16"/>
        <v>-99</v>
      </c>
      <c r="M290" s="81">
        <f t="shared" si="17"/>
        <v>-902.49</v>
      </c>
      <c r="N290" s="35">
        <f t="shared" si="18"/>
        <v>-0.97906247626899845</v>
      </c>
    </row>
    <row r="291" spans="1:14" x14ac:dyDescent="0.25">
      <c r="A291" s="75" t="s">
        <v>301</v>
      </c>
      <c r="B291" s="76" t="s">
        <v>300</v>
      </c>
      <c r="C291" s="31">
        <v>212</v>
      </c>
      <c r="D291" s="79">
        <v>2898.52</v>
      </c>
      <c r="E291" s="33">
        <v>216</v>
      </c>
      <c r="F291" s="79">
        <v>3186.4000000000037</v>
      </c>
      <c r="G291" s="34">
        <f t="shared" si="19"/>
        <v>0.52365520006836608</v>
      </c>
      <c r="H291" s="33">
        <v>428</v>
      </c>
      <c r="I291" s="79">
        <v>6084.9200000000037</v>
      </c>
      <c r="J291" s="33">
        <v>1381</v>
      </c>
      <c r="K291" s="79">
        <v>16862.009999999998</v>
      </c>
      <c r="L291" s="33">
        <f t="shared" si="16"/>
        <v>-953</v>
      </c>
      <c r="M291" s="81">
        <f t="shared" si="17"/>
        <v>-10777.089999999995</v>
      </c>
      <c r="N291" s="35">
        <f t="shared" si="18"/>
        <v>-0.63913436179909722</v>
      </c>
    </row>
    <row r="292" spans="1:14" x14ac:dyDescent="0.25">
      <c r="A292" s="75" t="s">
        <v>303</v>
      </c>
      <c r="B292" s="76" t="s">
        <v>302</v>
      </c>
      <c r="C292" s="31">
        <v>24</v>
      </c>
      <c r="D292" s="79">
        <v>264.86</v>
      </c>
      <c r="E292" s="33">
        <v>0</v>
      </c>
      <c r="F292" s="79">
        <v>0</v>
      </c>
      <c r="G292" s="34">
        <f t="shared" si="19"/>
        <v>0</v>
      </c>
      <c r="H292" s="33">
        <v>24</v>
      </c>
      <c r="I292" s="79">
        <v>264.86</v>
      </c>
      <c r="J292" s="33">
        <v>34</v>
      </c>
      <c r="K292" s="79">
        <v>353.85</v>
      </c>
      <c r="L292" s="33">
        <f t="shared" si="16"/>
        <v>-10</v>
      </c>
      <c r="M292" s="81">
        <f t="shared" si="17"/>
        <v>-88.990000000000009</v>
      </c>
      <c r="N292" s="35">
        <f t="shared" si="18"/>
        <v>-0.25149074466581883</v>
      </c>
    </row>
    <row r="293" spans="1:14" x14ac:dyDescent="0.25">
      <c r="A293" s="75" t="s">
        <v>305</v>
      </c>
      <c r="B293" s="76" t="s">
        <v>304</v>
      </c>
      <c r="C293" s="31">
        <v>0</v>
      </c>
      <c r="D293" s="79">
        <v>0</v>
      </c>
      <c r="E293" s="33">
        <v>0</v>
      </c>
      <c r="F293" s="79">
        <v>0</v>
      </c>
      <c r="G293" s="34"/>
      <c r="H293" s="33">
        <v>0</v>
      </c>
      <c r="I293" s="79">
        <v>0</v>
      </c>
      <c r="J293" s="33">
        <v>0</v>
      </c>
      <c r="K293" s="79">
        <v>0</v>
      </c>
      <c r="L293" s="33">
        <f t="shared" si="16"/>
        <v>0</v>
      </c>
      <c r="M293" s="81">
        <f t="shared" si="17"/>
        <v>0</v>
      </c>
      <c r="N293" s="35"/>
    </row>
    <row r="294" spans="1:14" x14ac:dyDescent="0.25">
      <c r="A294" s="75" t="s">
        <v>307</v>
      </c>
      <c r="B294" s="76" t="s">
        <v>306</v>
      </c>
      <c r="C294" s="31">
        <v>51</v>
      </c>
      <c r="D294" s="79">
        <v>622.71</v>
      </c>
      <c r="E294" s="33">
        <v>0</v>
      </c>
      <c r="F294" s="79">
        <v>0</v>
      </c>
      <c r="G294" s="34">
        <f t="shared" si="19"/>
        <v>0</v>
      </c>
      <c r="H294" s="33">
        <v>51</v>
      </c>
      <c r="I294" s="79">
        <v>622.71</v>
      </c>
      <c r="J294" s="33">
        <v>97</v>
      </c>
      <c r="K294" s="79">
        <v>1148.69</v>
      </c>
      <c r="L294" s="33">
        <f t="shared" si="16"/>
        <v>-46</v>
      </c>
      <c r="M294" s="81">
        <f t="shared" si="17"/>
        <v>-525.98</v>
      </c>
      <c r="N294" s="35">
        <f t="shared" si="18"/>
        <v>-0.45789551576143256</v>
      </c>
    </row>
    <row r="295" spans="1:14" x14ac:dyDescent="0.25">
      <c r="A295" s="75" t="s">
        <v>309</v>
      </c>
      <c r="B295" s="76" t="s">
        <v>308</v>
      </c>
      <c r="C295" s="31">
        <v>7</v>
      </c>
      <c r="D295" s="79">
        <v>219.50000000000003</v>
      </c>
      <c r="E295" s="33">
        <v>0</v>
      </c>
      <c r="F295" s="79">
        <v>0</v>
      </c>
      <c r="G295" s="34">
        <f t="shared" si="19"/>
        <v>0</v>
      </c>
      <c r="H295" s="33">
        <v>7</v>
      </c>
      <c r="I295" s="79">
        <v>219.50000000000003</v>
      </c>
      <c r="J295" s="33">
        <v>1</v>
      </c>
      <c r="K295" s="79">
        <v>21.82</v>
      </c>
      <c r="L295" s="33">
        <f t="shared" si="16"/>
        <v>6</v>
      </c>
      <c r="M295" s="81">
        <f t="shared" si="17"/>
        <v>197.68000000000004</v>
      </c>
      <c r="N295" s="35">
        <f t="shared" si="18"/>
        <v>9.0595783684692961</v>
      </c>
    </row>
    <row r="296" spans="1:14" x14ac:dyDescent="0.25">
      <c r="A296" s="75" t="s">
        <v>311</v>
      </c>
      <c r="B296" s="76" t="s">
        <v>310</v>
      </c>
      <c r="C296" s="31">
        <v>23</v>
      </c>
      <c r="D296" s="79">
        <v>658.03</v>
      </c>
      <c r="E296" s="33">
        <v>15</v>
      </c>
      <c r="F296" s="79">
        <v>556.5</v>
      </c>
      <c r="G296" s="34">
        <f t="shared" si="19"/>
        <v>0.45820193819831551</v>
      </c>
      <c r="H296" s="33">
        <v>38</v>
      </c>
      <c r="I296" s="79">
        <v>1214.5299999999997</v>
      </c>
      <c r="J296" s="33">
        <v>103</v>
      </c>
      <c r="K296" s="79">
        <v>2946.83</v>
      </c>
      <c r="L296" s="33">
        <f t="shared" si="16"/>
        <v>-65</v>
      </c>
      <c r="M296" s="81">
        <f t="shared" si="17"/>
        <v>-1732.3000000000002</v>
      </c>
      <c r="N296" s="35">
        <f t="shared" si="18"/>
        <v>-0.58785203082634563</v>
      </c>
    </row>
    <row r="297" spans="1:14" x14ac:dyDescent="0.25">
      <c r="A297" s="75" t="s">
        <v>313</v>
      </c>
      <c r="B297" s="76" t="s">
        <v>312</v>
      </c>
      <c r="C297" s="31">
        <v>16</v>
      </c>
      <c r="D297" s="79">
        <v>1003.19</v>
      </c>
      <c r="E297" s="33">
        <v>0</v>
      </c>
      <c r="F297" s="79">
        <v>0</v>
      </c>
      <c r="G297" s="34">
        <f t="shared" si="19"/>
        <v>0</v>
      </c>
      <c r="H297" s="33">
        <v>16</v>
      </c>
      <c r="I297" s="79">
        <v>1003.19</v>
      </c>
      <c r="J297" s="33">
        <v>6</v>
      </c>
      <c r="K297" s="79">
        <v>369.15999999999997</v>
      </c>
      <c r="L297" s="33">
        <f t="shared" si="16"/>
        <v>10</v>
      </c>
      <c r="M297" s="81">
        <f t="shared" si="17"/>
        <v>634.03000000000009</v>
      </c>
      <c r="N297" s="35">
        <f t="shared" si="18"/>
        <v>1.7174937696391812</v>
      </c>
    </row>
    <row r="298" spans="1:14" x14ac:dyDescent="0.25">
      <c r="A298" s="75" t="s">
        <v>315</v>
      </c>
      <c r="B298" s="76" t="s">
        <v>314</v>
      </c>
      <c r="C298" s="31">
        <v>2</v>
      </c>
      <c r="D298" s="79">
        <v>5.86</v>
      </c>
      <c r="E298" s="33">
        <v>0</v>
      </c>
      <c r="F298" s="79">
        <v>0</v>
      </c>
      <c r="G298" s="34">
        <f t="shared" si="19"/>
        <v>0</v>
      </c>
      <c r="H298" s="33">
        <v>2</v>
      </c>
      <c r="I298" s="79">
        <v>5.86</v>
      </c>
      <c r="J298" s="33">
        <v>2</v>
      </c>
      <c r="K298" s="79">
        <v>8.0399999999999991</v>
      </c>
      <c r="L298" s="33">
        <f t="shared" si="16"/>
        <v>0</v>
      </c>
      <c r="M298" s="81">
        <f t="shared" si="17"/>
        <v>-2.1799999999999988</v>
      </c>
      <c r="N298" s="35">
        <f t="shared" si="18"/>
        <v>-0.27114427860696505</v>
      </c>
    </row>
    <row r="299" spans="1:14" x14ac:dyDescent="0.25">
      <c r="A299" s="75" t="s">
        <v>317</v>
      </c>
      <c r="B299" s="76" t="s">
        <v>316</v>
      </c>
      <c r="C299" s="31">
        <v>0</v>
      </c>
      <c r="D299" s="79">
        <v>0</v>
      </c>
      <c r="E299" s="33">
        <v>0</v>
      </c>
      <c r="F299" s="79">
        <v>0</v>
      </c>
      <c r="G299" s="34"/>
      <c r="H299" s="33">
        <v>0</v>
      </c>
      <c r="I299" s="79">
        <v>0</v>
      </c>
      <c r="J299" s="33">
        <v>0</v>
      </c>
      <c r="K299" s="79">
        <v>0</v>
      </c>
      <c r="L299" s="33">
        <f t="shared" si="16"/>
        <v>0</v>
      </c>
      <c r="M299" s="81">
        <f t="shared" si="17"/>
        <v>0</v>
      </c>
      <c r="N299" s="35"/>
    </row>
    <row r="300" spans="1:14" x14ac:dyDescent="0.25">
      <c r="A300" s="75" t="s">
        <v>718</v>
      </c>
      <c r="B300" s="76" t="s">
        <v>719</v>
      </c>
      <c r="C300" s="31">
        <v>0</v>
      </c>
      <c r="D300" s="79">
        <v>0</v>
      </c>
      <c r="E300" s="33">
        <v>0</v>
      </c>
      <c r="F300" s="79">
        <v>0</v>
      </c>
      <c r="G300" s="34"/>
      <c r="H300" s="33">
        <v>0</v>
      </c>
      <c r="I300" s="79">
        <v>0</v>
      </c>
      <c r="J300" s="33">
        <v>0</v>
      </c>
      <c r="K300" s="79">
        <v>0</v>
      </c>
      <c r="L300" s="33">
        <f t="shared" si="16"/>
        <v>0</v>
      </c>
      <c r="M300" s="81">
        <f t="shared" si="17"/>
        <v>0</v>
      </c>
      <c r="N300" s="35"/>
    </row>
    <row r="301" spans="1:14" x14ac:dyDescent="0.25">
      <c r="A301" s="75" t="s">
        <v>319</v>
      </c>
      <c r="B301" s="76" t="s">
        <v>318</v>
      </c>
      <c r="C301" s="31">
        <v>66</v>
      </c>
      <c r="D301" s="79">
        <v>936.26</v>
      </c>
      <c r="E301" s="33">
        <v>0</v>
      </c>
      <c r="F301" s="79">
        <v>0</v>
      </c>
      <c r="G301" s="34">
        <f t="shared" si="19"/>
        <v>0</v>
      </c>
      <c r="H301" s="33">
        <v>66</v>
      </c>
      <c r="I301" s="79">
        <v>936.26</v>
      </c>
      <c r="J301" s="33">
        <v>18</v>
      </c>
      <c r="K301" s="79">
        <v>286.89</v>
      </c>
      <c r="L301" s="33">
        <f t="shared" si="16"/>
        <v>48</v>
      </c>
      <c r="M301" s="81">
        <f t="shared" si="17"/>
        <v>649.37</v>
      </c>
      <c r="N301" s="35">
        <f t="shared" si="18"/>
        <v>2.2634807766042737</v>
      </c>
    </row>
    <row r="302" spans="1:14" x14ac:dyDescent="0.25">
      <c r="A302" s="75" t="s">
        <v>321</v>
      </c>
      <c r="B302" s="76" t="s">
        <v>320</v>
      </c>
      <c r="C302" s="31">
        <v>0</v>
      </c>
      <c r="D302" s="79">
        <v>0</v>
      </c>
      <c r="E302" s="33">
        <v>0</v>
      </c>
      <c r="F302" s="79">
        <v>0</v>
      </c>
      <c r="G302" s="34"/>
      <c r="H302" s="33">
        <v>0</v>
      </c>
      <c r="I302" s="79">
        <v>0</v>
      </c>
      <c r="J302" s="33">
        <v>0</v>
      </c>
      <c r="K302" s="79">
        <v>0</v>
      </c>
      <c r="L302" s="33">
        <f t="shared" si="16"/>
        <v>0</v>
      </c>
      <c r="M302" s="81">
        <f t="shared" si="17"/>
        <v>0</v>
      </c>
      <c r="N302" s="35"/>
    </row>
    <row r="303" spans="1:14" x14ac:dyDescent="0.25">
      <c r="A303" s="75" t="s">
        <v>323</v>
      </c>
      <c r="B303" s="76" t="s">
        <v>322</v>
      </c>
      <c r="C303" s="31">
        <v>2</v>
      </c>
      <c r="D303" s="79">
        <v>65.400000000000006</v>
      </c>
      <c r="E303" s="33">
        <v>0</v>
      </c>
      <c r="F303" s="79">
        <v>0</v>
      </c>
      <c r="G303" s="34">
        <f t="shared" si="19"/>
        <v>0</v>
      </c>
      <c r="H303" s="33">
        <v>2</v>
      </c>
      <c r="I303" s="79">
        <v>65.400000000000006</v>
      </c>
      <c r="J303" s="33">
        <v>10</v>
      </c>
      <c r="K303" s="79">
        <v>327</v>
      </c>
      <c r="L303" s="33">
        <f t="shared" si="16"/>
        <v>-8</v>
      </c>
      <c r="M303" s="81">
        <f t="shared" si="17"/>
        <v>-261.60000000000002</v>
      </c>
      <c r="N303" s="35">
        <f t="shared" si="18"/>
        <v>-0.8</v>
      </c>
    </row>
    <row r="304" spans="1:14" x14ac:dyDescent="0.25">
      <c r="A304" s="75" t="s">
        <v>325</v>
      </c>
      <c r="B304" s="76" t="s">
        <v>324</v>
      </c>
      <c r="C304" s="31">
        <v>14</v>
      </c>
      <c r="D304" s="79">
        <v>384.54</v>
      </c>
      <c r="E304" s="33">
        <v>0</v>
      </c>
      <c r="F304" s="79">
        <v>0</v>
      </c>
      <c r="G304" s="34">
        <f t="shared" si="19"/>
        <v>0</v>
      </c>
      <c r="H304" s="33">
        <v>14</v>
      </c>
      <c r="I304" s="79">
        <v>384.54</v>
      </c>
      <c r="J304" s="33">
        <v>6</v>
      </c>
      <c r="K304" s="79">
        <v>171.66</v>
      </c>
      <c r="L304" s="33">
        <f t="shared" si="16"/>
        <v>8</v>
      </c>
      <c r="M304" s="81">
        <f t="shared" si="17"/>
        <v>212.88000000000002</v>
      </c>
      <c r="N304" s="35">
        <f t="shared" si="18"/>
        <v>1.2401258301293256</v>
      </c>
    </row>
    <row r="305" spans="1:14" x14ac:dyDescent="0.25">
      <c r="A305" s="75" t="s">
        <v>327</v>
      </c>
      <c r="B305" s="76" t="s">
        <v>326</v>
      </c>
      <c r="C305" s="31">
        <v>3</v>
      </c>
      <c r="D305" s="79">
        <v>171.9</v>
      </c>
      <c r="E305" s="33">
        <v>0</v>
      </c>
      <c r="F305" s="79">
        <v>0</v>
      </c>
      <c r="G305" s="34">
        <f t="shared" si="19"/>
        <v>0</v>
      </c>
      <c r="H305" s="33">
        <v>3</v>
      </c>
      <c r="I305" s="79">
        <v>171.9</v>
      </c>
      <c r="J305" s="33">
        <v>2</v>
      </c>
      <c r="K305" s="79">
        <v>116.27</v>
      </c>
      <c r="L305" s="33">
        <f t="shared" si="16"/>
        <v>1</v>
      </c>
      <c r="M305" s="81">
        <f t="shared" si="17"/>
        <v>55.63000000000001</v>
      </c>
      <c r="N305" s="35">
        <f t="shared" si="18"/>
        <v>0.47845531951492226</v>
      </c>
    </row>
    <row r="306" spans="1:14" x14ac:dyDescent="0.25">
      <c r="A306" s="75" t="s">
        <v>329</v>
      </c>
      <c r="B306" s="76" t="s">
        <v>328</v>
      </c>
      <c r="C306" s="31">
        <v>20</v>
      </c>
      <c r="D306" s="79">
        <v>319.09000000000003</v>
      </c>
      <c r="E306" s="33">
        <v>0</v>
      </c>
      <c r="F306" s="79">
        <v>0</v>
      </c>
      <c r="G306" s="34">
        <f t="shared" si="19"/>
        <v>0</v>
      </c>
      <c r="H306" s="33">
        <v>20</v>
      </c>
      <c r="I306" s="79">
        <v>319.09000000000003</v>
      </c>
      <c r="J306" s="33">
        <v>301</v>
      </c>
      <c r="K306" s="79">
        <v>3322.04</v>
      </c>
      <c r="L306" s="33">
        <f t="shared" si="16"/>
        <v>-281</v>
      </c>
      <c r="M306" s="81">
        <f t="shared" si="17"/>
        <v>-3002.95</v>
      </c>
      <c r="N306" s="35">
        <f t="shared" si="18"/>
        <v>-0.90394757438200624</v>
      </c>
    </row>
    <row r="307" spans="1:14" x14ac:dyDescent="0.25">
      <c r="A307" s="75" t="s">
        <v>331</v>
      </c>
      <c r="B307" s="76" t="s">
        <v>330</v>
      </c>
      <c r="C307" s="31">
        <v>5</v>
      </c>
      <c r="D307" s="79">
        <v>107.37</v>
      </c>
      <c r="E307" s="33">
        <v>0</v>
      </c>
      <c r="F307" s="79">
        <v>0</v>
      </c>
      <c r="G307" s="34">
        <f t="shared" si="19"/>
        <v>0</v>
      </c>
      <c r="H307" s="33">
        <v>5</v>
      </c>
      <c r="I307" s="79">
        <v>107.37</v>
      </c>
      <c r="J307" s="33">
        <v>15</v>
      </c>
      <c r="K307" s="79">
        <v>382.15999999999997</v>
      </c>
      <c r="L307" s="33">
        <f t="shared" si="16"/>
        <v>-10</v>
      </c>
      <c r="M307" s="81">
        <f t="shared" si="17"/>
        <v>-274.78999999999996</v>
      </c>
      <c r="N307" s="35">
        <f t="shared" si="18"/>
        <v>-0.71904437931756326</v>
      </c>
    </row>
    <row r="308" spans="1:14" x14ac:dyDescent="0.25">
      <c r="A308" s="75" t="s">
        <v>720</v>
      </c>
      <c r="B308" s="76" t="s">
        <v>721</v>
      </c>
      <c r="C308" s="31">
        <v>0</v>
      </c>
      <c r="D308" s="79">
        <v>0</v>
      </c>
      <c r="E308" s="33">
        <v>0</v>
      </c>
      <c r="F308" s="79">
        <v>0</v>
      </c>
      <c r="G308" s="34"/>
      <c r="H308" s="33">
        <v>0</v>
      </c>
      <c r="I308" s="79">
        <v>0</v>
      </c>
      <c r="J308" s="33">
        <v>12</v>
      </c>
      <c r="K308" s="79">
        <v>1296.6099999999999</v>
      </c>
      <c r="L308" s="33">
        <f t="shared" si="16"/>
        <v>-12</v>
      </c>
      <c r="M308" s="81">
        <f t="shared" si="17"/>
        <v>-1296.6099999999999</v>
      </c>
      <c r="N308" s="35">
        <f t="shared" si="18"/>
        <v>-1</v>
      </c>
    </row>
    <row r="309" spans="1:14" x14ac:dyDescent="0.25">
      <c r="A309" s="75" t="s">
        <v>333</v>
      </c>
      <c r="B309" s="76" t="s">
        <v>332</v>
      </c>
      <c r="C309" s="31">
        <v>20</v>
      </c>
      <c r="D309" s="79">
        <v>2106.8000000000002</v>
      </c>
      <c r="E309" s="33">
        <v>1</v>
      </c>
      <c r="F309" s="79">
        <v>129</v>
      </c>
      <c r="G309" s="34">
        <f t="shared" si="19"/>
        <v>5.7697468467662577E-2</v>
      </c>
      <c r="H309" s="33">
        <v>21</v>
      </c>
      <c r="I309" s="79">
        <v>2235.8000000000002</v>
      </c>
      <c r="J309" s="33">
        <v>39</v>
      </c>
      <c r="K309" s="79">
        <v>3579.87</v>
      </c>
      <c r="L309" s="33">
        <f t="shared" si="16"/>
        <v>-18</v>
      </c>
      <c r="M309" s="81">
        <f t="shared" si="17"/>
        <v>-1344.0699999999997</v>
      </c>
      <c r="N309" s="35">
        <f t="shared" si="18"/>
        <v>-0.37545218122445778</v>
      </c>
    </row>
    <row r="310" spans="1:14" x14ac:dyDescent="0.25">
      <c r="A310" s="75" t="s">
        <v>335</v>
      </c>
      <c r="B310" s="76" t="s">
        <v>334</v>
      </c>
      <c r="C310" s="31">
        <v>12</v>
      </c>
      <c r="D310" s="79">
        <v>931.86</v>
      </c>
      <c r="E310" s="33">
        <v>0</v>
      </c>
      <c r="F310" s="79">
        <v>0</v>
      </c>
      <c r="G310" s="34">
        <f t="shared" si="19"/>
        <v>0</v>
      </c>
      <c r="H310" s="33">
        <v>12</v>
      </c>
      <c r="I310" s="79">
        <v>931.86</v>
      </c>
      <c r="J310" s="33">
        <v>29</v>
      </c>
      <c r="K310" s="79">
        <v>2115.5500000000002</v>
      </c>
      <c r="L310" s="33">
        <f t="shared" si="16"/>
        <v>-17</v>
      </c>
      <c r="M310" s="81">
        <f t="shared" si="17"/>
        <v>-1183.69</v>
      </c>
      <c r="N310" s="35">
        <f t="shared" si="18"/>
        <v>-0.5595188012573562</v>
      </c>
    </row>
    <row r="311" spans="1:14" x14ac:dyDescent="0.25">
      <c r="A311" s="75" t="s">
        <v>337</v>
      </c>
      <c r="B311" s="76" t="s">
        <v>336</v>
      </c>
      <c r="C311" s="31">
        <v>3</v>
      </c>
      <c r="D311" s="79">
        <v>171.26</v>
      </c>
      <c r="E311" s="33">
        <v>0</v>
      </c>
      <c r="F311" s="79">
        <v>0</v>
      </c>
      <c r="G311" s="34">
        <f t="shared" si="19"/>
        <v>0</v>
      </c>
      <c r="H311" s="33">
        <v>3</v>
      </c>
      <c r="I311" s="79">
        <v>171.26</v>
      </c>
      <c r="J311" s="33">
        <v>9</v>
      </c>
      <c r="K311" s="79">
        <v>515.70000000000005</v>
      </c>
      <c r="L311" s="33">
        <f t="shared" si="16"/>
        <v>-6</v>
      </c>
      <c r="M311" s="81">
        <f t="shared" si="17"/>
        <v>-344.44000000000005</v>
      </c>
      <c r="N311" s="35">
        <f t="shared" si="18"/>
        <v>-0.6679076982741905</v>
      </c>
    </row>
    <row r="312" spans="1:14" x14ac:dyDescent="0.25">
      <c r="A312" s="75" t="s">
        <v>722</v>
      </c>
      <c r="B312" s="76" t="s">
        <v>723</v>
      </c>
      <c r="C312" s="31">
        <v>0</v>
      </c>
      <c r="D312" s="79">
        <v>0</v>
      </c>
      <c r="E312" s="33">
        <v>0</v>
      </c>
      <c r="F312" s="79">
        <v>0</v>
      </c>
      <c r="G312" s="34"/>
      <c r="H312" s="33">
        <v>0</v>
      </c>
      <c r="I312" s="79">
        <v>0</v>
      </c>
      <c r="J312" s="33">
        <v>0</v>
      </c>
      <c r="K312" s="79">
        <v>0</v>
      </c>
      <c r="L312" s="33">
        <f t="shared" si="16"/>
        <v>0</v>
      </c>
      <c r="M312" s="81">
        <f t="shared" si="17"/>
        <v>0</v>
      </c>
      <c r="N312" s="35"/>
    </row>
    <row r="313" spans="1:14" x14ac:dyDescent="0.25">
      <c r="A313" s="75" t="s">
        <v>339</v>
      </c>
      <c r="B313" s="76" t="s">
        <v>338</v>
      </c>
      <c r="C313" s="31">
        <v>73</v>
      </c>
      <c r="D313" s="79">
        <v>1833.73</v>
      </c>
      <c r="E313" s="33">
        <v>0</v>
      </c>
      <c r="F313" s="79">
        <v>0</v>
      </c>
      <c r="G313" s="34">
        <f t="shared" si="19"/>
        <v>0</v>
      </c>
      <c r="H313" s="33">
        <v>73</v>
      </c>
      <c r="I313" s="79">
        <v>1833.73</v>
      </c>
      <c r="J313" s="33">
        <v>389</v>
      </c>
      <c r="K313" s="79">
        <v>7856.0599999999995</v>
      </c>
      <c r="L313" s="33">
        <f t="shared" si="16"/>
        <v>-316</v>
      </c>
      <c r="M313" s="81">
        <f t="shared" si="17"/>
        <v>-6022.33</v>
      </c>
      <c r="N313" s="35">
        <f t="shared" si="18"/>
        <v>-0.76658401285122568</v>
      </c>
    </row>
    <row r="314" spans="1:14" x14ac:dyDescent="0.25">
      <c r="A314" s="75" t="s">
        <v>341</v>
      </c>
      <c r="B314" s="76" t="s">
        <v>340</v>
      </c>
      <c r="C314" s="31">
        <v>58</v>
      </c>
      <c r="D314" s="79">
        <v>1420.96</v>
      </c>
      <c r="E314" s="33">
        <v>0</v>
      </c>
      <c r="F314" s="79">
        <v>0</v>
      </c>
      <c r="G314" s="34">
        <f t="shared" si="19"/>
        <v>0</v>
      </c>
      <c r="H314" s="33">
        <v>58</v>
      </c>
      <c r="I314" s="79">
        <v>1420.96</v>
      </c>
      <c r="J314" s="33">
        <v>115</v>
      </c>
      <c r="K314" s="79">
        <v>2818.65</v>
      </c>
      <c r="L314" s="33">
        <f t="shared" si="16"/>
        <v>-57</v>
      </c>
      <c r="M314" s="81">
        <f t="shared" si="17"/>
        <v>-1397.69</v>
      </c>
      <c r="N314" s="35">
        <f t="shared" si="18"/>
        <v>-0.49587213737072711</v>
      </c>
    </row>
    <row r="315" spans="1:14" x14ac:dyDescent="0.25">
      <c r="A315" s="75" t="s">
        <v>724</v>
      </c>
      <c r="B315" s="76" t="s">
        <v>725</v>
      </c>
      <c r="C315" s="31">
        <v>0</v>
      </c>
      <c r="D315" s="79">
        <v>0</v>
      </c>
      <c r="E315" s="33">
        <v>0</v>
      </c>
      <c r="F315" s="79">
        <v>0</v>
      </c>
      <c r="G315" s="34"/>
      <c r="H315" s="33">
        <v>0</v>
      </c>
      <c r="I315" s="79">
        <v>0</v>
      </c>
      <c r="J315" s="33">
        <v>0</v>
      </c>
      <c r="K315" s="79">
        <v>0</v>
      </c>
      <c r="L315" s="33">
        <f t="shared" si="16"/>
        <v>0</v>
      </c>
      <c r="M315" s="81">
        <f t="shared" si="17"/>
        <v>0</v>
      </c>
      <c r="N315" s="35"/>
    </row>
    <row r="316" spans="1:14" x14ac:dyDescent="0.25">
      <c r="A316" s="75" t="s">
        <v>343</v>
      </c>
      <c r="B316" s="76" t="s">
        <v>342</v>
      </c>
      <c r="C316" s="31">
        <v>72</v>
      </c>
      <c r="D316" s="79">
        <v>1311.25</v>
      </c>
      <c r="E316" s="33">
        <v>2</v>
      </c>
      <c r="F316" s="79">
        <v>70.210000000000008</v>
      </c>
      <c r="G316" s="34">
        <f t="shared" si="19"/>
        <v>5.0823042288593231E-2</v>
      </c>
      <c r="H316" s="33">
        <v>74</v>
      </c>
      <c r="I316" s="79">
        <v>1381.46</v>
      </c>
      <c r="J316" s="33">
        <v>84</v>
      </c>
      <c r="K316" s="79">
        <v>1675.42</v>
      </c>
      <c r="L316" s="33">
        <f t="shared" si="16"/>
        <v>-10</v>
      </c>
      <c r="M316" s="81">
        <f t="shared" si="17"/>
        <v>-293.96000000000004</v>
      </c>
      <c r="N316" s="35">
        <f t="shared" si="18"/>
        <v>-0.17545451289825836</v>
      </c>
    </row>
    <row r="317" spans="1:14" x14ac:dyDescent="0.25">
      <c r="A317" s="75" t="s">
        <v>726</v>
      </c>
      <c r="B317" s="76" t="s">
        <v>727</v>
      </c>
      <c r="C317" s="31">
        <v>1</v>
      </c>
      <c r="D317" s="79">
        <v>138.52000000000001</v>
      </c>
      <c r="E317" s="33">
        <v>0</v>
      </c>
      <c r="F317" s="79">
        <v>0</v>
      </c>
      <c r="G317" s="34">
        <f t="shared" si="19"/>
        <v>0</v>
      </c>
      <c r="H317" s="33">
        <v>1</v>
      </c>
      <c r="I317" s="79">
        <v>138.52000000000001</v>
      </c>
      <c r="J317" s="33">
        <v>16</v>
      </c>
      <c r="K317" s="79">
        <v>1928.54</v>
      </c>
      <c r="L317" s="33">
        <f t="shared" si="16"/>
        <v>-15</v>
      </c>
      <c r="M317" s="81">
        <f t="shared" si="17"/>
        <v>-1790.02</v>
      </c>
      <c r="N317" s="35">
        <f t="shared" si="18"/>
        <v>-0.92817364431124061</v>
      </c>
    </row>
    <row r="318" spans="1:14" x14ac:dyDescent="0.25">
      <c r="A318" s="75" t="s">
        <v>728</v>
      </c>
      <c r="B318" s="76" t="s">
        <v>729</v>
      </c>
      <c r="C318" s="31">
        <v>0</v>
      </c>
      <c r="D318" s="79">
        <v>0</v>
      </c>
      <c r="E318" s="33">
        <v>0</v>
      </c>
      <c r="F318" s="79">
        <v>0</v>
      </c>
      <c r="G318" s="34"/>
      <c r="H318" s="33">
        <v>0</v>
      </c>
      <c r="I318" s="79">
        <v>0</v>
      </c>
      <c r="J318" s="33">
        <v>-1</v>
      </c>
      <c r="K318" s="79">
        <v>-4.0199999999999996</v>
      </c>
      <c r="L318" s="33">
        <f t="shared" si="16"/>
        <v>1</v>
      </c>
      <c r="M318" s="81">
        <f t="shared" si="17"/>
        <v>4.0199999999999996</v>
      </c>
      <c r="N318" s="35">
        <f t="shared" si="18"/>
        <v>1</v>
      </c>
    </row>
    <row r="319" spans="1:14" x14ac:dyDescent="0.25">
      <c r="A319" s="75" t="s">
        <v>345</v>
      </c>
      <c r="B319" s="76" t="s">
        <v>344</v>
      </c>
      <c r="C319" s="31">
        <v>4</v>
      </c>
      <c r="D319" s="79">
        <v>196.4</v>
      </c>
      <c r="E319" s="33">
        <v>0</v>
      </c>
      <c r="F319" s="79">
        <v>0</v>
      </c>
      <c r="G319" s="34">
        <f t="shared" si="19"/>
        <v>0</v>
      </c>
      <c r="H319" s="33">
        <v>4</v>
      </c>
      <c r="I319" s="79">
        <v>196.4</v>
      </c>
      <c r="J319" s="33">
        <v>5</v>
      </c>
      <c r="K319" s="79">
        <v>250.47</v>
      </c>
      <c r="L319" s="33">
        <f t="shared" si="16"/>
        <v>-1</v>
      </c>
      <c r="M319" s="81">
        <f t="shared" si="17"/>
        <v>-54.069999999999993</v>
      </c>
      <c r="N319" s="35">
        <f t="shared" si="18"/>
        <v>-0.21587415658561901</v>
      </c>
    </row>
    <row r="320" spans="1:14" x14ac:dyDescent="0.25">
      <c r="A320" s="75" t="s">
        <v>347</v>
      </c>
      <c r="B320" s="76" t="s">
        <v>346</v>
      </c>
      <c r="C320" s="31">
        <v>0</v>
      </c>
      <c r="D320" s="79">
        <v>0</v>
      </c>
      <c r="E320" s="33">
        <v>0</v>
      </c>
      <c r="F320" s="79">
        <v>0</v>
      </c>
      <c r="G320" s="34"/>
      <c r="H320" s="33">
        <v>0</v>
      </c>
      <c r="I320" s="79">
        <v>0</v>
      </c>
      <c r="J320" s="33">
        <v>150</v>
      </c>
      <c r="K320" s="79">
        <v>2971.17</v>
      </c>
      <c r="L320" s="33">
        <f t="shared" si="16"/>
        <v>-150</v>
      </c>
      <c r="M320" s="81">
        <f t="shared" si="17"/>
        <v>-2971.17</v>
      </c>
      <c r="N320" s="35">
        <f t="shared" si="18"/>
        <v>-1</v>
      </c>
    </row>
    <row r="321" spans="1:14" x14ac:dyDescent="0.25">
      <c r="A321" s="75" t="s">
        <v>349</v>
      </c>
      <c r="B321" s="76" t="s">
        <v>348</v>
      </c>
      <c r="C321" s="31">
        <v>4</v>
      </c>
      <c r="D321" s="79">
        <v>24.64</v>
      </c>
      <c r="E321" s="33">
        <v>0</v>
      </c>
      <c r="F321" s="79">
        <v>0</v>
      </c>
      <c r="G321" s="34">
        <f t="shared" si="19"/>
        <v>0</v>
      </c>
      <c r="H321" s="33">
        <v>4</v>
      </c>
      <c r="I321" s="79">
        <v>24.64</v>
      </c>
      <c r="J321" s="33">
        <v>0</v>
      </c>
      <c r="K321" s="79">
        <v>0</v>
      </c>
      <c r="L321" s="33">
        <f t="shared" si="16"/>
        <v>4</v>
      </c>
      <c r="M321" s="81">
        <f t="shared" si="17"/>
        <v>24.64</v>
      </c>
      <c r="N321" s="35"/>
    </row>
    <row r="322" spans="1:14" x14ac:dyDescent="0.25">
      <c r="A322" s="75" t="s">
        <v>351</v>
      </c>
      <c r="B322" s="76" t="s">
        <v>350</v>
      </c>
      <c r="C322" s="31">
        <v>21</v>
      </c>
      <c r="D322" s="79">
        <v>307.53999999999996</v>
      </c>
      <c r="E322" s="33">
        <v>0</v>
      </c>
      <c r="F322" s="79">
        <v>0</v>
      </c>
      <c r="G322" s="34">
        <f t="shared" si="19"/>
        <v>0</v>
      </c>
      <c r="H322" s="33">
        <v>21</v>
      </c>
      <c r="I322" s="79">
        <v>307.53999999999996</v>
      </c>
      <c r="J322" s="33">
        <v>16</v>
      </c>
      <c r="K322" s="79">
        <v>241.98</v>
      </c>
      <c r="L322" s="33">
        <f t="shared" si="16"/>
        <v>5</v>
      </c>
      <c r="M322" s="81">
        <f t="shared" si="17"/>
        <v>65.559999999999974</v>
      </c>
      <c r="N322" s="35">
        <f t="shared" si="18"/>
        <v>0.27093148194065614</v>
      </c>
    </row>
    <row r="323" spans="1:14" x14ac:dyDescent="0.25">
      <c r="A323" s="75" t="s">
        <v>353</v>
      </c>
      <c r="B323" s="76" t="s">
        <v>352</v>
      </c>
      <c r="C323" s="31">
        <v>0</v>
      </c>
      <c r="D323" s="79">
        <v>0</v>
      </c>
      <c r="E323" s="33">
        <v>0</v>
      </c>
      <c r="F323" s="79">
        <v>0</v>
      </c>
      <c r="G323" s="34"/>
      <c r="H323" s="33">
        <v>0</v>
      </c>
      <c r="I323" s="79">
        <v>0</v>
      </c>
      <c r="J323" s="33">
        <v>1</v>
      </c>
      <c r="K323" s="79">
        <v>70.88</v>
      </c>
      <c r="L323" s="33">
        <f t="shared" ref="L323:L386" si="20">H323-J323</f>
        <v>-1</v>
      </c>
      <c r="M323" s="81">
        <f t="shared" ref="M323:M386" si="21">I323-K323</f>
        <v>-70.88</v>
      </c>
      <c r="N323" s="35">
        <f t="shared" ref="N323:N359" si="22">M323/ABS(K323)</f>
        <v>-1</v>
      </c>
    </row>
    <row r="324" spans="1:14" x14ac:dyDescent="0.25">
      <c r="A324" s="75" t="s">
        <v>355</v>
      </c>
      <c r="B324" s="76" t="s">
        <v>354</v>
      </c>
      <c r="C324" s="31">
        <v>0</v>
      </c>
      <c r="D324" s="79">
        <v>0</v>
      </c>
      <c r="E324" s="33">
        <v>0</v>
      </c>
      <c r="F324" s="79">
        <v>0</v>
      </c>
      <c r="G324" s="34"/>
      <c r="H324" s="33">
        <v>0</v>
      </c>
      <c r="I324" s="79">
        <v>0</v>
      </c>
      <c r="J324" s="33">
        <v>3</v>
      </c>
      <c r="K324" s="79">
        <v>92.82</v>
      </c>
      <c r="L324" s="33">
        <f t="shared" si="20"/>
        <v>-3</v>
      </c>
      <c r="M324" s="81">
        <f t="shared" si="21"/>
        <v>-92.82</v>
      </c>
      <c r="N324" s="35">
        <f t="shared" si="22"/>
        <v>-1</v>
      </c>
    </row>
    <row r="325" spans="1:14" x14ac:dyDescent="0.25">
      <c r="A325" s="75" t="s">
        <v>357</v>
      </c>
      <c r="B325" s="76" t="s">
        <v>356</v>
      </c>
      <c r="C325" s="31">
        <v>2</v>
      </c>
      <c r="D325" s="79">
        <v>196.44</v>
      </c>
      <c r="E325" s="33">
        <v>0</v>
      </c>
      <c r="F325" s="79">
        <v>0</v>
      </c>
      <c r="G325" s="34">
        <f t="shared" si="19"/>
        <v>0</v>
      </c>
      <c r="H325" s="33">
        <v>2</v>
      </c>
      <c r="I325" s="79">
        <v>196.44</v>
      </c>
      <c r="J325" s="33">
        <v>31</v>
      </c>
      <c r="K325" s="79">
        <v>2261.4499999999998</v>
      </c>
      <c r="L325" s="33">
        <f t="shared" si="20"/>
        <v>-29</v>
      </c>
      <c r="M325" s="81">
        <f t="shared" si="21"/>
        <v>-2065.0099999999998</v>
      </c>
      <c r="N325" s="35">
        <f t="shared" si="22"/>
        <v>-0.91313537774436748</v>
      </c>
    </row>
    <row r="326" spans="1:14" x14ac:dyDescent="0.25">
      <c r="A326" s="75" t="s">
        <v>359</v>
      </c>
      <c r="B326" s="76" t="s">
        <v>358</v>
      </c>
      <c r="C326" s="31">
        <v>0</v>
      </c>
      <c r="D326" s="79">
        <v>0</v>
      </c>
      <c r="E326" s="33">
        <v>0</v>
      </c>
      <c r="F326" s="79">
        <v>0</v>
      </c>
      <c r="G326" s="34"/>
      <c r="H326" s="33">
        <v>0</v>
      </c>
      <c r="I326" s="79">
        <v>0</v>
      </c>
      <c r="J326" s="33">
        <v>0</v>
      </c>
      <c r="K326" s="79">
        <v>0</v>
      </c>
      <c r="L326" s="33">
        <f t="shared" si="20"/>
        <v>0</v>
      </c>
      <c r="M326" s="81">
        <f t="shared" si="21"/>
        <v>0</v>
      </c>
      <c r="N326" s="35"/>
    </row>
    <row r="327" spans="1:14" x14ac:dyDescent="0.25">
      <c r="A327" s="75" t="s">
        <v>361</v>
      </c>
      <c r="B327" s="76" t="s">
        <v>360</v>
      </c>
      <c r="C327" s="31">
        <v>230</v>
      </c>
      <c r="D327" s="79">
        <v>3185.5</v>
      </c>
      <c r="E327" s="33">
        <v>10</v>
      </c>
      <c r="F327" s="79">
        <v>249</v>
      </c>
      <c r="G327" s="34">
        <f t="shared" si="19"/>
        <v>7.249963604600379E-2</v>
      </c>
      <c r="H327" s="33">
        <v>240</v>
      </c>
      <c r="I327" s="79">
        <v>3434.5</v>
      </c>
      <c r="J327" s="33">
        <v>739</v>
      </c>
      <c r="K327" s="79">
        <v>10144.950000000001</v>
      </c>
      <c r="L327" s="33">
        <f t="shared" si="20"/>
        <v>-499</v>
      </c>
      <c r="M327" s="81">
        <f t="shared" si="21"/>
        <v>-6710.4500000000007</v>
      </c>
      <c r="N327" s="35">
        <f t="shared" si="22"/>
        <v>-0.66145717820196259</v>
      </c>
    </row>
    <row r="328" spans="1:14" x14ac:dyDescent="0.25">
      <c r="A328" s="75" t="s">
        <v>363</v>
      </c>
      <c r="B328" s="76" t="s">
        <v>362</v>
      </c>
      <c r="C328" s="31">
        <v>1</v>
      </c>
      <c r="D328" s="79">
        <v>10.65</v>
      </c>
      <c r="E328" s="33">
        <v>0</v>
      </c>
      <c r="F328" s="79">
        <v>0</v>
      </c>
      <c r="G328" s="34">
        <f t="shared" si="19"/>
        <v>0</v>
      </c>
      <c r="H328" s="33">
        <v>1</v>
      </c>
      <c r="I328" s="79">
        <v>10.65</v>
      </c>
      <c r="J328" s="33">
        <v>1</v>
      </c>
      <c r="K328" s="79">
        <v>12.21</v>
      </c>
      <c r="L328" s="33">
        <f t="shared" si="20"/>
        <v>0</v>
      </c>
      <c r="M328" s="81">
        <f t="shared" si="21"/>
        <v>-1.5600000000000005</v>
      </c>
      <c r="N328" s="35">
        <f t="shared" si="22"/>
        <v>-0.12776412776412779</v>
      </c>
    </row>
    <row r="329" spans="1:14" x14ac:dyDescent="0.25">
      <c r="A329" s="75" t="s">
        <v>365</v>
      </c>
      <c r="B329" s="76" t="s">
        <v>364</v>
      </c>
      <c r="C329" s="31">
        <v>26</v>
      </c>
      <c r="D329" s="79">
        <v>975.62000000000012</v>
      </c>
      <c r="E329" s="33">
        <v>0</v>
      </c>
      <c r="F329" s="79">
        <v>0</v>
      </c>
      <c r="G329" s="34">
        <f t="shared" si="19"/>
        <v>0</v>
      </c>
      <c r="H329" s="33">
        <v>26</v>
      </c>
      <c r="I329" s="79">
        <v>975.62000000000012</v>
      </c>
      <c r="J329" s="33">
        <v>68</v>
      </c>
      <c r="K329" s="79">
        <v>2527.41</v>
      </c>
      <c r="L329" s="33">
        <f t="shared" si="20"/>
        <v>-42</v>
      </c>
      <c r="M329" s="81">
        <f t="shared" si="21"/>
        <v>-1551.7899999999997</v>
      </c>
      <c r="N329" s="35">
        <f t="shared" si="22"/>
        <v>-0.6139842763936203</v>
      </c>
    </row>
    <row r="330" spans="1:14" x14ac:dyDescent="0.25">
      <c r="A330" s="75" t="s">
        <v>367</v>
      </c>
      <c r="B330" s="76" t="s">
        <v>366</v>
      </c>
      <c r="C330" s="31">
        <v>25</v>
      </c>
      <c r="D330" s="79">
        <v>665.67000000000007</v>
      </c>
      <c r="E330" s="33">
        <v>0</v>
      </c>
      <c r="F330" s="79">
        <v>0</v>
      </c>
      <c r="G330" s="34">
        <f t="shared" si="19"/>
        <v>0</v>
      </c>
      <c r="H330" s="33">
        <v>25</v>
      </c>
      <c r="I330" s="79">
        <v>665.67000000000007</v>
      </c>
      <c r="J330" s="33">
        <v>32</v>
      </c>
      <c r="K330" s="79">
        <v>757.26</v>
      </c>
      <c r="L330" s="33">
        <f t="shared" si="20"/>
        <v>-7</v>
      </c>
      <c r="M330" s="81">
        <f t="shared" si="21"/>
        <v>-91.589999999999918</v>
      </c>
      <c r="N330" s="35">
        <f t="shared" si="22"/>
        <v>-0.12094921163140786</v>
      </c>
    </row>
    <row r="331" spans="1:14" x14ac:dyDescent="0.25">
      <c r="A331" s="75" t="s">
        <v>369</v>
      </c>
      <c r="B331" s="76" t="s">
        <v>368</v>
      </c>
      <c r="C331" s="31">
        <v>524</v>
      </c>
      <c r="D331" s="79">
        <v>5677.1900000000005</v>
      </c>
      <c r="E331" s="33">
        <v>7</v>
      </c>
      <c r="F331" s="79">
        <v>76.300000000000011</v>
      </c>
      <c r="G331" s="34">
        <f t="shared" ref="G331:G391" si="23">F331/I331</f>
        <v>1.3261516053734343E-2</v>
      </c>
      <c r="H331" s="33">
        <v>531</v>
      </c>
      <c r="I331" s="79">
        <v>5753.4900000000007</v>
      </c>
      <c r="J331" s="33">
        <v>3732</v>
      </c>
      <c r="K331" s="79">
        <v>30266.519999999997</v>
      </c>
      <c r="L331" s="33">
        <f t="shared" si="20"/>
        <v>-3201</v>
      </c>
      <c r="M331" s="81">
        <f t="shared" si="21"/>
        <v>-24513.029999999995</v>
      </c>
      <c r="N331" s="35">
        <f t="shared" si="22"/>
        <v>-0.80990579690033737</v>
      </c>
    </row>
    <row r="332" spans="1:14" x14ac:dyDescent="0.25">
      <c r="A332" s="75" t="s">
        <v>371</v>
      </c>
      <c r="B332" s="76" t="s">
        <v>370</v>
      </c>
      <c r="C332" s="31">
        <v>27</v>
      </c>
      <c r="D332" s="79">
        <v>873.08999999999992</v>
      </c>
      <c r="E332" s="33">
        <v>0</v>
      </c>
      <c r="F332" s="79">
        <v>0</v>
      </c>
      <c r="G332" s="34">
        <f t="shared" si="23"/>
        <v>0</v>
      </c>
      <c r="H332" s="33">
        <v>27</v>
      </c>
      <c r="I332" s="79">
        <v>873.08999999999992</v>
      </c>
      <c r="J332" s="33">
        <v>72</v>
      </c>
      <c r="K332" s="79">
        <v>2354.4</v>
      </c>
      <c r="L332" s="33">
        <f t="shared" si="20"/>
        <v>-45</v>
      </c>
      <c r="M332" s="81">
        <f t="shared" si="21"/>
        <v>-1481.3100000000002</v>
      </c>
      <c r="N332" s="35">
        <f t="shared" si="22"/>
        <v>-0.62916666666666676</v>
      </c>
    </row>
    <row r="333" spans="1:14" x14ac:dyDescent="0.25">
      <c r="A333" s="75" t="s">
        <v>373</v>
      </c>
      <c r="B333" s="76" t="s">
        <v>372</v>
      </c>
      <c r="C333" s="31">
        <v>0</v>
      </c>
      <c r="D333" s="79">
        <v>0</v>
      </c>
      <c r="E333" s="33">
        <v>0</v>
      </c>
      <c r="F333" s="79">
        <v>0</v>
      </c>
      <c r="G333" s="34"/>
      <c r="H333" s="33">
        <v>0</v>
      </c>
      <c r="I333" s="79">
        <v>0</v>
      </c>
      <c r="J333" s="33">
        <v>0</v>
      </c>
      <c r="K333" s="79">
        <v>0</v>
      </c>
      <c r="L333" s="33">
        <f t="shared" si="20"/>
        <v>0</v>
      </c>
      <c r="M333" s="81">
        <f t="shared" si="21"/>
        <v>0</v>
      </c>
      <c r="N333" s="35"/>
    </row>
    <row r="334" spans="1:14" x14ac:dyDescent="0.25">
      <c r="A334" s="75" t="s">
        <v>730</v>
      </c>
      <c r="B334" s="76" t="s">
        <v>731</v>
      </c>
      <c r="C334" s="31">
        <v>0</v>
      </c>
      <c r="D334" s="79">
        <v>0</v>
      </c>
      <c r="E334" s="33">
        <v>0</v>
      </c>
      <c r="F334" s="79">
        <v>0</v>
      </c>
      <c r="G334" s="34"/>
      <c r="H334" s="33">
        <v>0</v>
      </c>
      <c r="I334" s="79">
        <v>0</v>
      </c>
      <c r="J334" s="33">
        <v>0</v>
      </c>
      <c r="K334" s="79">
        <v>0</v>
      </c>
      <c r="L334" s="33">
        <f t="shared" si="20"/>
        <v>0</v>
      </c>
      <c r="M334" s="81">
        <f t="shared" si="21"/>
        <v>0</v>
      </c>
      <c r="N334" s="35"/>
    </row>
    <row r="335" spans="1:14" x14ac:dyDescent="0.25">
      <c r="A335" s="75" t="s">
        <v>375</v>
      </c>
      <c r="B335" s="76" t="s">
        <v>374</v>
      </c>
      <c r="C335" s="31">
        <v>23</v>
      </c>
      <c r="D335" s="79">
        <v>430.01</v>
      </c>
      <c r="E335" s="33">
        <v>0</v>
      </c>
      <c r="F335" s="79">
        <v>0</v>
      </c>
      <c r="G335" s="34">
        <f t="shared" si="23"/>
        <v>0</v>
      </c>
      <c r="H335" s="33">
        <v>23</v>
      </c>
      <c r="I335" s="79">
        <v>430.01</v>
      </c>
      <c r="J335" s="33">
        <v>185</v>
      </c>
      <c r="K335" s="79">
        <v>3017.3500000000004</v>
      </c>
      <c r="L335" s="33">
        <f t="shared" si="20"/>
        <v>-162</v>
      </c>
      <c r="M335" s="81">
        <f t="shared" si="21"/>
        <v>-2587.34</v>
      </c>
      <c r="N335" s="35">
        <f t="shared" si="22"/>
        <v>-0.8574875304489038</v>
      </c>
    </row>
    <row r="336" spans="1:14" x14ac:dyDescent="0.25">
      <c r="A336" s="75" t="s">
        <v>377</v>
      </c>
      <c r="B336" s="76" t="s">
        <v>376</v>
      </c>
      <c r="C336" s="31">
        <v>18</v>
      </c>
      <c r="D336" s="79">
        <v>337.86</v>
      </c>
      <c r="E336" s="33">
        <v>0</v>
      </c>
      <c r="F336" s="79">
        <v>0</v>
      </c>
      <c r="G336" s="34">
        <f t="shared" si="23"/>
        <v>0</v>
      </c>
      <c r="H336" s="33">
        <v>18</v>
      </c>
      <c r="I336" s="79">
        <v>337.86</v>
      </c>
      <c r="J336" s="33">
        <v>48</v>
      </c>
      <c r="K336" s="79">
        <v>782.88</v>
      </c>
      <c r="L336" s="33">
        <f t="shared" si="20"/>
        <v>-30</v>
      </c>
      <c r="M336" s="81">
        <f t="shared" si="21"/>
        <v>-445.02</v>
      </c>
      <c r="N336" s="35">
        <f t="shared" si="22"/>
        <v>-0.56843960760269774</v>
      </c>
    </row>
    <row r="337" spans="1:14" x14ac:dyDescent="0.25">
      <c r="A337" s="75" t="s">
        <v>379</v>
      </c>
      <c r="B337" s="76" t="s">
        <v>378</v>
      </c>
      <c r="C337" s="31">
        <v>24</v>
      </c>
      <c r="D337" s="79">
        <v>450.48</v>
      </c>
      <c r="E337" s="33">
        <v>45</v>
      </c>
      <c r="F337" s="79">
        <v>970.49999999999966</v>
      </c>
      <c r="G337" s="34">
        <f t="shared" si="23"/>
        <v>0.68297935227800532</v>
      </c>
      <c r="H337" s="33">
        <v>69</v>
      </c>
      <c r="I337" s="79">
        <v>1420.9799999999996</v>
      </c>
      <c r="J337" s="33">
        <v>135</v>
      </c>
      <c r="K337" s="79">
        <v>2201.85</v>
      </c>
      <c r="L337" s="33">
        <f t="shared" si="20"/>
        <v>-66</v>
      </c>
      <c r="M337" s="81">
        <f t="shared" si="21"/>
        <v>-780.87000000000035</v>
      </c>
      <c r="N337" s="35">
        <f t="shared" si="22"/>
        <v>-0.35464268683152822</v>
      </c>
    </row>
    <row r="338" spans="1:14" x14ac:dyDescent="0.25">
      <c r="A338" s="75" t="s">
        <v>381</v>
      </c>
      <c r="B338" s="76" t="s">
        <v>380</v>
      </c>
      <c r="C338" s="31">
        <v>11</v>
      </c>
      <c r="D338" s="79">
        <v>441.1</v>
      </c>
      <c r="E338" s="33">
        <v>0</v>
      </c>
      <c r="F338" s="79">
        <v>0</v>
      </c>
      <c r="G338" s="34">
        <f t="shared" si="23"/>
        <v>0</v>
      </c>
      <c r="H338" s="33">
        <v>11</v>
      </c>
      <c r="I338" s="79">
        <v>441.1</v>
      </c>
      <c r="J338" s="33">
        <v>13</v>
      </c>
      <c r="K338" s="79">
        <v>518.32999999999993</v>
      </c>
      <c r="L338" s="33">
        <f t="shared" si="20"/>
        <v>-2</v>
      </c>
      <c r="M338" s="81">
        <f t="shared" si="21"/>
        <v>-77.229999999999905</v>
      </c>
      <c r="N338" s="35">
        <f t="shared" si="22"/>
        <v>-0.14899774275075708</v>
      </c>
    </row>
    <row r="339" spans="1:14" x14ac:dyDescent="0.25">
      <c r="A339" s="75" t="s">
        <v>383</v>
      </c>
      <c r="B339" s="76" t="s">
        <v>382</v>
      </c>
      <c r="C339" s="31">
        <v>12</v>
      </c>
      <c r="D339" s="79">
        <v>157.54</v>
      </c>
      <c r="E339" s="33">
        <v>0</v>
      </c>
      <c r="F339" s="79">
        <v>0</v>
      </c>
      <c r="G339" s="34">
        <f t="shared" si="23"/>
        <v>0</v>
      </c>
      <c r="H339" s="33">
        <v>12</v>
      </c>
      <c r="I339" s="79">
        <v>157.54</v>
      </c>
      <c r="J339" s="33">
        <v>10</v>
      </c>
      <c r="K339" s="79">
        <v>163.1</v>
      </c>
      <c r="L339" s="33">
        <f t="shared" si="20"/>
        <v>2</v>
      </c>
      <c r="M339" s="81">
        <f t="shared" si="21"/>
        <v>-5.5600000000000023</v>
      </c>
      <c r="N339" s="35">
        <f t="shared" si="22"/>
        <v>-3.4089515634580028E-2</v>
      </c>
    </row>
    <row r="340" spans="1:14" x14ac:dyDescent="0.25">
      <c r="A340" s="75" t="s">
        <v>385</v>
      </c>
      <c r="B340" s="76" t="s">
        <v>384</v>
      </c>
      <c r="C340" s="31">
        <v>288</v>
      </c>
      <c r="D340" s="79">
        <v>4681.28</v>
      </c>
      <c r="E340" s="33">
        <v>34</v>
      </c>
      <c r="F340" s="79">
        <v>819.1099999999999</v>
      </c>
      <c r="G340" s="34">
        <f t="shared" si="23"/>
        <v>0.14891853123142174</v>
      </c>
      <c r="H340" s="33">
        <v>322</v>
      </c>
      <c r="I340" s="79">
        <v>5500.39</v>
      </c>
      <c r="J340" s="33">
        <v>1695</v>
      </c>
      <c r="K340" s="79">
        <v>27645.45</v>
      </c>
      <c r="L340" s="33">
        <f t="shared" si="20"/>
        <v>-1373</v>
      </c>
      <c r="M340" s="81">
        <f t="shared" si="21"/>
        <v>-22145.06</v>
      </c>
      <c r="N340" s="35">
        <f t="shared" si="22"/>
        <v>-0.80103814551761687</v>
      </c>
    </row>
    <row r="341" spans="1:14" x14ac:dyDescent="0.25">
      <c r="A341" s="75" t="s">
        <v>387</v>
      </c>
      <c r="B341" s="76" t="s">
        <v>386</v>
      </c>
      <c r="C341" s="31">
        <v>4</v>
      </c>
      <c r="D341" s="79">
        <v>180</v>
      </c>
      <c r="E341" s="33">
        <v>0</v>
      </c>
      <c r="F341" s="79">
        <v>0</v>
      </c>
      <c r="G341" s="34">
        <f t="shared" si="23"/>
        <v>0</v>
      </c>
      <c r="H341" s="33">
        <v>4</v>
      </c>
      <c r="I341" s="79">
        <v>180</v>
      </c>
      <c r="J341" s="33">
        <v>4</v>
      </c>
      <c r="K341" s="79">
        <v>162.91</v>
      </c>
      <c r="L341" s="33">
        <f t="shared" si="20"/>
        <v>0</v>
      </c>
      <c r="M341" s="81">
        <f t="shared" si="21"/>
        <v>17.090000000000003</v>
      </c>
      <c r="N341" s="35">
        <f t="shared" si="22"/>
        <v>0.10490454852372479</v>
      </c>
    </row>
    <row r="342" spans="1:14" x14ac:dyDescent="0.25">
      <c r="A342" s="75" t="s">
        <v>389</v>
      </c>
      <c r="B342" s="76" t="s">
        <v>388</v>
      </c>
      <c r="C342" s="31">
        <v>27</v>
      </c>
      <c r="D342" s="79">
        <v>218.96999999999997</v>
      </c>
      <c r="E342" s="33">
        <v>0</v>
      </c>
      <c r="F342" s="79">
        <v>0</v>
      </c>
      <c r="G342" s="34">
        <f t="shared" si="23"/>
        <v>0</v>
      </c>
      <c r="H342" s="33">
        <v>27</v>
      </c>
      <c r="I342" s="79">
        <v>218.96999999999997</v>
      </c>
      <c r="J342" s="33">
        <v>78</v>
      </c>
      <c r="K342" s="79">
        <v>632.57999999999993</v>
      </c>
      <c r="L342" s="33">
        <f t="shared" si="20"/>
        <v>-51</v>
      </c>
      <c r="M342" s="81">
        <f t="shared" si="21"/>
        <v>-413.60999999999996</v>
      </c>
      <c r="N342" s="35">
        <f t="shared" si="22"/>
        <v>-0.65384615384615385</v>
      </c>
    </row>
    <row r="343" spans="1:14" x14ac:dyDescent="0.25">
      <c r="A343" s="75" t="s">
        <v>391</v>
      </c>
      <c r="B343" s="76" t="s">
        <v>390</v>
      </c>
      <c r="C343" s="31">
        <v>197</v>
      </c>
      <c r="D343" s="79">
        <v>17192.650000000001</v>
      </c>
      <c r="E343" s="33">
        <v>0</v>
      </c>
      <c r="F343" s="79">
        <v>0</v>
      </c>
      <c r="G343" s="34">
        <f t="shared" si="23"/>
        <v>0</v>
      </c>
      <c r="H343" s="33">
        <v>197</v>
      </c>
      <c r="I343" s="79">
        <v>17192.650000000001</v>
      </c>
      <c r="J343" s="33">
        <v>60</v>
      </c>
      <c r="K343" s="79">
        <v>5181.68</v>
      </c>
      <c r="L343" s="33">
        <f t="shared" si="20"/>
        <v>137</v>
      </c>
      <c r="M343" s="81">
        <f t="shared" si="21"/>
        <v>12010.970000000001</v>
      </c>
      <c r="N343" s="35">
        <f t="shared" si="22"/>
        <v>2.3179683037161696</v>
      </c>
    </row>
    <row r="344" spans="1:14" x14ac:dyDescent="0.25">
      <c r="A344" s="75" t="s">
        <v>393</v>
      </c>
      <c r="B344" s="76" t="s">
        <v>392</v>
      </c>
      <c r="C344" s="31">
        <v>17</v>
      </c>
      <c r="D344" s="79">
        <v>1651.17</v>
      </c>
      <c r="E344" s="33">
        <v>0</v>
      </c>
      <c r="F344" s="79">
        <v>0</v>
      </c>
      <c r="G344" s="34">
        <f t="shared" si="23"/>
        <v>0</v>
      </c>
      <c r="H344" s="33">
        <v>17</v>
      </c>
      <c r="I344" s="79">
        <v>1651.17</v>
      </c>
      <c r="J344" s="33">
        <v>90</v>
      </c>
      <c r="K344" s="79">
        <v>7370.1</v>
      </c>
      <c r="L344" s="33">
        <f t="shared" si="20"/>
        <v>-73</v>
      </c>
      <c r="M344" s="81">
        <f t="shared" si="21"/>
        <v>-5718.93</v>
      </c>
      <c r="N344" s="35">
        <f t="shared" si="22"/>
        <v>-0.77596369113037811</v>
      </c>
    </row>
    <row r="345" spans="1:14" x14ac:dyDescent="0.25">
      <c r="A345" s="75" t="s">
        <v>395</v>
      </c>
      <c r="B345" s="76" t="s">
        <v>394</v>
      </c>
      <c r="C345" s="31">
        <v>213</v>
      </c>
      <c r="D345" s="79">
        <v>2362.7399999999998</v>
      </c>
      <c r="E345" s="33">
        <v>0</v>
      </c>
      <c r="F345" s="79">
        <v>0</v>
      </c>
      <c r="G345" s="34">
        <f t="shared" si="23"/>
        <v>0</v>
      </c>
      <c r="H345" s="33">
        <v>213</v>
      </c>
      <c r="I345" s="79">
        <v>2362.7399999999998</v>
      </c>
      <c r="J345" s="33">
        <v>601</v>
      </c>
      <c r="K345" s="79">
        <v>6352.57</v>
      </c>
      <c r="L345" s="33">
        <f t="shared" si="20"/>
        <v>-388</v>
      </c>
      <c r="M345" s="81">
        <f t="shared" si="21"/>
        <v>-3989.83</v>
      </c>
      <c r="N345" s="35">
        <f t="shared" si="22"/>
        <v>-0.62806549160418546</v>
      </c>
    </row>
    <row r="346" spans="1:14" x14ac:dyDescent="0.25">
      <c r="A346" s="75" t="s">
        <v>397</v>
      </c>
      <c r="B346" s="76" t="s">
        <v>396</v>
      </c>
      <c r="C346" s="31">
        <v>0</v>
      </c>
      <c r="D346" s="79">
        <v>0</v>
      </c>
      <c r="E346" s="33">
        <v>0</v>
      </c>
      <c r="F346" s="79">
        <v>0</v>
      </c>
      <c r="G346" s="34"/>
      <c r="H346" s="33">
        <v>0</v>
      </c>
      <c r="I346" s="79">
        <v>0</v>
      </c>
      <c r="J346" s="33">
        <v>2</v>
      </c>
      <c r="K346" s="79">
        <v>114.6</v>
      </c>
      <c r="L346" s="33">
        <f t="shared" si="20"/>
        <v>-2</v>
      </c>
      <c r="M346" s="81">
        <f t="shared" si="21"/>
        <v>-114.6</v>
      </c>
      <c r="N346" s="35">
        <f t="shared" si="22"/>
        <v>-1</v>
      </c>
    </row>
    <row r="347" spans="1:14" x14ac:dyDescent="0.25">
      <c r="A347" s="75" t="s">
        <v>399</v>
      </c>
      <c r="B347" s="76" t="s">
        <v>398</v>
      </c>
      <c r="C347" s="31">
        <v>8</v>
      </c>
      <c r="D347" s="79">
        <v>340.28</v>
      </c>
      <c r="E347" s="33">
        <v>0</v>
      </c>
      <c r="F347" s="79">
        <v>0</v>
      </c>
      <c r="G347" s="34">
        <f t="shared" si="23"/>
        <v>0</v>
      </c>
      <c r="H347" s="33">
        <v>8</v>
      </c>
      <c r="I347" s="79">
        <v>340.28</v>
      </c>
      <c r="J347" s="33">
        <v>21</v>
      </c>
      <c r="K347" s="79">
        <v>772.8</v>
      </c>
      <c r="L347" s="33">
        <f t="shared" si="20"/>
        <v>-13</v>
      </c>
      <c r="M347" s="81">
        <f t="shared" si="21"/>
        <v>-432.52</v>
      </c>
      <c r="N347" s="35">
        <f t="shared" si="22"/>
        <v>-0.5596790890269151</v>
      </c>
    </row>
    <row r="348" spans="1:14" x14ac:dyDescent="0.25">
      <c r="A348" s="75" t="s">
        <v>732</v>
      </c>
      <c r="B348" s="76" t="s">
        <v>733</v>
      </c>
      <c r="C348" s="31">
        <v>0</v>
      </c>
      <c r="D348" s="79">
        <v>0</v>
      </c>
      <c r="E348" s="33">
        <v>0</v>
      </c>
      <c r="F348" s="79">
        <v>0</v>
      </c>
      <c r="G348" s="34"/>
      <c r="H348" s="33">
        <v>0</v>
      </c>
      <c r="I348" s="79">
        <v>0</v>
      </c>
      <c r="J348" s="33">
        <v>0</v>
      </c>
      <c r="K348" s="79">
        <v>0</v>
      </c>
      <c r="L348" s="33">
        <f t="shared" si="20"/>
        <v>0</v>
      </c>
      <c r="M348" s="81">
        <f t="shared" si="21"/>
        <v>0</v>
      </c>
      <c r="N348" s="35"/>
    </row>
    <row r="349" spans="1:14" x14ac:dyDescent="0.25">
      <c r="A349" s="75" t="s">
        <v>401</v>
      </c>
      <c r="B349" s="76" t="s">
        <v>400</v>
      </c>
      <c r="C349" s="31">
        <v>1307</v>
      </c>
      <c r="D349" s="79">
        <v>21264.89</v>
      </c>
      <c r="E349" s="33">
        <v>0</v>
      </c>
      <c r="F349" s="79">
        <v>0</v>
      </c>
      <c r="G349" s="34">
        <f t="shared" si="23"/>
        <v>0</v>
      </c>
      <c r="H349" s="33">
        <v>1307</v>
      </c>
      <c r="I349" s="79">
        <v>21264.89</v>
      </c>
      <c r="J349" s="33">
        <v>920</v>
      </c>
      <c r="K349" s="79">
        <v>15005.199999999999</v>
      </c>
      <c r="L349" s="33">
        <f t="shared" si="20"/>
        <v>387</v>
      </c>
      <c r="M349" s="81">
        <f t="shared" si="21"/>
        <v>6259.6900000000005</v>
      </c>
      <c r="N349" s="35">
        <f t="shared" si="22"/>
        <v>0.41716804840988464</v>
      </c>
    </row>
    <row r="350" spans="1:14" x14ac:dyDescent="0.25">
      <c r="A350" s="75" t="s">
        <v>403</v>
      </c>
      <c r="B350" s="76" t="s">
        <v>402</v>
      </c>
      <c r="C350" s="31">
        <v>8</v>
      </c>
      <c r="D350" s="79">
        <v>350.79</v>
      </c>
      <c r="E350" s="33">
        <v>0</v>
      </c>
      <c r="F350" s="79">
        <v>0</v>
      </c>
      <c r="G350" s="34">
        <f t="shared" si="23"/>
        <v>0</v>
      </c>
      <c r="H350" s="33">
        <v>8</v>
      </c>
      <c r="I350" s="79">
        <v>350.79</v>
      </c>
      <c r="J350" s="33">
        <v>10</v>
      </c>
      <c r="K350" s="79">
        <v>297.52</v>
      </c>
      <c r="L350" s="33">
        <f t="shared" si="20"/>
        <v>-2</v>
      </c>
      <c r="M350" s="81">
        <f t="shared" si="21"/>
        <v>53.270000000000039</v>
      </c>
      <c r="N350" s="35">
        <f t="shared" si="22"/>
        <v>0.1790467867706374</v>
      </c>
    </row>
    <row r="351" spans="1:14" x14ac:dyDescent="0.25">
      <c r="A351" s="75" t="s">
        <v>405</v>
      </c>
      <c r="B351" s="76" t="s">
        <v>404</v>
      </c>
      <c r="C351" s="31">
        <v>5</v>
      </c>
      <c r="D351" s="79">
        <v>760.35</v>
      </c>
      <c r="E351" s="33">
        <v>0</v>
      </c>
      <c r="F351" s="79">
        <v>0</v>
      </c>
      <c r="G351" s="34">
        <f t="shared" si="23"/>
        <v>0</v>
      </c>
      <c r="H351" s="33">
        <v>5</v>
      </c>
      <c r="I351" s="79">
        <v>760.35</v>
      </c>
      <c r="J351" s="33">
        <v>3</v>
      </c>
      <c r="K351" s="79">
        <v>367.40999999999997</v>
      </c>
      <c r="L351" s="33">
        <f t="shared" si="20"/>
        <v>2</v>
      </c>
      <c r="M351" s="81">
        <f t="shared" si="21"/>
        <v>392.94000000000005</v>
      </c>
      <c r="N351" s="35">
        <f t="shared" si="22"/>
        <v>1.0694864048338371</v>
      </c>
    </row>
    <row r="352" spans="1:14" x14ac:dyDescent="0.25">
      <c r="A352" s="75" t="s">
        <v>407</v>
      </c>
      <c r="B352" s="76" t="s">
        <v>406</v>
      </c>
      <c r="C352" s="31">
        <v>1316</v>
      </c>
      <c r="D352" s="79">
        <v>6459.9599999999991</v>
      </c>
      <c r="E352" s="33">
        <v>0</v>
      </c>
      <c r="F352" s="79">
        <v>0</v>
      </c>
      <c r="G352" s="34">
        <f t="shared" si="23"/>
        <v>0</v>
      </c>
      <c r="H352" s="33">
        <v>1316</v>
      </c>
      <c r="I352" s="79">
        <v>6459.9599999999991</v>
      </c>
      <c r="J352" s="33">
        <v>1786</v>
      </c>
      <c r="K352" s="79">
        <v>7304.09</v>
      </c>
      <c r="L352" s="33">
        <f t="shared" si="20"/>
        <v>-470</v>
      </c>
      <c r="M352" s="81">
        <f t="shared" si="21"/>
        <v>-844.13000000000102</v>
      </c>
      <c r="N352" s="35">
        <f t="shared" si="22"/>
        <v>-0.11556949599470995</v>
      </c>
    </row>
    <row r="353" spans="1:14" x14ac:dyDescent="0.25">
      <c r="A353" s="75" t="s">
        <v>409</v>
      </c>
      <c r="B353" s="76" t="s">
        <v>408</v>
      </c>
      <c r="C353" s="31">
        <v>91</v>
      </c>
      <c r="D353" s="79">
        <v>517.52</v>
      </c>
      <c r="E353" s="33">
        <v>0</v>
      </c>
      <c r="F353" s="79">
        <v>0</v>
      </c>
      <c r="G353" s="34">
        <f t="shared" si="23"/>
        <v>0</v>
      </c>
      <c r="H353" s="33">
        <v>91</v>
      </c>
      <c r="I353" s="79">
        <v>517.52</v>
      </c>
      <c r="J353" s="33">
        <v>2450</v>
      </c>
      <c r="K353" s="79">
        <v>9849</v>
      </c>
      <c r="L353" s="33">
        <f t="shared" si="20"/>
        <v>-2359</v>
      </c>
      <c r="M353" s="81">
        <f t="shared" si="21"/>
        <v>-9331.48</v>
      </c>
      <c r="N353" s="35">
        <f t="shared" si="22"/>
        <v>-0.94745456391511829</v>
      </c>
    </row>
    <row r="354" spans="1:14" x14ac:dyDescent="0.25">
      <c r="A354" s="75" t="s">
        <v>411</v>
      </c>
      <c r="B354" s="76" t="s">
        <v>410</v>
      </c>
      <c r="C354" s="31">
        <v>28</v>
      </c>
      <c r="D354" s="79">
        <v>115.10999999999999</v>
      </c>
      <c r="E354" s="33">
        <v>0</v>
      </c>
      <c r="F354" s="79">
        <v>0</v>
      </c>
      <c r="G354" s="34">
        <f t="shared" si="23"/>
        <v>0</v>
      </c>
      <c r="H354" s="33">
        <v>28</v>
      </c>
      <c r="I354" s="79">
        <v>115.10999999999999</v>
      </c>
      <c r="J354" s="33">
        <v>19</v>
      </c>
      <c r="K354" s="79">
        <v>124.44999999999999</v>
      </c>
      <c r="L354" s="33">
        <f t="shared" si="20"/>
        <v>9</v>
      </c>
      <c r="M354" s="81">
        <f t="shared" si="21"/>
        <v>-9.3400000000000034</v>
      </c>
      <c r="N354" s="35">
        <f t="shared" si="22"/>
        <v>-7.5050220972278064E-2</v>
      </c>
    </row>
    <row r="355" spans="1:14" x14ac:dyDescent="0.25">
      <c r="A355" s="75" t="s">
        <v>413</v>
      </c>
      <c r="B355" s="76" t="s">
        <v>412</v>
      </c>
      <c r="C355" s="31">
        <v>0</v>
      </c>
      <c r="D355" s="79">
        <v>0</v>
      </c>
      <c r="E355" s="33">
        <v>0</v>
      </c>
      <c r="F355" s="79">
        <v>0</v>
      </c>
      <c r="G355" s="34"/>
      <c r="H355" s="33">
        <v>0</v>
      </c>
      <c r="I355" s="79">
        <v>0</v>
      </c>
      <c r="J355" s="33">
        <v>0</v>
      </c>
      <c r="K355" s="79">
        <v>0</v>
      </c>
      <c r="L355" s="33">
        <f t="shared" si="20"/>
        <v>0</v>
      </c>
      <c r="M355" s="81">
        <f t="shared" si="21"/>
        <v>0</v>
      </c>
      <c r="N355" s="35"/>
    </row>
    <row r="356" spans="1:14" x14ac:dyDescent="0.25">
      <c r="A356" s="75" t="s">
        <v>415</v>
      </c>
      <c r="B356" s="76" t="s">
        <v>414</v>
      </c>
      <c r="C356" s="31">
        <v>363</v>
      </c>
      <c r="D356" s="79">
        <v>4029.0400000000004</v>
      </c>
      <c r="E356" s="33">
        <v>0</v>
      </c>
      <c r="F356" s="79">
        <v>0</v>
      </c>
      <c r="G356" s="34">
        <f t="shared" si="23"/>
        <v>0</v>
      </c>
      <c r="H356" s="33">
        <v>363</v>
      </c>
      <c r="I356" s="79">
        <v>4029.0400000000004</v>
      </c>
      <c r="J356" s="33">
        <v>46</v>
      </c>
      <c r="K356" s="79">
        <v>486.22</v>
      </c>
      <c r="L356" s="33">
        <f t="shared" si="20"/>
        <v>317</v>
      </c>
      <c r="M356" s="81">
        <f t="shared" si="21"/>
        <v>3542.8200000000006</v>
      </c>
      <c r="N356" s="35">
        <f t="shared" si="22"/>
        <v>7.2864546912920085</v>
      </c>
    </row>
    <row r="357" spans="1:14" x14ac:dyDescent="0.25">
      <c r="A357" s="75" t="s">
        <v>417</v>
      </c>
      <c r="B357" s="76" t="s">
        <v>416</v>
      </c>
      <c r="C357" s="31">
        <v>0</v>
      </c>
      <c r="D357" s="79">
        <v>0</v>
      </c>
      <c r="E357" s="33">
        <v>0</v>
      </c>
      <c r="F357" s="79">
        <v>0</v>
      </c>
      <c r="G357" s="34"/>
      <c r="H357" s="33">
        <v>0</v>
      </c>
      <c r="I357" s="79">
        <v>0</v>
      </c>
      <c r="J357" s="33">
        <v>0</v>
      </c>
      <c r="K357" s="79">
        <v>0</v>
      </c>
      <c r="L357" s="33">
        <f t="shared" si="20"/>
        <v>0</v>
      </c>
      <c r="M357" s="81">
        <f t="shared" si="21"/>
        <v>0</v>
      </c>
      <c r="N357" s="35"/>
    </row>
    <row r="358" spans="1:14" x14ac:dyDescent="0.25">
      <c r="A358" s="75" t="s">
        <v>734</v>
      </c>
      <c r="B358" s="76" t="s">
        <v>735</v>
      </c>
      <c r="C358" s="31">
        <v>0</v>
      </c>
      <c r="D358" s="79">
        <v>0</v>
      </c>
      <c r="E358" s="33">
        <v>0</v>
      </c>
      <c r="F358" s="79">
        <v>0</v>
      </c>
      <c r="G358" s="34"/>
      <c r="H358" s="33">
        <v>0</v>
      </c>
      <c r="I358" s="79">
        <v>0</v>
      </c>
      <c r="J358" s="33">
        <v>153</v>
      </c>
      <c r="K358" s="79">
        <v>615.06000000000006</v>
      </c>
      <c r="L358" s="33">
        <f t="shared" si="20"/>
        <v>-153</v>
      </c>
      <c r="M358" s="81">
        <f t="shared" si="21"/>
        <v>-615.06000000000006</v>
      </c>
      <c r="N358" s="35">
        <f t="shared" si="22"/>
        <v>-1</v>
      </c>
    </row>
    <row r="359" spans="1:14" x14ac:dyDescent="0.25">
      <c r="A359" s="75" t="s">
        <v>419</v>
      </c>
      <c r="B359" s="76" t="s">
        <v>418</v>
      </c>
      <c r="C359" s="31">
        <v>524</v>
      </c>
      <c r="D359" s="79">
        <v>4729.78</v>
      </c>
      <c r="E359" s="33">
        <v>0</v>
      </c>
      <c r="F359" s="79">
        <v>0</v>
      </c>
      <c r="G359" s="34">
        <f t="shared" si="23"/>
        <v>0</v>
      </c>
      <c r="H359" s="33">
        <v>524</v>
      </c>
      <c r="I359" s="79">
        <v>4729.78</v>
      </c>
      <c r="J359" s="33">
        <v>36</v>
      </c>
      <c r="K359" s="79">
        <v>304.26</v>
      </c>
      <c r="L359" s="33">
        <f t="shared" si="20"/>
        <v>488</v>
      </c>
      <c r="M359" s="81">
        <f t="shared" si="21"/>
        <v>4425.5199999999995</v>
      </c>
      <c r="N359" s="35">
        <f t="shared" si="22"/>
        <v>14.54519161243673</v>
      </c>
    </row>
    <row r="360" spans="1:14" x14ac:dyDescent="0.25">
      <c r="A360" s="75" t="s">
        <v>421</v>
      </c>
      <c r="B360" s="76" t="s">
        <v>420</v>
      </c>
      <c r="C360" s="31">
        <v>14</v>
      </c>
      <c r="D360" s="79">
        <v>572.6</v>
      </c>
      <c r="E360" s="33">
        <v>0</v>
      </c>
      <c r="F360" s="79">
        <v>0</v>
      </c>
      <c r="G360" s="34">
        <f t="shared" si="23"/>
        <v>0</v>
      </c>
      <c r="H360" s="33">
        <v>14</v>
      </c>
      <c r="I360" s="79">
        <v>572.6</v>
      </c>
      <c r="J360" s="33">
        <v>0</v>
      </c>
      <c r="K360" s="79">
        <v>0</v>
      </c>
      <c r="L360" s="33">
        <f t="shared" si="20"/>
        <v>14</v>
      </c>
      <c r="M360" s="81">
        <f t="shared" si="21"/>
        <v>572.6</v>
      </c>
      <c r="N360" s="35"/>
    </row>
    <row r="361" spans="1:14" x14ac:dyDescent="0.25">
      <c r="A361" s="75" t="s">
        <v>736</v>
      </c>
      <c r="B361" s="76" t="s">
        <v>737</v>
      </c>
      <c r="C361" s="31">
        <v>0</v>
      </c>
      <c r="D361" s="79">
        <v>0</v>
      </c>
      <c r="E361" s="33">
        <v>0</v>
      </c>
      <c r="F361" s="79">
        <v>0</v>
      </c>
      <c r="G361" s="34"/>
      <c r="H361" s="33">
        <v>0</v>
      </c>
      <c r="I361" s="79">
        <v>0</v>
      </c>
      <c r="J361" s="33">
        <v>0</v>
      </c>
      <c r="K361" s="79">
        <v>0</v>
      </c>
      <c r="L361" s="33">
        <f t="shared" si="20"/>
        <v>0</v>
      </c>
      <c r="M361" s="81">
        <f t="shared" si="21"/>
        <v>0</v>
      </c>
      <c r="N361" s="35"/>
    </row>
    <row r="362" spans="1:14" x14ac:dyDescent="0.25">
      <c r="A362" s="75" t="s">
        <v>423</v>
      </c>
      <c r="B362" s="76" t="s">
        <v>422</v>
      </c>
      <c r="C362" s="31">
        <v>65</v>
      </c>
      <c r="D362" s="79">
        <v>2595.4700000000003</v>
      </c>
      <c r="E362" s="33">
        <v>0</v>
      </c>
      <c r="F362" s="79">
        <v>0</v>
      </c>
      <c r="G362" s="34">
        <f t="shared" si="23"/>
        <v>0</v>
      </c>
      <c r="H362" s="33">
        <v>65</v>
      </c>
      <c r="I362" s="79">
        <v>2595.4700000000003</v>
      </c>
      <c r="J362" s="33">
        <v>0</v>
      </c>
      <c r="K362" s="79">
        <v>0</v>
      </c>
      <c r="L362" s="33">
        <f t="shared" si="20"/>
        <v>65</v>
      </c>
      <c r="M362" s="81">
        <f t="shared" si="21"/>
        <v>2595.4700000000003</v>
      </c>
      <c r="N362" s="35"/>
    </row>
    <row r="363" spans="1:14" x14ac:dyDescent="0.25">
      <c r="A363" s="75" t="s">
        <v>738</v>
      </c>
      <c r="B363" s="76" t="s">
        <v>739</v>
      </c>
      <c r="C363" s="31">
        <v>0</v>
      </c>
      <c r="D363" s="79">
        <v>0</v>
      </c>
      <c r="E363" s="33">
        <v>0</v>
      </c>
      <c r="F363" s="79">
        <v>0</v>
      </c>
      <c r="G363" s="34"/>
      <c r="H363" s="33">
        <v>0</v>
      </c>
      <c r="I363" s="79">
        <v>0</v>
      </c>
      <c r="J363" s="33">
        <v>0</v>
      </c>
      <c r="K363" s="79">
        <v>0</v>
      </c>
      <c r="L363" s="33">
        <f t="shared" si="20"/>
        <v>0</v>
      </c>
      <c r="M363" s="81">
        <f t="shared" si="21"/>
        <v>0</v>
      </c>
      <c r="N363" s="35"/>
    </row>
    <row r="364" spans="1:14" x14ac:dyDescent="0.25">
      <c r="A364" s="75" t="s">
        <v>425</v>
      </c>
      <c r="B364" s="76" t="s">
        <v>424</v>
      </c>
      <c r="C364" s="31">
        <v>5</v>
      </c>
      <c r="D364" s="79">
        <v>114.25</v>
      </c>
      <c r="E364" s="33">
        <v>0</v>
      </c>
      <c r="F364" s="79">
        <v>0</v>
      </c>
      <c r="G364" s="34">
        <f t="shared" si="23"/>
        <v>0</v>
      </c>
      <c r="H364" s="33">
        <v>5</v>
      </c>
      <c r="I364" s="79">
        <v>114.25</v>
      </c>
      <c r="J364" s="33">
        <v>0</v>
      </c>
      <c r="K364" s="79">
        <v>0</v>
      </c>
      <c r="L364" s="33">
        <f t="shared" si="20"/>
        <v>5</v>
      </c>
      <c r="M364" s="81">
        <f t="shared" si="21"/>
        <v>114.25</v>
      </c>
      <c r="N364" s="35"/>
    </row>
    <row r="365" spans="1:14" x14ac:dyDescent="0.25">
      <c r="A365" s="75" t="s">
        <v>427</v>
      </c>
      <c r="B365" s="76" t="s">
        <v>426</v>
      </c>
      <c r="C365" s="31">
        <v>14</v>
      </c>
      <c r="D365" s="79">
        <v>428.26</v>
      </c>
      <c r="E365" s="33">
        <v>0</v>
      </c>
      <c r="F365" s="79">
        <v>0</v>
      </c>
      <c r="G365" s="34">
        <f t="shared" si="23"/>
        <v>0</v>
      </c>
      <c r="H365" s="33">
        <v>14</v>
      </c>
      <c r="I365" s="79">
        <v>428.26</v>
      </c>
      <c r="J365" s="33">
        <v>0</v>
      </c>
      <c r="K365" s="79">
        <v>0</v>
      </c>
      <c r="L365" s="33">
        <f t="shared" si="20"/>
        <v>14</v>
      </c>
      <c r="M365" s="81">
        <f t="shared" si="21"/>
        <v>428.26</v>
      </c>
      <c r="N365" s="35"/>
    </row>
    <row r="366" spans="1:14" x14ac:dyDescent="0.25">
      <c r="A366" s="75" t="s">
        <v>429</v>
      </c>
      <c r="B366" s="76" t="s">
        <v>428</v>
      </c>
      <c r="C366" s="31">
        <v>0</v>
      </c>
      <c r="D366" s="79">
        <v>0</v>
      </c>
      <c r="E366" s="33">
        <v>0</v>
      </c>
      <c r="F366" s="79">
        <v>0</v>
      </c>
      <c r="G366" s="34"/>
      <c r="H366" s="33">
        <v>0</v>
      </c>
      <c r="I366" s="79">
        <v>0</v>
      </c>
      <c r="J366" s="33">
        <v>0</v>
      </c>
      <c r="K366" s="79">
        <v>0</v>
      </c>
      <c r="L366" s="33">
        <f t="shared" si="20"/>
        <v>0</v>
      </c>
      <c r="M366" s="81">
        <f t="shared" si="21"/>
        <v>0</v>
      </c>
      <c r="N366" s="35"/>
    </row>
    <row r="367" spans="1:14" x14ac:dyDescent="0.25">
      <c r="A367" s="75" t="s">
        <v>431</v>
      </c>
      <c r="B367" s="76" t="s">
        <v>430</v>
      </c>
      <c r="C367" s="31">
        <v>14</v>
      </c>
      <c r="D367" s="79">
        <v>400.54</v>
      </c>
      <c r="E367" s="33">
        <v>0</v>
      </c>
      <c r="F367" s="79">
        <v>0</v>
      </c>
      <c r="G367" s="34">
        <f t="shared" si="23"/>
        <v>0</v>
      </c>
      <c r="H367" s="33">
        <v>14</v>
      </c>
      <c r="I367" s="79">
        <v>400.54</v>
      </c>
      <c r="J367" s="33">
        <v>0</v>
      </c>
      <c r="K367" s="79">
        <v>0</v>
      </c>
      <c r="L367" s="33">
        <f t="shared" si="20"/>
        <v>14</v>
      </c>
      <c r="M367" s="81">
        <f t="shared" si="21"/>
        <v>400.54</v>
      </c>
      <c r="N367" s="35"/>
    </row>
    <row r="368" spans="1:14" x14ac:dyDescent="0.25">
      <c r="A368" s="75" t="s">
        <v>433</v>
      </c>
      <c r="B368" s="76" t="s">
        <v>432</v>
      </c>
      <c r="C368" s="31">
        <v>0</v>
      </c>
      <c r="D368" s="79">
        <v>0</v>
      </c>
      <c r="E368" s="33">
        <v>0</v>
      </c>
      <c r="F368" s="79">
        <v>0</v>
      </c>
      <c r="G368" s="34"/>
      <c r="H368" s="33">
        <v>0</v>
      </c>
      <c r="I368" s="79">
        <v>0</v>
      </c>
      <c r="J368" s="33">
        <v>0</v>
      </c>
      <c r="K368" s="79">
        <v>0</v>
      </c>
      <c r="L368" s="33">
        <f t="shared" si="20"/>
        <v>0</v>
      </c>
      <c r="M368" s="81">
        <f t="shared" si="21"/>
        <v>0</v>
      </c>
      <c r="N368" s="35"/>
    </row>
    <row r="369" spans="1:14" x14ac:dyDescent="0.25">
      <c r="A369" s="75" t="s">
        <v>435</v>
      </c>
      <c r="B369" s="76" t="s">
        <v>434</v>
      </c>
      <c r="C369" s="31">
        <v>0</v>
      </c>
      <c r="D369" s="79">
        <v>0</v>
      </c>
      <c r="E369" s="33">
        <v>0</v>
      </c>
      <c r="F369" s="79">
        <v>0</v>
      </c>
      <c r="G369" s="34"/>
      <c r="H369" s="33">
        <v>0</v>
      </c>
      <c r="I369" s="79">
        <v>0</v>
      </c>
      <c r="J369" s="33">
        <v>0</v>
      </c>
      <c r="K369" s="79">
        <v>0</v>
      </c>
      <c r="L369" s="33">
        <f t="shared" si="20"/>
        <v>0</v>
      </c>
      <c r="M369" s="81">
        <f t="shared" si="21"/>
        <v>0</v>
      </c>
      <c r="N369" s="35"/>
    </row>
    <row r="370" spans="1:14" x14ac:dyDescent="0.25">
      <c r="A370" s="75" t="s">
        <v>437</v>
      </c>
      <c r="B370" s="76" t="s">
        <v>436</v>
      </c>
      <c r="C370" s="31">
        <v>26</v>
      </c>
      <c r="D370" s="79">
        <v>452.14</v>
      </c>
      <c r="E370" s="33">
        <v>0</v>
      </c>
      <c r="F370" s="79">
        <v>0</v>
      </c>
      <c r="G370" s="34">
        <f t="shared" si="23"/>
        <v>0</v>
      </c>
      <c r="H370" s="33">
        <v>26</v>
      </c>
      <c r="I370" s="79">
        <v>452.14</v>
      </c>
      <c r="J370" s="33">
        <v>0</v>
      </c>
      <c r="K370" s="79">
        <v>0</v>
      </c>
      <c r="L370" s="33">
        <f t="shared" si="20"/>
        <v>26</v>
      </c>
      <c r="M370" s="81">
        <f t="shared" si="21"/>
        <v>452.14</v>
      </c>
      <c r="N370" s="35"/>
    </row>
    <row r="371" spans="1:14" x14ac:dyDescent="0.25">
      <c r="A371" s="75" t="s">
        <v>740</v>
      </c>
      <c r="B371" s="76" t="s">
        <v>741</v>
      </c>
      <c r="C371" s="31">
        <v>0</v>
      </c>
      <c r="D371" s="79">
        <v>0</v>
      </c>
      <c r="E371" s="33">
        <v>0</v>
      </c>
      <c r="F371" s="79">
        <v>0</v>
      </c>
      <c r="G371" s="34"/>
      <c r="H371" s="33">
        <v>0</v>
      </c>
      <c r="I371" s="79">
        <v>0</v>
      </c>
      <c r="J371" s="33">
        <v>0</v>
      </c>
      <c r="K371" s="79">
        <v>0</v>
      </c>
      <c r="L371" s="33">
        <f t="shared" si="20"/>
        <v>0</v>
      </c>
      <c r="M371" s="81">
        <f t="shared" si="21"/>
        <v>0</v>
      </c>
      <c r="N371" s="35"/>
    </row>
    <row r="372" spans="1:14" x14ac:dyDescent="0.25">
      <c r="A372" s="75" t="s">
        <v>439</v>
      </c>
      <c r="B372" s="76" t="s">
        <v>438</v>
      </c>
      <c r="C372" s="31">
        <v>3</v>
      </c>
      <c r="D372" s="79">
        <v>46.36</v>
      </c>
      <c r="E372" s="33">
        <v>0</v>
      </c>
      <c r="F372" s="79">
        <v>0</v>
      </c>
      <c r="G372" s="34">
        <f t="shared" si="23"/>
        <v>0</v>
      </c>
      <c r="H372" s="33">
        <v>3</v>
      </c>
      <c r="I372" s="79">
        <v>46.36</v>
      </c>
      <c r="J372" s="33">
        <v>0</v>
      </c>
      <c r="K372" s="79">
        <v>0</v>
      </c>
      <c r="L372" s="33">
        <f t="shared" si="20"/>
        <v>3</v>
      </c>
      <c r="M372" s="81">
        <f t="shared" si="21"/>
        <v>46.36</v>
      </c>
      <c r="N372" s="35"/>
    </row>
    <row r="373" spans="1:14" x14ac:dyDescent="0.25">
      <c r="A373" s="75" t="s">
        <v>742</v>
      </c>
      <c r="B373" s="76" t="s">
        <v>743</v>
      </c>
      <c r="C373" s="31">
        <v>0</v>
      </c>
      <c r="D373" s="79">
        <v>0</v>
      </c>
      <c r="E373" s="33">
        <v>0</v>
      </c>
      <c r="F373" s="79">
        <v>0</v>
      </c>
      <c r="G373" s="34"/>
      <c r="H373" s="33">
        <v>0</v>
      </c>
      <c r="I373" s="79">
        <v>0</v>
      </c>
      <c r="J373" s="33">
        <v>0</v>
      </c>
      <c r="K373" s="79">
        <v>0</v>
      </c>
      <c r="L373" s="33">
        <f t="shared" si="20"/>
        <v>0</v>
      </c>
      <c r="M373" s="81">
        <f t="shared" si="21"/>
        <v>0</v>
      </c>
      <c r="N373" s="35"/>
    </row>
    <row r="374" spans="1:14" x14ac:dyDescent="0.25">
      <c r="A374" s="75" t="s">
        <v>441</v>
      </c>
      <c r="B374" s="76" t="s">
        <v>440</v>
      </c>
      <c r="C374" s="31">
        <v>0</v>
      </c>
      <c r="D374" s="79">
        <v>0</v>
      </c>
      <c r="E374" s="33">
        <v>0</v>
      </c>
      <c r="F374" s="79">
        <v>0</v>
      </c>
      <c r="G374" s="34"/>
      <c r="H374" s="33">
        <v>0</v>
      </c>
      <c r="I374" s="79">
        <v>0</v>
      </c>
      <c r="J374" s="33">
        <v>0</v>
      </c>
      <c r="K374" s="79">
        <v>0</v>
      </c>
      <c r="L374" s="33">
        <f t="shared" si="20"/>
        <v>0</v>
      </c>
      <c r="M374" s="81">
        <f t="shared" si="21"/>
        <v>0</v>
      </c>
      <c r="N374" s="35"/>
    </row>
    <row r="375" spans="1:14" x14ac:dyDescent="0.25">
      <c r="A375" s="75" t="s">
        <v>443</v>
      </c>
      <c r="B375" s="76" t="s">
        <v>442</v>
      </c>
      <c r="C375" s="31">
        <v>0</v>
      </c>
      <c r="D375" s="79">
        <v>0</v>
      </c>
      <c r="E375" s="33">
        <v>0</v>
      </c>
      <c r="F375" s="79">
        <v>0</v>
      </c>
      <c r="G375" s="34"/>
      <c r="H375" s="33">
        <v>0</v>
      </c>
      <c r="I375" s="79">
        <v>0</v>
      </c>
      <c r="J375" s="33">
        <v>0</v>
      </c>
      <c r="K375" s="79">
        <v>0</v>
      </c>
      <c r="L375" s="33">
        <f t="shared" si="20"/>
        <v>0</v>
      </c>
      <c r="M375" s="81">
        <f t="shared" si="21"/>
        <v>0</v>
      </c>
      <c r="N375" s="35"/>
    </row>
    <row r="376" spans="1:14" x14ac:dyDescent="0.25">
      <c r="A376" s="75" t="s">
        <v>445</v>
      </c>
      <c r="B376" s="76" t="s">
        <v>444</v>
      </c>
      <c r="C376" s="31">
        <v>245</v>
      </c>
      <c r="D376" s="79">
        <v>5030.05</v>
      </c>
      <c r="E376" s="33">
        <v>0</v>
      </c>
      <c r="F376" s="79">
        <v>0</v>
      </c>
      <c r="G376" s="34">
        <f t="shared" si="23"/>
        <v>0</v>
      </c>
      <c r="H376" s="33">
        <v>245</v>
      </c>
      <c r="I376" s="79">
        <v>5030.05</v>
      </c>
      <c r="J376" s="33">
        <v>0</v>
      </c>
      <c r="K376" s="79">
        <v>0</v>
      </c>
      <c r="L376" s="33">
        <f t="shared" si="20"/>
        <v>245</v>
      </c>
      <c r="M376" s="81">
        <f t="shared" si="21"/>
        <v>5030.05</v>
      </c>
      <c r="N376" s="35"/>
    </row>
    <row r="377" spans="1:14" x14ac:dyDescent="0.25">
      <c r="A377" s="75" t="s">
        <v>447</v>
      </c>
      <c r="B377" s="76" t="s">
        <v>446</v>
      </c>
      <c r="C377" s="31">
        <v>74</v>
      </c>
      <c r="D377" s="79">
        <v>381.96</v>
      </c>
      <c r="E377" s="33">
        <v>0</v>
      </c>
      <c r="F377" s="79">
        <v>0</v>
      </c>
      <c r="G377" s="34">
        <f t="shared" si="23"/>
        <v>0</v>
      </c>
      <c r="H377" s="33">
        <v>74</v>
      </c>
      <c r="I377" s="79">
        <v>381.96</v>
      </c>
      <c r="J377" s="33">
        <v>0</v>
      </c>
      <c r="K377" s="79">
        <v>0</v>
      </c>
      <c r="L377" s="33">
        <f t="shared" si="20"/>
        <v>74</v>
      </c>
      <c r="M377" s="81">
        <f t="shared" si="21"/>
        <v>381.96</v>
      </c>
      <c r="N377" s="35"/>
    </row>
    <row r="378" spans="1:14" x14ac:dyDescent="0.25">
      <c r="A378" s="75" t="s">
        <v>449</v>
      </c>
      <c r="B378" s="76" t="s">
        <v>448</v>
      </c>
      <c r="C378" s="31">
        <v>25</v>
      </c>
      <c r="D378" s="79">
        <v>163.75000000000003</v>
      </c>
      <c r="E378" s="33">
        <v>0</v>
      </c>
      <c r="F378" s="79">
        <v>0</v>
      </c>
      <c r="G378" s="34">
        <f t="shared" si="23"/>
        <v>0</v>
      </c>
      <c r="H378" s="33">
        <v>25</v>
      </c>
      <c r="I378" s="79">
        <v>163.75000000000003</v>
      </c>
      <c r="J378" s="33">
        <v>0</v>
      </c>
      <c r="K378" s="79">
        <v>0</v>
      </c>
      <c r="L378" s="33">
        <f t="shared" si="20"/>
        <v>25</v>
      </c>
      <c r="M378" s="81">
        <f t="shared" si="21"/>
        <v>163.75000000000003</v>
      </c>
      <c r="N378" s="35"/>
    </row>
    <row r="379" spans="1:14" x14ac:dyDescent="0.25">
      <c r="A379" s="75" t="s">
        <v>451</v>
      </c>
      <c r="B379" s="76" t="s">
        <v>450</v>
      </c>
      <c r="C379" s="31">
        <v>675</v>
      </c>
      <c r="D379" s="79">
        <v>3835.0699999999997</v>
      </c>
      <c r="E379" s="33">
        <v>0</v>
      </c>
      <c r="F379" s="79">
        <v>0</v>
      </c>
      <c r="G379" s="34">
        <f t="shared" si="23"/>
        <v>0</v>
      </c>
      <c r="H379" s="33">
        <v>675</v>
      </c>
      <c r="I379" s="79">
        <v>3835.0699999999997</v>
      </c>
      <c r="J379" s="33">
        <v>0</v>
      </c>
      <c r="K379" s="79">
        <v>0</v>
      </c>
      <c r="L379" s="33">
        <f t="shared" si="20"/>
        <v>675</v>
      </c>
      <c r="M379" s="81">
        <f t="shared" si="21"/>
        <v>3835.0699999999997</v>
      </c>
      <c r="N379" s="35"/>
    </row>
    <row r="380" spans="1:14" x14ac:dyDescent="0.25">
      <c r="A380" s="75" t="s">
        <v>453</v>
      </c>
      <c r="B380" s="76" t="s">
        <v>452</v>
      </c>
      <c r="C380" s="31">
        <v>355</v>
      </c>
      <c r="D380" s="79">
        <v>9699.85</v>
      </c>
      <c r="E380" s="33">
        <v>0</v>
      </c>
      <c r="F380" s="79">
        <v>0</v>
      </c>
      <c r="G380" s="34">
        <f t="shared" si="23"/>
        <v>0</v>
      </c>
      <c r="H380" s="33">
        <v>355</v>
      </c>
      <c r="I380" s="79">
        <v>9699.85</v>
      </c>
      <c r="J380" s="33">
        <v>0</v>
      </c>
      <c r="K380" s="79">
        <v>0</v>
      </c>
      <c r="L380" s="33">
        <f t="shared" si="20"/>
        <v>355</v>
      </c>
      <c r="M380" s="81">
        <f t="shared" si="21"/>
        <v>9699.85</v>
      </c>
      <c r="N380" s="35"/>
    </row>
    <row r="381" spans="1:14" x14ac:dyDescent="0.25">
      <c r="A381" s="75" t="s">
        <v>455</v>
      </c>
      <c r="B381" s="76" t="s">
        <v>454</v>
      </c>
      <c r="C381" s="31">
        <v>524</v>
      </c>
      <c r="D381" s="79">
        <v>7588.119999999999</v>
      </c>
      <c r="E381" s="33">
        <v>0</v>
      </c>
      <c r="F381" s="79">
        <v>0</v>
      </c>
      <c r="G381" s="34">
        <f t="shared" si="23"/>
        <v>0</v>
      </c>
      <c r="H381" s="33">
        <v>524</v>
      </c>
      <c r="I381" s="79">
        <v>7588.119999999999</v>
      </c>
      <c r="J381" s="33">
        <v>0</v>
      </c>
      <c r="K381" s="79">
        <v>0</v>
      </c>
      <c r="L381" s="33">
        <f t="shared" si="20"/>
        <v>524</v>
      </c>
      <c r="M381" s="81">
        <f t="shared" si="21"/>
        <v>7588.119999999999</v>
      </c>
      <c r="N381" s="35"/>
    </row>
    <row r="382" spans="1:14" x14ac:dyDescent="0.25">
      <c r="A382" s="75" t="s">
        <v>457</v>
      </c>
      <c r="B382" s="76" t="s">
        <v>456</v>
      </c>
      <c r="C382" s="31">
        <v>3</v>
      </c>
      <c r="D382" s="79">
        <v>185.15</v>
      </c>
      <c r="E382" s="33">
        <v>0</v>
      </c>
      <c r="F382" s="79">
        <v>0</v>
      </c>
      <c r="G382" s="34">
        <f t="shared" si="23"/>
        <v>0</v>
      </c>
      <c r="H382" s="33">
        <v>3</v>
      </c>
      <c r="I382" s="79">
        <v>185.15</v>
      </c>
      <c r="J382" s="33">
        <v>0</v>
      </c>
      <c r="K382" s="79">
        <v>0</v>
      </c>
      <c r="L382" s="33">
        <f t="shared" si="20"/>
        <v>3</v>
      </c>
      <c r="M382" s="81">
        <f t="shared" si="21"/>
        <v>185.15</v>
      </c>
      <c r="N382" s="35"/>
    </row>
    <row r="383" spans="1:14" x14ac:dyDescent="0.25">
      <c r="A383" s="75" t="s">
        <v>459</v>
      </c>
      <c r="B383" s="76" t="s">
        <v>458</v>
      </c>
      <c r="C383" s="31">
        <v>13</v>
      </c>
      <c r="D383" s="79">
        <v>531.70000000000005</v>
      </c>
      <c r="E383" s="33">
        <v>0</v>
      </c>
      <c r="F383" s="79">
        <v>0</v>
      </c>
      <c r="G383" s="34">
        <f t="shared" si="23"/>
        <v>0</v>
      </c>
      <c r="H383" s="33">
        <v>13</v>
      </c>
      <c r="I383" s="79">
        <v>531.70000000000005</v>
      </c>
      <c r="J383" s="33">
        <v>0</v>
      </c>
      <c r="K383" s="79">
        <v>0</v>
      </c>
      <c r="L383" s="33">
        <f t="shared" si="20"/>
        <v>13</v>
      </c>
      <c r="M383" s="81">
        <f t="shared" si="21"/>
        <v>531.70000000000005</v>
      </c>
      <c r="N383" s="35"/>
    </row>
    <row r="384" spans="1:14" x14ac:dyDescent="0.25">
      <c r="A384" s="75" t="s">
        <v>744</v>
      </c>
      <c r="B384" s="76" t="s">
        <v>745</v>
      </c>
      <c r="C384" s="31">
        <v>4</v>
      </c>
      <c r="D384" s="79">
        <v>228.9</v>
      </c>
      <c r="E384" s="33">
        <v>0</v>
      </c>
      <c r="F384" s="79">
        <v>0</v>
      </c>
      <c r="G384" s="34">
        <f t="shared" si="23"/>
        <v>0</v>
      </c>
      <c r="H384" s="33">
        <v>4</v>
      </c>
      <c r="I384" s="79">
        <v>228.9</v>
      </c>
      <c r="J384" s="33">
        <v>0</v>
      </c>
      <c r="K384" s="79">
        <v>0</v>
      </c>
      <c r="L384" s="33">
        <f t="shared" si="20"/>
        <v>4</v>
      </c>
      <c r="M384" s="81">
        <f t="shared" si="21"/>
        <v>228.9</v>
      </c>
      <c r="N384" s="35"/>
    </row>
    <row r="385" spans="1:14" x14ac:dyDescent="0.25">
      <c r="A385" s="75" t="s">
        <v>461</v>
      </c>
      <c r="B385" s="76" t="s">
        <v>460</v>
      </c>
      <c r="C385" s="31">
        <v>190</v>
      </c>
      <c r="D385" s="79">
        <v>3098.9</v>
      </c>
      <c r="E385" s="33">
        <v>30</v>
      </c>
      <c r="F385" s="79">
        <v>662</v>
      </c>
      <c r="G385" s="34">
        <f t="shared" si="23"/>
        <v>0.17602169693424449</v>
      </c>
      <c r="H385" s="33">
        <v>220</v>
      </c>
      <c r="I385" s="79">
        <v>3760.8999999999996</v>
      </c>
      <c r="J385" s="33">
        <v>0</v>
      </c>
      <c r="K385" s="79">
        <v>0</v>
      </c>
      <c r="L385" s="33">
        <f t="shared" si="20"/>
        <v>220</v>
      </c>
      <c r="M385" s="81">
        <f t="shared" si="21"/>
        <v>3760.8999999999996</v>
      </c>
      <c r="N385" s="35"/>
    </row>
    <row r="386" spans="1:14" x14ac:dyDescent="0.25">
      <c r="A386" s="75" t="s">
        <v>463</v>
      </c>
      <c r="B386" s="76" t="s">
        <v>462</v>
      </c>
      <c r="C386" s="31">
        <v>698</v>
      </c>
      <c r="D386" s="79">
        <v>11384.38</v>
      </c>
      <c r="E386" s="33">
        <v>85</v>
      </c>
      <c r="F386" s="79">
        <v>1745.6799999999992</v>
      </c>
      <c r="G386" s="34">
        <f t="shared" si="23"/>
        <v>0.13295293395460489</v>
      </c>
      <c r="H386" s="33">
        <v>783</v>
      </c>
      <c r="I386" s="79">
        <v>13130.059999999998</v>
      </c>
      <c r="J386" s="33">
        <v>0</v>
      </c>
      <c r="K386" s="79">
        <v>0</v>
      </c>
      <c r="L386" s="33">
        <f t="shared" si="20"/>
        <v>783</v>
      </c>
      <c r="M386" s="81">
        <f t="shared" si="21"/>
        <v>13130.059999999998</v>
      </c>
      <c r="N386" s="35"/>
    </row>
    <row r="387" spans="1:14" x14ac:dyDescent="0.25">
      <c r="A387" s="75" t="s">
        <v>465</v>
      </c>
      <c r="B387" s="76" t="s">
        <v>464</v>
      </c>
      <c r="C387" s="31">
        <v>271</v>
      </c>
      <c r="D387" s="79">
        <v>4420.01</v>
      </c>
      <c r="E387" s="33">
        <v>163</v>
      </c>
      <c r="F387" s="79">
        <v>3963.7000000000025</v>
      </c>
      <c r="G387" s="34">
        <f t="shared" si="23"/>
        <v>0.47278591458912594</v>
      </c>
      <c r="H387" s="33">
        <v>434</v>
      </c>
      <c r="I387" s="79">
        <v>8383.7100000000028</v>
      </c>
      <c r="J387" s="33">
        <v>0</v>
      </c>
      <c r="K387" s="79">
        <v>0</v>
      </c>
      <c r="L387" s="33">
        <f t="shared" ref="L387:L391" si="24">H387-J387</f>
        <v>434</v>
      </c>
      <c r="M387" s="81">
        <f t="shared" ref="M387:M390" si="25">I387-K387</f>
        <v>8383.7100000000028</v>
      </c>
      <c r="N387" s="35"/>
    </row>
    <row r="388" spans="1:14" x14ac:dyDescent="0.25">
      <c r="A388" s="75" t="s">
        <v>467</v>
      </c>
      <c r="B388" s="76" t="s">
        <v>466</v>
      </c>
      <c r="C388" s="31">
        <v>48</v>
      </c>
      <c r="D388" s="79">
        <v>2356.8000000000002</v>
      </c>
      <c r="E388" s="33">
        <v>0</v>
      </c>
      <c r="F388" s="79">
        <v>0</v>
      </c>
      <c r="G388" s="34">
        <f t="shared" si="23"/>
        <v>0</v>
      </c>
      <c r="H388" s="33">
        <v>48</v>
      </c>
      <c r="I388" s="79">
        <v>2356.8000000000002</v>
      </c>
      <c r="J388" s="33">
        <v>0</v>
      </c>
      <c r="K388" s="79">
        <v>0</v>
      </c>
      <c r="L388" s="33">
        <f t="shared" si="24"/>
        <v>48</v>
      </c>
      <c r="M388" s="81">
        <f t="shared" si="25"/>
        <v>2356.8000000000002</v>
      </c>
      <c r="N388" s="35"/>
    </row>
    <row r="389" spans="1:14" x14ac:dyDescent="0.25">
      <c r="A389" s="75" t="s">
        <v>469</v>
      </c>
      <c r="B389" s="76" t="s">
        <v>468</v>
      </c>
      <c r="C389" s="31">
        <v>462</v>
      </c>
      <c r="D389" s="79">
        <v>11885.85</v>
      </c>
      <c r="E389" s="33">
        <v>0</v>
      </c>
      <c r="F389" s="79">
        <v>0</v>
      </c>
      <c r="G389" s="34">
        <f t="shared" si="23"/>
        <v>0</v>
      </c>
      <c r="H389" s="33">
        <v>462</v>
      </c>
      <c r="I389" s="79">
        <v>11885.85</v>
      </c>
      <c r="J389" s="33">
        <v>0</v>
      </c>
      <c r="K389" s="79">
        <v>0</v>
      </c>
      <c r="L389" s="33">
        <f t="shared" si="24"/>
        <v>462</v>
      </c>
      <c r="M389" s="81">
        <f t="shared" si="25"/>
        <v>11885.85</v>
      </c>
      <c r="N389" s="35"/>
    </row>
    <row r="390" spans="1:14" x14ac:dyDescent="0.25">
      <c r="A390" s="75" t="s">
        <v>471</v>
      </c>
      <c r="B390" s="76" t="s">
        <v>470</v>
      </c>
      <c r="C390" s="31">
        <v>16</v>
      </c>
      <c r="D390" s="79">
        <v>234.72</v>
      </c>
      <c r="E390" s="33">
        <v>0</v>
      </c>
      <c r="F390" s="79">
        <v>0</v>
      </c>
      <c r="G390" s="34">
        <f t="shared" si="23"/>
        <v>0</v>
      </c>
      <c r="H390" s="33">
        <v>16</v>
      </c>
      <c r="I390" s="79">
        <v>234.72</v>
      </c>
      <c r="J390" s="33">
        <v>0</v>
      </c>
      <c r="K390" s="79">
        <v>0</v>
      </c>
      <c r="L390" s="33">
        <f t="shared" si="24"/>
        <v>16</v>
      </c>
      <c r="M390" s="81">
        <f t="shared" si="25"/>
        <v>234.72</v>
      </c>
      <c r="N390" s="35"/>
    </row>
    <row r="391" spans="1:14" ht="15.75" thickBot="1" x14ac:dyDescent="0.3">
      <c r="A391" s="77" t="s">
        <v>571</v>
      </c>
      <c r="B391" s="78"/>
      <c r="C391" s="40">
        <v>21015</v>
      </c>
      <c r="D391" s="80">
        <v>343649.55</v>
      </c>
      <c r="E391" s="38">
        <v>9852</v>
      </c>
      <c r="F391" s="80">
        <v>278651.12999999931</v>
      </c>
      <c r="G391" s="39">
        <f t="shared" si="23"/>
        <v>0.44777571189541343</v>
      </c>
      <c r="H391" s="37">
        <v>30867</v>
      </c>
      <c r="I391" s="80">
        <v>622300.67999999877</v>
      </c>
      <c r="J391" s="38">
        <v>74637</v>
      </c>
      <c r="K391" s="80">
        <v>1140144.2600000002</v>
      </c>
      <c r="L391" s="38">
        <f t="shared" si="24"/>
        <v>-43770</v>
      </c>
      <c r="M391" s="83">
        <f>I391-K391</f>
        <v>-517843.58000000147</v>
      </c>
      <c r="N391" s="41">
        <f t="shared" ref="N391" si="26">M391/ABS(K391)</f>
        <v>-0.45419127926846853</v>
      </c>
    </row>
  </sheetData>
  <autoFilter ref="A1:N391" xr:uid="{BF3B248B-ACD9-42B2-BE3A-121098D785BC}"/>
  <conditionalFormatting sqref="L2:N391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9A5E-8D2A-4B97-8688-1FECFFC4D1D7}">
  <dimension ref="A1:N387"/>
  <sheetViews>
    <sheetView zoomScale="130" zoomScaleNormal="130" workbookViewId="0">
      <pane xSplit="2" ySplit="1" topLeftCell="C2" activePane="bottomRight" state="frozen"/>
      <selection pane="topRight" activeCell="C1" sqref="C1"/>
      <selection pane="bottomLeft" activeCell="A4" sqref="A4"/>
      <selection pane="bottomRight" activeCell="C1" sqref="A1:XFD2"/>
    </sheetView>
  </sheetViews>
  <sheetFormatPr defaultRowHeight="15" x14ac:dyDescent="0.25"/>
  <cols>
    <col min="1" max="1" width="18.28515625" style="3" bestFit="1" customWidth="1"/>
    <col min="2" max="2" width="15.85546875" style="3" bestFit="1" customWidth="1"/>
    <col min="3" max="3" width="16.140625" style="3" customWidth="1"/>
    <col min="4" max="4" width="23.28515625" style="3" bestFit="1" customWidth="1"/>
    <col min="5" max="5" width="12.140625" style="3" bestFit="1" customWidth="1"/>
    <col min="6" max="6" width="12.140625" style="3" customWidth="1"/>
    <col min="7" max="7" width="26.140625" style="10" customWidth="1"/>
    <col min="8" max="8" width="20.42578125" style="3" bestFit="1" customWidth="1"/>
    <col min="9" max="9" width="26.140625" style="13" bestFit="1" customWidth="1"/>
    <col min="10" max="10" width="20.7109375" style="3" bestFit="1" customWidth="1"/>
    <col min="11" max="11" width="26.42578125" style="3" bestFit="1" customWidth="1"/>
    <col min="12" max="12" width="20.7109375" style="3" customWidth="1"/>
    <col min="13" max="13" width="20.140625" style="13" customWidth="1"/>
    <col min="14" max="14" width="20.28515625" style="10" customWidth="1"/>
    <col min="15" max="16384" width="9.140625" style="3"/>
  </cols>
  <sheetData>
    <row r="1" spans="1:14" ht="15.75" thickBot="1" x14ac:dyDescent="0.3">
      <c r="A1" s="49" t="s">
        <v>1</v>
      </c>
      <c r="B1" s="66" t="s">
        <v>0</v>
      </c>
      <c r="C1" s="61" t="s">
        <v>789</v>
      </c>
      <c r="D1" s="71" t="s">
        <v>790</v>
      </c>
      <c r="E1" s="51" t="s">
        <v>791</v>
      </c>
      <c r="F1" s="71" t="s">
        <v>792</v>
      </c>
      <c r="G1" s="52" t="s">
        <v>799</v>
      </c>
      <c r="H1" s="51" t="s">
        <v>793</v>
      </c>
      <c r="I1" s="71" t="s">
        <v>794</v>
      </c>
      <c r="J1" s="72" t="s">
        <v>795</v>
      </c>
      <c r="K1" s="72" t="s">
        <v>796</v>
      </c>
      <c r="L1" s="73" t="s">
        <v>802</v>
      </c>
      <c r="M1" s="74" t="s">
        <v>803</v>
      </c>
      <c r="N1" s="59" t="s">
        <v>804</v>
      </c>
    </row>
    <row r="2" spans="1:14" x14ac:dyDescent="0.25">
      <c r="A2" s="67" t="s">
        <v>301</v>
      </c>
      <c r="B2" s="68" t="s">
        <v>300</v>
      </c>
      <c r="C2" s="3">
        <v>1394</v>
      </c>
      <c r="D2" s="13">
        <v>17446.5</v>
      </c>
      <c r="E2" s="4">
        <v>3</v>
      </c>
      <c r="F2" s="13">
        <v>74.700000000000728</v>
      </c>
      <c r="G2" s="6">
        <f>F2/I2</f>
        <v>4.263406615985248E-3</v>
      </c>
      <c r="H2" s="4">
        <f>C2+E2</f>
        <v>1397</v>
      </c>
      <c r="I2" s="11">
        <f>D2+F2</f>
        <v>17521.2</v>
      </c>
      <c r="J2" s="4">
        <v>9160</v>
      </c>
      <c r="K2" s="13">
        <v>109662.62999999999</v>
      </c>
      <c r="L2" s="4">
        <f>H2-J2</f>
        <v>-7763</v>
      </c>
      <c r="M2" s="13">
        <f>I2-K2</f>
        <v>-92141.43</v>
      </c>
      <c r="N2" s="7">
        <f>M2/ABS(K2)</f>
        <v>-0.84022633781444056</v>
      </c>
    </row>
    <row r="3" spans="1:14" x14ac:dyDescent="0.25">
      <c r="A3" s="67" t="s">
        <v>139</v>
      </c>
      <c r="B3" s="68" t="s">
        <v>138</v>
      </c>
      <c r="C3" s="3">
        <v>78</v>
      </c>
      <c r="D3" s="13">
        <v>969.80999999999949</v>
      </c>
      <c r="E3" s="4">
        <v>8</v>
      </c>
      <c r="F3" s="13">
        <v>159.20000000000073</v>
      </c>
      <c r="G3" s="6">
        <f t="shared" ref="G3:G66" si="0">F3/I3</f>
        <v>0.14100849416745706</v>
      </c>
      <c r="H3" s="4">
        <f t="shared" ref="H3:H66" si="1">C3+E3</f>
        <v>86</v>
      </c>
      <c r="I3" s="11">
        <f t="shared" ref="I3:I66" si="2">D3+F3</f>
        <v>1129.0100000000002</v>
      </c>
      <c r="J3" s="4">
        <v>2192</v>
      </c>
      <c r="K3" s="13">
        <v>27275.260000000009</v>
      </c>
      <c r="L3" s="4">
        <f t="shared" ref="L3:L66" si="3">H3-J3</f>
        <v>-2106</v>
      </c>
      <c r="M3" s="13">
        <f t="shared" ref="M3:M66" si="4">I3-K3</f>
        <v>-26146.250000000007</v>
      </c>
      <c r="N3" s="7">
        <f t="shared" ref="N3:N66" si="5">M3/ABS(K3)</f>
        <v>-0.9586068107141783</v>
      </c>
    </row>
    <row r="4" spans="1:14" x14ac:dyDescent="0.25">
      <c r="A4" s="67" t="s">
        <v>293</v>
      </c>
      <c r="B4" s="68" t="s">
        <v>292</v>
      </c>
      <c r="C4" s="3">
        <v>626</v>
      </c>
      <c r="D4" s="13">
        <v>6398.3100000000013</v>
      </c>
      <c r="E4" s="4">
        <v>0</v>
      </c>
      <c r="F4" s="13">
        <v>0</v>
      </c>
      <c r="G4" s="6">
        <f t="shared" si="0"/>
        <v>0</v>
      </c>
      <c r="H4" s="4">
        <f t="shared" si="1"/>
        <v>626</v>
      </c>
      <c r="I4" s="11">
        <f t="shared" si="2"/>
        <v>6398.3100000000013</v>
      </c>
      <c r="J4" s="4">
        <v>8217</v>
      </c>
      <c r="K4" s="13">
        <v>67480.33</v>
      </c>
      <c r="L4" s="4">
        <f t="shared" si="3"/>
        <v>-7591</v>
      </c>
      <c r="M4" s="13">
        <f t="shared" si="4"/>
        <v>-61082.020000000004</v>
      </c>
      <c r="N4" s="7">
        <f t="shared" si="5"/>
        <v>-0.90518259172710036</v>
      </c>
    </row>
    <row r="5" spans="1:14" x14ac:dyDescent="0.25">
      <c r="A5" s="67" t="s">
        <v>267</v>
      </c>
      <c r="B5" s="68" t="s">
        <v>266</v>
      </c>
      <c r="C5" s="3">
        <v>342</v>
      </c>
      <c r="D5" s="13">
        <v>3238.130000000001</v>
      </c>
      <c r="E5" s="4">
        <v>0</v>
      </c>
      <c r="F5" s="13">
        <v>0</v>
      </c>
      <c r="G5" s="6">
        <f t="shared" si="0"/>
        <v>0</v>
      </c>
      <c r="H5" s="4">
        <f t="shared" si="1"/>
        <v>342</v>
      </c>
      <c r="I5" s="11">
        <f t="shared" si="2"/>
        <v>3238.130000000001</v>
      </c>
      <c r="J5" s="4">
        <v>5229</v>
      </c>
      <c r="K5" s="13">
        <v>43609.969999999994</v>
      </c>
      <c r="L5" s="4">
        <f t="shared" si="3"/>
        <v>-4887</v>
      </c>
      <c r="M5" s="13">
        <f t="shared" si="4"/>
        <v>-40371.839999999997</v>
      </c>
      <c r="N5" s="7">
        <f t="shared" si="5"/>
        <v>-0.92574794250030445</v>
      </c>
    </row>
    <row r="6" spans="1:14" x14ac:dyDescent="0.25">
      <c r="A6" s="67" t="s">
        <v>217</v>
      </c>
      <c r="B6" s="68" t="s">
        <v>216</v>
      </c>
      <c r="C6" s="3">
        <v>303</v>
      </c>
      <c r="D6" s="13">
        <v>4251.46</v>
      </c>
      <c r="E6" s="4">
        <v>0</v>
      </c>
      <c r="F6" s="13">
        <v>0</v>
      </c>
      <c r="G6" s="6">
        <f t="shared" si="0"/>
        <v>0</v>
      </c>
      <c r="H6" s="4">
        <f t="shared" si="1"/>
        <v>303</v>
      </c>
      <c r="I6" s="11">
        <f t="shared" si="2"/>
        <v>4251.46</v>
      </c>
      <c r="J6" s="4">
        <v>1516</v>
      </c>
      <c r="K6" s="13">
        <v>21646.469999999994</v>
      </c>
      <c r="L6" s="4">
        <f t="shared" si="3"/>
        <v>-1213</v>
      </c>
      <c r="M6" s="13">
        <f t="shared" si="4"/>
        <v>-17395.009999999995</v>
      </c>
      <c r="N6" s="7">
        <f t="shared" si="5"/>
        <v>-0.80359569019798605</v>
      </c>
    </row>
    <row r="7" spans="1:14" x14ac:dyDescent="0.25">
      <c r="A7" s="67" t="s">
        <v>43</v>
      </c>
      <c r="B7" s="68" t="s">
        <v>42</v>
      </c>
      <c r="C7" s="3">
        <v>20</v>
      </c>
      <c r="D7" s="13">
        <v>335.1400000000001</v>
      </c>
      <c r="E7" s="4">
        <v>0</v>
      </c>
      <c r="F7" s="13">
        <v>0</v>
      </c>
      <c r="G7" s="6">
        <f t="shared" si="0"/>
        <v>0</v>
      </c>
      <c r="H7" s="4">
        <f t="shared" si="1"/>
        <v>20</v>
      </c>
      <c r="I7" s="11">
        <f t="shared" si="2"/>
        <v>335.1400000000001</v>
      </c>
      <c r="J7" s="4">
        <v>240</v>
      </c>
      <c r="K7" s="13">
        <v>3884.8899999999994</v>
      </c>
      <c r="L7" s="4">
        <f t="shared" si="3"/>
        <v>-220</v>
      </c>
      <c r="M7" s="13">
        <f t="shared" si="4"/>
        <v>-3549.7499999999991</v>
      </c>
      <c r="N7" s="7">
        <f t="shared" si="5"/>
        <v>-0.91373243515260394</v>
      </c>
    </row>
    <row r="8" spans="1:14" x14ac:dyDescent="0.25">
      <c r="A8" s="67" t="s">
        <v>47</v>
      </c>
      <c r="B8" s="68" t="s">
        <v>46</v>
      </c>
      <c r="C8" s="3">
        <v>21</v>
      </c>
      <c r="D8" s="13">
        <v>610.67999999999995</v>
      </c>
      <c r="E8" s="4">
        <v>165</v>
      </c>
      <c r="F8" s="13">
        <v>7286.2999999999229</v>
      </c>
      <c r="G8" s="6">
        <f t="shared" si="0"/>
        <v>0.92266917226585277</v>
      </c>
      <c r="H8" s="4">
        <f t="shared" si="1"/>
        <v>186</v>
      </c>
      <c r="I8" s="11">
        <f t="shared" si="2"/>
        <v>7896.9799999999232</v>
      </c>
      <c r="J8" s="4">
        <v>1301</v>
      </c>
      <c r="K8" s="13">
        <v>41213.080000000009</v>
      </c>
      <c r="L8" s="4">
        <f t="shared" si="3"/>
        <v>-1115</v>
      </c>
      <c r="M8" s="13">
        <f t="shared" si="4"/>
        <v>-33316.100000000086</v>
      </c>
      <c r="N8" s="7">
        <f t="shared" si="5"/>
        <v>-0.80838656077148519</v>
      </c>
    </row>
    <row r="9" spans="1:14" x14ac:dyDescent="0.25">
      <c r="A9" s="67" t="s">
        <v>143</v>
      </c>
      <c r="B9" s="68" t="s">
        <v>142</v>
      </c>
      <c r="C9" s="3">
        <v>0</v>
      </c>
      <c r="D9" s="13">
        <v>0</v>
      </c>
      <c r="E9" s="4">
        <v>13</v>
      </c>
      <c r="F9" s="13">
        <v>511.50000000000182</v>
      </c>
      <c r="G9" s="6">
        <f t="shared" si="0"/>
        <v>1</v>
      </c>
      <c r="H9" s="4">
        <f t="shared" si="1"/>
        <v>13</v>
      </c>
      <c r="I9" s="11">
        <f t="shared" si="2"/>
        <v>511.50000000000182</v>
      </c>
      <c r="J9" s="4">
        <v>170</v>
      </c>
      <c r="K9" s="13">
        <v>5300.0800000000017</v>
      </c>
      <c r="L9" s="4">
        <f t="shared" si="3"/>
        <v>-157</v>
      </c>
      <c r="M9" s="13">
        <f t="shared" si="4"/>
        <v>-4788.58</v>
      </c>
      <c r="N9" s="7">
        <f t="shared" si="5"/>
        <v>-0.90349202276192031</v>
      </c>
    </row>
    <row r="10" spans="1:14" x14ac:dyDescent="0.25">
      <c r="A10" s="67" t="s">
        <v>163</v>
      </c>
      <c r="B10" s="68" t="s">
        <v>162</v>
      </c>
      <c r="C10" s="3">
        <v>218</v>
      </c>
      <c r="D10" s="13">
        <v>2936.05</v>
      </c>
      <c r="E10" s="4">
        <v>0</v>
      </c>
      <c r="F10" s="13">
        <v>0</v>
      </c>
      <c r="G10" s="6">
        <f t="shared" si="0"/>
        <v>0</v>
      </c>
      <c r="H10" s="4">
        <f t="shared" si="1"/>
        <v>218</v>
      </c>
      <c r="I10" s="11">
        <f t="shared" si="2"/>
        <v>2936.05</v>
      </c>
      <c r="J10" s="4">
        <v>1057</v>
      </c>
      <c r="K10" s="13">
        <v>14488.910000000003</v>
      </c>
      <c r="L10" s="4">
        <f t="shared" si="3"/>
        <v>-839</v>
      </c>
      <c r="M10" s="13">
        <f t="shared" si="4"/>
        <v>-11552.860000000004</v>
      </c>
      <c r="N10" s="7">
        <f t="shared" si="5"/>
        <v>-0.79735880752934496</v>
      </c>
    </row>
    <row r="11" spans="1:14" x14ac:dyDescent="0.25">
      <c r="A11" s="67" t="s">
        <v>297</v>
      </c>
      <c r="B11" s="68" t="s">
        <v>296</v>
      </c>
      <c r="C11" s="3">
        <v>1</v>
      </c>
      <c r="D11" s="13">
        <v>16.45</v>
      </c>
      <c r="E11" s="4">
        <v>0</v>
      </c>
      <c r="F11" s="13">
        <v>0</v>
      </c>
      <c r="G11" s="6">
        <f t="shared" si="0"/>
        <v>0</v>
      </c>
      <c r="H11" s="4">
        <f t="shared" si="1"/>
        <v>1</v>
      </c>
      <c r="I11" s="11">
        <f t="shared" si="2"/>
        <v>16.45</v>
      </c>
      <c r="J11" s="4">
        <v>2402</v>
      </c>
      <c r="K11" s="13">
        <v>31648.62</v>
      </c>
      <c r="L11" s="4">
        <f t="shared" si="3"/>
        <v>-2401</v>
      </c>
      <c r="M11" s="13">
        <f t="shared" si="4"/>
        <v>-31632.17</v>
      </c>
      <c r="N11" s="7">
        <f t="shared" si="5"/>
        <v>-0.99948023010165998</v>
      </c>
    </row>
    <row r="12" spans="1:14" x14ac:dyDescent="0.25">
      <c r="A12" s="67" t="s">
        <v>81</v>
      </c>
      <c r="B12" s="68" t="s">
        <v>80</v>
      </c>
      <c r="C12" s="3">
        <v>15</v>
      </c>
      <c r="D12" s="13">
        <v>677.38000000000022</v>
      </c>
      <c r="E12" s="4">
        <v>0</v>
      </c>
      <c r="F12" s="13">
        <v>0</v>
      </c>
      <c r="G12" s="6">
        <f t="shared" si="0"/>
        <v>0</v>
      </c>
      <c r="H12" s="4">
        <f t="shared" si="1"/>
        <v>15</v>
      </c>
      <c r="I12" s="11">
        <f t="shared" si="2"/>
        <v>677.38000000000022</v>
      </c>
      <c r="J12" s="4">
        <v>6</v>
      </c>
      <c r="K12" s="13">
        <v>274.80999999999767</v>
      </c>
      <c r="L12" s="4">
        <f t="shared" si="3"/>
        <v>9</v>
      </c>
      <c r="M12" s="13">
        <f t="shared" si="4"/>
        <v>402.57000000000255</v>
      </c>
      <c r="N12" s="7">
        <f t="shared" si="5"/>
        <v>1.4649030239074488</v>
      </c>
    </row>
    <row r="13" spans="1:14" x14ac:dyDescent="0.25">
      <c r="A13" s="67" t="s">
        <v>385</v>
      </c>
      <c r="B13" s="68" t="s">
        <v>384</v>
      </c>
      <c r="C13" s="3">
        <v>45</v>
      </c>
      <c r="D13" s="13">
        <v>719.22000000000025</v>
      </c>
      <c r="E13" s="4">
        <v>0</v>
      </c>
      <c r="F13" s="13">
        <v>0</v>
      </c>
      <c r="G13" s="6">
        <f t="shared" si="0"/>
        <v>0</v>
      </c>
      <c r="H13" s="4">
        <f t="shared" si="1"/>
        <v>45</v>
      </c>
      <c r="I13" s="11">
        <f t="shared" si="2"/>
        <v>719.22000000000025</v>
      </c>
      <c r="J13" s="4">
        <v>532</v>
      </c>
      <c r="K13" s="13">
        <v>9170.1200000000063</v>
      </c>
      <c r="L13" s="4">
        <f t="shared" si="3"/>
        <v>-487</v>
      </c>
      <c r="M13" s="13">
        <f t="shared" si="4"/>
        <v>-8450.9000000000051</v>
      </c>
      <c r="N13" s="7">
        <f t="shared" si="5"/>
        <v>-0.92156918339127503</v>
      </c>
    </row>
    <row r="14" spans="1:14" x14ac:dyDescent="0.25">
      <c r="A14" s="67" t="s">
        <v>125</v>
      </c>
      <c r="B14" s="68" t="s">
        <v>124</v>
      </c>
      <c r="C14" s="3">
        <v>0</v>
      </c>
      <c r="D14" s="13">
        <v>0</v>
      </c>
      <c r="E14" s="4">
        <v>0</v>
      </c>
      <c r="F14" s="13">
        <v>0</v>
      </c>
      <c r="G14" s="6"/>
      <c r="H14" s="4">
        <f t="shared" si="1"/>
        <v>0</v>
      </c>
      <c r="I14" s="11">
        <f t="shared" si="2"/>
        <v>0</v>
      </c>
      <c r="J14" s="4">
        <v>206</v>
      </c>
      <c r="K14" s="13">
        <v>2904.4099999999962</v>
      </c>
      <c r="L14" s="4">
        <f t="shared" si="3"/>
        <v>-206</v>
      </c>
      <c r="M14" s="13">
        <f t="shared" si="4"/>
        <v>-2904.4099999999962</v>
      </c>
      <c r="N14" s="7">
        <f t="shared" si="5"/>
        <v>-1</v>
      </c>
    </row>
    <row r="15" spans="1:14" x14ac:dyDescent="0.25">
      <c r="A15" s="67" t="s">
        <v>33</v>
      </c>
      <c r="B15" s="68" t="s">
        <v>32</v>
      </c>
      <c r="C15" s="3">
        <v>19</v>
      </c>
      <c r="D15" s="13">
        <v>315.01999999999953</v>
      </c>
      <c r="E15" s="4">
        <v>0</v>
      </c>
      <c r="F15" s="13">
        <v>0</v>
      </c>
      <c r="G15" s="6">
        <f t="shared" si="0"/>
        <v>0</v>
      </c>
      <c r="H15" s="4">
        <f t="shared" si="1"/>
        <v>19</v>
      </c>
      <c r="I15" s="11">
        <f t="shared" si="2"/>
        <v>315.01999999999953</v>
      </c>
      <c r="J15" s="4">
        <v>361</v>
      </c>
      <c r="K15" s="13">
        <v>4793.3999999999978</v>
      </c>
      <c r="L15" s="4">
        <f t="shared" si="3"/>
        <v>-342</v>
      </c>
      <c r="M15" s="13">
        <f t="shared" si="4"/>
        <v>-4478.3799999999983</v>
      </c>
      <c r="N15" s="7">
        <f t="shared" si="5"/>
        <v>-0.9342804689781784</v>
      </c>
    </row>
    <row r="16" spans="1:14" x14ac:dyDescent="0.25">
      <c r="A16" s="67" t="s">
        <v>369</v>
      </c>
      <c r="B16" s="68" t="s">
        <v>368</v>
      </c>
      <c r="C16" s="3">
        <v>722</v>
      </c>
      <c r="D16" s="13">
        <v>7774.1900000000005</v>
      </c>
      <c r="E16" s="4">
        <v>0</v>
      </c>
      <c r="F16" s="13">
        <v>0</v>
      </c>
      <c r="G16" s="6">
        <f t="shared" si="0"/>
        <v>0</v>
      </c>
      <c r="H16" s="4">
        <f t="shared" si="1"/>
        <v>722</v>
      </c>
      <c r="I16" s="11">
        <f t="shared" si="2"/>
        <v>7774.1900000000005</v>
      </c>
      <c r="J16" s="4">
        <v>1104</v>
      </c>
      <c r="K16" s="13">
        <v>9091.3799999999974</v>
      </c>
      <c r="L16" s="4">
        <f t="shared" si="3"/>
        <v>-382</v>
      </c>
      <c r="M16" s="13">
        <f t="shared" si="4"/>
        <v>-1317.1899999999969</v>
      </c>
      <c r="N16" s="7">
        <f t="shared" si="5"/>
        <v>-0.14488339504013661</v>
      </c>
    </row>
    <row r="17" spans="1:14" x14ac:dyDescent="0.25">
      <c r="A17" s="67" t="s">
        <v>185</v>
      </c>
      <c r="B17" s="68" t="s">
        <v>184</v>
      </c>
      <c r="C17" s="3">
        <v>0</v>
      </c>
      <c r="D17" s="13">
        <v>0</v>
      </c>
      <c r="E17" s="4">
        <v>0</v>
      </c>
      <c r="F17" s="13">
        <v>0</v>
      </c>
      <c r="G17" s="6"/>
      <c r="H17" s="4">
        <f t="shared" si="1"/>
        <v>0</v>
      </c>
      <c r="I17" s="11">
        <f t="shared" si="2"/>
        <v>0</v>
      </c>
      <c r="J17" s="4">
        <v>717</v>
      </c>
      <c r="K17" s="13">
        <v>8960.18</v>
      </c>
      <c r="L17" s="4">
        <f t="shared" si="3"/>
        <v>-717</v>
      </c>
      <c r="M17" s="13">
        <f t="shared" si="4"/>
        <v>-8960.18</v>
      </c>
      <c r="N17" s="7">
        <f t="shared" si="5"/>
        <v>-1</v>
      </c>
    </row>
    <row r="18" spans="1:14" x14ac:dyDescent="0.25">
      <c r="A18" s="67" t="s">
        <v>239</v>
      </c>
      <c r="B18" s="68" t="s">
        <v>238</v>
      </c>
      <c r="C18" s="3">
        <v>19</v>
      </c>
      <c r="D18" s="13">
        <v>1111.9099999999999</v>
      </c>
      <c r="E18" s="4">
        <v>5</v>
      </c>
      <c r="F18" s="13">
        <v>545</v>
      </c>
      <c r="G18" s="6">
        <f t="shared" si="0"/>
        <v>0.3289255300529299</v>
      </c>
      <c r="H18" s="4">
        <f t="shared" si="1"/>
        <v>24</v>
      </c>
      <c r="I18" s="11">
        <f t="shared" si="2"/>
        <v>1656.9099999999999</v>
      </c>
      <c r="J18" s="4">
        <v>458</v>
      </c>
      <c r="K18" s="13">
        <v>31513.489999999998</v>
      </c>
      <c r="L18" s="4">
        <f t="shared" si="3"/>
        <v>-434</v>
      </c>
      <c r="M18" s="13">
        <f t="shared" si="4"/>
        <v>-29856.579999999998</v>
      </c>
      <c r="N18" s="7">
        <f t="shared" si="5"/>
        <v>-0.94742219919152082</v>
      </c>
    </row>
    <row r="19" spans="1:14" x14ac:dyDescent="0.25">
      <c r="A19" s="67" t="s">
        <v>231</v>
      </c>
      <c r="B19" s="68" t="s">
        <v>230</v>
      </c>
      <c r="C19" s="3">
        <v>18</v>
      </c>
      <c r="D19" s="13">
        <v>790.83999999999992</v>
      </c>
      <c r="E19" s="4">
        <v>0</v>
      </c>
      <c r="F19" s="13">
        <v>0</v>
      </c>
      <c r="G19" s="6">
        <f t="shared" si="0"/>
        <v>0</v>
      </c>
      <c r="H19" s="4">
        <f t="shared" si="1"/>
        <v>18</v>
      </c>
      <c r="I19" s="11">
        <f t="shared" si="2"/>
        <v>790.83999999999992</v>
      </c>
      <c r="J19" s="4">
        <v>363</v>
      </c>
      <c r="K19" s="13">
        <v>16601.989999999998</v>
      </c>
      <c r="L19" s="4">
        <f t="shared" si="3"/>
        <v>-345</v>
      </c>
      <c r="M19" s="13">
        <f t="shared" si="4"/>
        <v>-15811.149999999998</v>
      </c>
      <c r="N19" s="7">
        <f t="shared" si="5"/>
        <v>-0.95236474663579485</v>
      </c>
    </row>
    <row r="20" spans="1:14" x14ac:dyDescent="0.25">
      <c r="A20" s="67" t="s">
        <v>25</v>
      </c>
      <c r="B20" s="68" t="s">
        <v>24</v>
      </c>
      <c r="C20" s="3">
        <v>1</v>
      </c>
      <c r="D20" s="13">
        <v>27.029999999999994</v>
      </c>
      <c r="E20" s="4">
        <v>0</v>
      </c>
      <c r="F20" s="13">
        <v>0</v>
      </c>
      <c r="G20" s="6">
        <f t="shared" si="0"/>
        <v>0</v>
      </c>
      <c r="H20" s="4">
        <f t="shared" si="1"/>
        <v>1</v>
      </c>
      <c r="I20" s="11">
        <f t="shared" si="2"/>
        <v>27.029999999999994</v>
      </c>
      <c r="J20" s="4">
        <v>35</v>
      </c>
      <c r="K20" s="13">
        <v>865.58000000000175</v>
      </c>
      <c r="L20" s="4">
        <f t="shared" si="3"/>
        <v>-34</v>
      </c>
      <c r="M20" s="13">
        <f t="shared" si="4"/>
        <v>-838.55000000000177</v>
      </c>
      <c r="N20" s="7">
        <f t="shared" si="5"/>
        <v>-0.96877238383511644</v>
      </c>
    </row>
    <row r="21" spans="1:14" x14ac:dyDescent="0.25">
      <c r="A21" s="67" t="s">
        <v>500</v>
      </c>
      <c r="B21" s="68" t="s">
        <v>499</v>
      </c>
      <c r="C21" s="3">
        <v>1</v>
      </c>
      <c r="D21" s="13">
        <v>24.92</v>
      </c>
      <c r="E21" s="4">
        <v>21</v>
      </c>
      <c r="F21" s="13">
        <v>942.90000000003056</v>
      </c>
      <c r="G21" s="6">
        <f t="shared" si="0"/>
        <v>0.97425141038622964</v>
      </c>
      <c r="H21" s="4">
        <f t="shared" si="1"/>
        <v>22</v>
      </c>
      <c r="I21" s="11">
        <f t="shared" si="2"/>
        <v>967.82000000003052</v>
      </c>
      <c r="J21" s="4">
        <v>1535</v>
      </c>
      <c r="K21" s="13">
        <v>39130.92</v>
      </c>
      <c r="L21" s="4">
        <f t="shared" si="3"/>
        <v>-1513</v>
      </c>
      <c r="M21" s="13">
        <f t="shared" si="4"/>
        <v>-38163.099999999969</v>
      </c>
      <c r="N21" s="7">
        <f t="shared" si="5"/>
        <v>-0.97526712890982303</v>
      </c>
    </row>
    <row r="22" spans="1:14" x14ac:dyDescent="0.25">
      <c r="A22" s="67" t="s">
        <v>520</v>
      </c>
      <c r="B22" s="68" t="s">
        <v>519</v>
      </c>
      <c r="C22" s="3">
        <v>0</v>
      </c>
      <c r="D22" s="13">
        <v>0</v>
      </c>
      <c r="E22" s="4">
        <v>0</v>
      </c>
      <c r="F22" s="13">
        <v>0</v>
      </c>
      <c r="G22" s="6" t="e">
        <f t="shared" si="0"/>
        <v>#DIV/0!</v>
      </c>
      <c r="H22" s="4">
        <f t="shared" si="1"/>
        <v>0</v>
      </c>
      <c r="I22" s="11">
        <f t="shared" si="2"/>
        <v>0</v>
      </c>
      <c r="J22" s="4">
        <v>193</v>
      </c>
      <c r="K22" s="13">
        <v>11745.230000000003</v>
      </c>
      <c r="L22" s="4">
        <f t="shared" si="3"/>
        <v>-193</v>
      </c>
      <c r="M22" s="13">
        <f t="shared" si="4"/>
        <v>-11745.230000000003</v>
      </c>
      <c r="N22" s="7">
        <f t="shared" si="5"/>
        <v>-1</v>
      </c>
    </row>
    <row r="23" spans="1:14" x14ac:dyDescent="0.25">
      <c r="A23" s="67" t="s">
        <v>518</v>
      </c>
      <c r="B23" s="68" t="s">
        <v>517</v>
      </c>
      <c r="C23" s="3">
        <v>5</v>
      </c>
      <c r="D23" s="13">
        <v>102.89999999999998</v>
      </c>
      <c r="E23" s="4">
        <v>3</v>
      </c>
      <c r="F23" s="13">
        <v>104.98999999999978</v>
      </c>
      <c r="G23" s="6">
        <f t="shared" si="0"/>
        <v>0.50502669681081291</v>
      </c>
      <c r="H23" s="4">
        <f t="shared" si="1"/>
        <v>8</v>
      </c>
      <c r="I23" s="11">
        <f t="shared" si="2"/>
        <v>207.88999999999976</v>
      </c>
      <c r="J23" s="4">
        <v>405</v>
      </c>
      <c r="K23" s="13">
        <v>8062.1100000000006</v>
      </c>
      <c r="L23" s="4">
        <f t="shared" si="3"/>
        <v>-397</v>
      </c>
      <c r="M23" s="13">
        <f t="shared" si="4"/>
        <v>-7854.2200000000012</v>
      </c>
      <c r="N23" s="7">
        <f t="shared" si="5"/>
        <v>-0.9742139464730698</v>
      </c>
    </row>
    <row r="24" spans="1:14" x14ac:dyDescent="0.25">
      <c r="A24" s="67" t="s">
        <v>490</v>
      </c>
      <c r="B24" s="68" t="s">
        <v>489</v>
      </c>
      <c r="C24" s="3">
        <v>9</v>
      </c>
      <c r="D24" s="13">
        <v>374.56</v>
      </c>
      <c r="E24" s="4">
        <v>4</v>
      </c>
      <c r="F24" s="13">
        <v>239.60000000000036</v>
      </c>
      <c r="G24" s="6">
        <f t="shared" si="0"/>
        <v>0.39012635143936475</v>
      </c>
      <c r="H24" s="4">
        <f t="shared" si="1"/>
        <v>13</v>
      </c>
      <c r="I24" s="11">
        <f t="shared" si="2"/>
        <v>614.16000000000031</v>
      </c>
      <c r="J24" s="4">
        <v>461</v>
      </c>
      <c r="K24" s="13">
        <v>17176.379999999997</v>
      </c>
      <c r="L24" s="4">
        <f t="shared" si="3"/>
        <v>-448</v>
      </c>
      <c r="M24" s="13">
        <f t="shared" si="4"/>
        <v>-16562.219999999998</v>
      </c>
      <c r="N24" s="7">
        <f t="shared" si="5"/>
        <v>-0.96424392101246015</v>
      </c>
    </row>
    <row r="25" spans="1:14" x14ac:dyDescent="0.25">
      <c r="A25" s="67" t="s">
        <v>544</v>
      </c>
      <c r="B25" s="68" t="s">
        <v>543</v>
      </c>
      <c r="C25" s="3">
        <v>33</v>
      </c>
      <c r="D25" s="13">
        <v>682.78000000000065</v>
      </c>
      <c r="E25" s="4">
        <v>0</v>
      </c>
      <c r="F25" s="13">
        <v>0</v>
      </c>
      <c r="G25" s="6">
        <f t="shared" si="0"/>
        <v>0</v>
      </c>
      <c r="H25" s="4">
        <f t="shared" si="1"/>
        <v>33</v>
      </c>
      <c r="I25" s="11">
        <f t="shared" si="2"/>
        <v>682.78000000000065</v>
      </c>
      <c r="J25" s="4">
        <v>90</v>
      </c>
      <c r="K25" s="13">
        <v>2013.4599999999991</v>
      </c>
      <c r="L25" s="4">
        <f t="shared" si="3"/>
        <v>-57</v>
      </c>
      <c r="M25" s="13">
        <f t="shared" si="4"/>
        <v>-1330.6799999999985</v>
      </c>
      <c r="N25" s="7">
        <f t="shared" si="5"/>
        <v>-0.66089219552412215</v>
      </c>
    </row>
    <row r="26" spans="1:14" x14ac:dyDescent="0.25">
      <c r="A26" s="67" t="s">
        <v>311</v>
      </c>
      <c r="B26" s="68" t="s">
        <v>310</v>
      </c>
      <c r="C26" s="3">
        <v>65</v>
      </c>
      <c r="D26" s="13">
        <v>1974.7299999999998</v>
      </c>
      <c r="E26" s="4">
        <v>0</v>
      </c>
      <c r="F26" s="13">
        <v>0</v>
      </c>
      <c r="G26" s="6">
        <f t="shared" si="0"/>
        <v>0</v>
      </c>
      <c r="H26" s="4">
        <f t="shared" si="1"/>
        <v>65</v>
      </c>
      <c r="I26" s="11">
        <f t="shared" si="2"/>
        <v>1974.7299999999998</v>
      </c>
      <c r="J26" s="4">
        <v>545</v>
      </c>
      <c r="K26" s="13">
        <v>17310.82</v>
      </c>
      <c r="L26" s="4">
        <f t="shared" si="3"/>
        <v>-480</v>
      </c>
      <c r="M26" s="13">
        <f t="shared" si="4"/>
        <v>-15336.09</v>
      </c>
      <c r="N26" s="7">
        <f t="shared" si="5"/>
        <v>-0.88592510349018705</v>
      </c>
    </row>
    <row r="27" spans="1:14" x14ac:dyDescent="0.25">
      <c r="A27" s="67" t="s">
        <v>287</v>
      </c>
      <c r="B27" s="68" t="s">
        <v>286</v>
      </c>
      <c r="C27" s="3">
        <v>7</v>
      </c>
      <c r="D27" s="13">
        <v>118.49999999999989</v>
      </c>
      <c r="E27" s="4">
        <v>0</v>
      </c>
      <c r="F27" s="13">
        <v>0</v>
      </c>
      <c r="G27" s="6">
        <f t="shared" si="0"/>
        <v>0</v>
      </c>
      <c r="H27" s="4">
        <f t="shared" si="1"/>
        <v>7</v>
      </c>
      <c r="I27" s="11">
        <f t="shared" si="2"/>
        <v>118.49999999999989</v>
      </c>
      <c r="J27" s="4">
        <v>279</v>
      </c>
      <c r="K27" s="13">
        <v>4665.5700000000015</v>
      </c>
      <c r="L27" s="4">
        <f t="shared" si="3"/>
        <v>-272</v>
      </c>
      <c r="M27" s="13">
        <f t="shared" si="4"/>
        <v>-4547.0700000000015</v>
      </c>
      <c r="N27" s="7">
        <f t="shared" si="5"/>
        <v>-0.97460117413306413</v>
      </c>
    </row>
    <row r="28" spans="1:14" x14ac:dyDescent="0.25">
      <c r="A28" s="67" t="s">
        <v>528</v>
      </c>
      <c r="B28" s="68" t="s">
        <v>527</v>
      </c>
      <c r="C28" s="3">
        <v>20</v>
      </c>
      <c r="D28" s="13">
        <v>824.61999999999989</v>
      </c>
      <c r="E28" s="4">
        <v>2</v>
      </c>
      <c r="F28" s="13">
        <v>109.80000000000018</v>
      </c>
      <c r="G28" s="6">
        <f t="shared" si="0"/>
        <v>0.11750604653153847</v>
      </c>
      <c r="H28" s="4">
        <f t="shared" si="1"/>
        <v>22</v>
      </c>
      <c r="I28" s="11">
        <f t="shared" si="2"/>
        <v>934.42000000000007</v>
      </c>
      <c r="J28" s="4">
        <v>84</v>
      </c>
      <c r="K28" s="13">
        <v>3506.8400000000038</v>
      </c>
      <c r="L28" s="4">
        <f t="shared" si="3"/>
        <v>-62</v>
      </c>
      <c r="M28" s="13">
        <f t="shared" si="4"/>
        <v>-2572.4200000000037</v>
      </c>
      <c r="N28" s="7">
        <f t="shared" si="5"/>
        <v>-0.73354358910015882</v>
      </c>
    </row>
    <row r="29" spans="1:14" x14ac:dyDescent="0.25">
      <c r="A29" s="67" t="s">
        <v>492</v>
      </c>
      <c r="B29" s="68" t="s">
        <v>491</v>
      </c>
      <c r="C29" s="3">
        <v>0</v>
      </c>
      <c r="D29" s="13">
        <v>0</v>
      </c>
      <c r="E29" s="4">
        <v>23</v>
      </c>
      <c r="F29" s="13">
        <v>1138.7000000000016</v>
      </c>
      <c r="G29" s="6">
        <f t="shared" si="0"/>
        <v>1</v>
      </c>
      <c r="H29" s="4">
        <f t="shared" si="1"/>
        <v>23</v>
      </c>
      <c r="I29" s="11">
        <f t="shared" si="2"/>
        <v>1138.7000000000016</v>
      </c>
      <c r="J29" s="4">
        <v>1</v>
      </c>
      <c r="K29" s="13">
        <v>48.080000000001746</v>
      </c>
      <c r="L29" s="4">
        <f t="shared" si="3"/>
        <v>22</v>
      </c>
      <c r="M29" s="13">
        <f t="shared" si="4"/>
        <v>1090.6199999999999</v>
      </c>
      <c r="N29" s="7">
        <f t="shared" si="5"/>
        <v>22.68344425956656</v>
      </c>
    </row>
    <row r="30" spans="1:14" x14ac:dyDescent="0.25">
      <c r="A30" s="67" t="s">
        <v>145</v>
      </c>
      <c r="B30" s="68" t="s">
        <v>144</v>
      </c>
      <c r="C30" s="3">
        <v>6</v>
      </c>
      <c r="D30" s="13">
        <v>150.66000000000008</v>
      </c>
      <c r="E30" s="4">
        <v>0</v>
      </c>
      <c r="F30" s="13">
        <v>0</v>
      </c>
      <c r="G30" s="6">
        <f t="shared" si="0"/>
        <v>0</v>
      </c>
      <c r="H30" s="4">
        <f t="shared" si="1"/>
        <v>6</v>
      </c>
      <c r="I30" s="11">
        <f t="shared" si="2"/>
        <v>150.66000000000008</v>
      </c>
      <c r="J30" s="4">
        <v>236</v>
      </c>
      <c r="K30" s="13">
        <v>5908.1899999999987</v>
      </c>
      <c r="L30" s="4">
        <f t="shared" si="3"/>
        <v>-230</v>
      </c>
      <c r="M30" s="13">
        <f t="shared" si="4"/>
        <v>-5757.5299999999988</v>
      </c>
      <c r="N30" s="7">
        <f t="shared" si="5"/>
        <v>-0.9744998045086567</v>
      </c>
    </row>
    <row r="31" spans="1:14" x14ac:dyDescent="0.25">
      <c r="A31" s="67" t="s">
        <v>55</v>
      </c>
      <c r="B31" s="68" t="s">
        <v>54</v>
      </c>
      <c r="C31" s="3">
        <v>2</v>
      </c>
      <c r="D31" s="13">
        <v>92.739999999999782</v>
      </c>
      <c r="E31" s="4">
        <v>4</v>
      </c>
      <c r="F31" s="13">
        <v>49.9</v>
      </c>
      <c r="G31" s="6">
        <f t="shared" si="0"/>
        <v>0.34983174425126246</v>
      </c>
      <c r="H31" s="4">
        <f t="shared" si="1"/>
        <v>6</v>
      </c>
      <c r="I31" s="11">
        <f t="shared" si="2"/>
        <v>142.63999999999979</v>
      </c>
      <c r="J31" s="4">
        <v>132</v>
      </c>
      <c r="K31" s="13">
        <v>4434.32</v>
      </c>
      <c r="L31" s="4">
        <f t="shared" si="3"/>
        <v>-126</v>
      </c>
      <c r="M31" s="13">
        <f t="shared" si="4"/>
        <v>-4291.68</v>
      </c>
      <c r="N31" s="7">
        <f t="shared" si="5"/>
        <v>-0.96783272294286393</v>
      </c>
    </row>
    <row r="32" spans="1:14" x14ac:dyDescent="0.25">
      <c r="A32" s="67" t="s">
        <v>171</v>
      </c>
      <c r="B32" s="68" t="s">
        <v>170</v>
      </c>
      <c r="C32" s="3">
        <v>147</v>
      </c>
      <c r="D32" s="13">
        <v>2467.17</v>
      </c>
      <c r="E32" s="4">
        <v>0</v>
      </c>
      <c r="F32" s="13">
        <v>0</v>
      </c>
      <c r="G32" s="6">
        <f t="shared" si="0"/>
        <v>0</v>
      </c>
      <c r="H32" s="4">
        <f t="shared" si="1"/>
        <v>147</v>
      </c>
      <c r="I32" s="11">
        <f t="shared" si="2"/>
        <v>2467.17</v>
      </c>
      <c r="J32" s="4">
        <v>692</v>
      </c>
      <c r="K32" s="13">
        <v>11282.580000000002</v>
      </c>
      <c r="L32" s="4">
        <f t="shared" si="3"/>
        <v>-545</v>
      </c>
      <c r="M32" s="13">
        <f t="shared" si="4"/>
        <v>-8815.4100000000017</v>
      </c>
      <c r="N32" s="7">
        <f t="shared" si="5"/>
        <v>-0.78132927043282652</v>
      </c>
    </row>
    <row r="33" spans="1:14" x14ac:dyDescent="0.25">
      <c r="A33" s="67" t="s">
        <v>225</v>
      </c>
      <c r="B33" s="68" t="s">
        <v>224</v>
      </c>
      <c r="C33" s="3">
        <v>306</v>
      </c>
      <c r="D33" s="13">
        <v>2571.2999999999997</v>
      </c>
      <c r="E33" s="4">
        <v>0</v>
      </c>
      <c r="F33" s="13">
        <v>0</v>
      </c>
      <c r="G33" s="6">
        <f t="shared" si="0"/>
        <v>0</v>
      </c>
      <c r="H33" s="4">
        <f t="shared" si="1"/>
        <v>306</v>
      </c>
      <c r="I33" s="11">
        <f t="shared" si="2"/>
        <v>2571.2999999999997</v>
      </c>
      <c r="J33" s="4">
        <v>809</v>
      </c>
      <c r="K33" s="13">
        <v>6481.4699999999975</v>
      </c>
      <c r="L33" s="4">
        <f t="shared" si="3"/>
        <v>-503</v>
      </c>
      <c r="M33" s="13">
        <f t="shared" si="4"/>
        <v>-3910.1699999999978</v>
      </c>
      <c r="N33" s="7">
        <f t="shared" si="5"/>
        <v>-0.60328444010386517</v>
      </c>
    </row>
    <row r="34" spans="1:14" x14ac:dyDescent="0.25">
      <c r="A34" s="67" t="s">
        <v>271</v>
      </c>
      <c r="B34" s="68" t="s">
        <v>270</v>
      </c>
      <c r="C34" s="3">
        <v>5</v>
      </c>
      <c r="D34" s="13">
        <v>308.69000000000005</v>
      </c>
      <c r="E34" s="4">
        <v>0</v>
      </c>
      <c r="F34" s="13">
        <v>0</v>
      </c>
      <c r="G34" s="6">
        <f t="shared" si="0"/>
        <v>0</v>
      </c>
      <c r="H34" s="4">
        <f t="shared" si="1"/>
        <v>5</v>
      </c>
      <c r="I34" s="11">
        <f t="shared" si="2"/>
        <v>308.69000000000005</v>
      </c>
      <c r="J34" s="4">
        <v>34</v>
      </c>
      <c r="K34" s="13">
        <v>2236.6099999999988</v>
      </c>
      <c r="L34" s="4">
        <f t="shared" si="3"/>
        <v>-29</v>
      </c>
      <c r="M34" s="13">
        <f t="shared" si="4"/>
        <v>-1927.9199999999987</v>
      </c>
      <c r="N34" s="7">
        <f t="shared" si="5"/>
        <v>-0.86198309048068267</v>
      </c>
    </row>
    <row r="35" spans="1:14" x14ac:dyDescent="0.25">
      <c r="A35" s="67" t="s">
        <v>339</v>
      </c>
      <c r="B35" s="68" t="s">
        <v>338</v>
      </c>
      <c r="C35" s="3">
        <v>28</v>
      </c>
      <c r="D35" s="13">
        <v>660.83000000000038</v>
      </c>
      <c r="E35" s="4">
        <v>0</v>
      </c>
      <c r="F35" s="13">
        <v>0</v>
      </c>
      <c r="G35" s="6">
        <f t="shared" si="0"/>
        <v>0</v>
      </c>
      <c r="H35" s="4">
        <f t="shared" si="1"/>
        <v>28</v>
      </c>
      <c r="I35" s="11">
        <f t="shared" si="2"/>
        <v>660.83000000000038</v>
      </c>
      <c r="J35" s="4">
        <v>375</v>
      </c>
      <c r="K35" s="13">
        <v>7645.1999999999989</v>
      </c>
      <c r="L35" s="4">
        <f t="shared" si="3"/>
        <v>-347</v>
      </c>
      <c r="M35" s="13">
        <f t="shared" si="4"/>
        <v>-6984.369999999999</v>
      </c>
      <c r="N35" s="7">
        <f t="shared" si="5"/>
        <v>-0.91356275833202527</v>
      </c>
    </row>
    <row r="36" spans="1:14" x14ac:dyDescent="0.25">
      <c r="A36" s="67" t="s">
        <v>361</v>
      </c>
      <c r="B36" s="68" t="s">
        <v>360</v>
      </c>
      <c r="C36" s="3">
        <v>50</v>
      </c>
      <c r="D36" s="13">
        <v>703.01000000000067</v>
      </c>
      <c r="E36" s="4">
        <v>0</v>
      </c>
      <c r="F36" s="13">
        <v>0</v>
      </c>
      <c r="G36" s="6">
        <f t="shared" si="0"/>
        <v>0</v>
      </c>
      <c r="H36" s="4">
        <f t="shared" si="1"/>
        <v>50</v>
      </c>
      <c r="I36" s="11">
        <f t="shared" si="2"/>
        <v>703.01000000000067</v>
      </c>
      <c r="J36" s="4">
        <v>483</v>
      </c>
      <c r="K36" s="13">
        <v>6989.07</v>
      </c>
      <c r="L36" s="4">
        <f t="shared" si="3"/>
        <v>-433</v>
      </c>
      <c r="M36" s="13">
        <f t="shared" si="4"/>
        <v>-6286.0599999999995</v>
      </c>
      <c r="N36" s="7">
        <f t="shared" si="5"/>
        <v>-0.89941294049136722</v>
      </c>
    </row>
    <row r="37" spans="1:14" x14ac:dyDescent="0.25">
      <c r="A37" s="67" t="s">
        <v>59</v>
      </c>
      <c r="B37" s="68" t="s">
        <v>58</v>
      </c>
      <c r="C37" s="3">
        <v>38</v>
      </c>
      <c r="D37" s="13">
        <v>2635.1400000000003</v>
      </c>
      <c r="E37" s="4">
        <v>0</v>
      </c>
      <c r="F37" s="13">
        <v>0</v>
      </c>
      <c r="G37" s="6">
        <f t="shared" si="0"/>
        <v>0</v>
      </c>
      <c r="H37" s="4">
        <f t="shared" si="1"/>
        <v>38</v>
      </c>
      <c r="I37" s="11">
        <f t="shared" si="2"/>
        <v>2635.1400000000003</v>
      </c>
      <c r="J37" s="4">
        <v>125</v>
      </c>
      <c r="K37" s="13">
        <v>8290.4999999999982</v>
      </c>
      <c r="L37" s="4">
        <f t="shared" si="3"/>
        <v>-87</v>
      </c>
      <c r="M37" s="13">
        <f t="shared" si="4"/>
        <v>-5655.3599999999979</v>
      </c>
      <c r="N37" s="7">
        <f t="shared" si="5"/>
        <v>-0.6821494481635606</v>
      </c>
    </row>
    <row r="38" spans="1:14" x14ac:dyDescent="0.25">
      <c r="A38" s="67" t="s">
        <v>395</v>
      </c>
      <c r="B38" s="68" t="s">
        <v>394</v>
      </c>
      <c r="C38" s="3">
        <v>354</v>
      </c>
      <c r="D38" s="13">
        <v>4078.6900000000005</v>
      </c>
      <c r="E38" s="4">
        <v>0</v>
      </c>
      <c r="F38" s="13">
        <v>0</v>
      </c>
      <c r="G38" s="6">
        <f t="shared" si="0"/>
        <v>0</v>
      </c>
      <c r="H38" s="4">
        <f t="shared" si="1"/>
        <v>354</v>
      </c>
      <c r="I38" s="11">
        <f t="shared" si="2"/>
        <v>4078.6900000000005</v>
      </c>
      <c r="J38" s="4">
        <v>1166</v>
      </c>
      <c r="K38" s="13">
        <v>12549.420000000002</v>
      </c>
      <c r="L38" s="4">
        <f t="shared" si="3"/>
        <v>-812</v>
      </c>
      <c r="M38" s="13">
        <f t="shared" si="4"/>
        <v>-8470.7300000000014</v>
      </c>
      <c r="N38" s="7">
        <f t="shared" si="5"/>
        <v>-0.67498976048295456</v>
      </c>
    </row>
    <row r="39" spans="1:14" x14ac:dyDescent="0.25">
      <c r="A39" s="67" t="s">
        <v>211</v>
      </c>
      <c r="B39" s="68" t="s">
        <v>210</v>
      </c>
      <c r="C39" s="3">
        <v>244</v>
      </c>
      <c r="D39" s="13">
        <v>4044.9700000000003</v>
      </c>
      <c r="E39" s="4">
        <v>0</v>
      </c>
      <c r="F39" s="13">
        <v>0</v>
      </c>
      <c r="G39" s="6">
        <f t="shared" si="0"/>
        <v>0</v>
      </c>
      <c r="H39" s="4">
        <f t="shared" si="1"/>
        <v>244</v>
      </c>
      <c r="I39" s="11">
        <f t="shared" si="2"/>
        <v>4044.9700000000003</v>
      </c>
      <c r="J39" s="4">
        <v>650</v>
      </c>
      <c r="K39" s="13">
        <v>11503.33</v>
      </c>
      <c r="L39" s="4">
        <f t="shared" si="3"/>
        <v>-406</v>
      </c>
      <c r="M39" s="13">
        <f t="shared" si="4"/>
        <v>-7458.36</v>
      </c>
      <c r="N39" s="7">
        <f t="shared" si="5"/>
        <v>-0.64836529943937971</v>
      </c>
    </row>
    <row r="40" spans="1:14" x14ac:dyDescent="0.25">
      <c r="A40" s="67" t="s">
        <v>223</v>
      </c>
      <c r="B40" s="68" t="s">
        <v>222</v>
      </c>
      <c r="C40" s="3">
        <v>1</v>
      </c>
      <c r="D40" s="13">
        <v>10.749999999999993</v>
      </c>
      <c r="E40" s="4">
        <v>9</v>
      </c>
      <c r="F40" s="13">
        <v>153.97000000000116</v>
      </c>
      <c r="G40" s="6">
        <f t="shared" si="0"/>
        <v>0.9347377367654206</v>
      </c>
      <c r="H40" s="4">
        <f t="shared" si="1"/>
        <v>10</v>
      </c>
      <c r="I40" s="11">
        <f t="shared" si="2"/>
        <v>164.72000000000116</v>
      </c>
      <c r="J40" s="4">
        <v>371</v>
      </c>
      <c r="K40" s="13">
        <v>3388.2800000000025</v>
      </c>
      <c r="L40" s="4">
        <f t="shared" si="3"/>
        <v>-361</v>
      </c>
      <c r="M40" s="13">
        <f t="shared" si="4"/>
        <v>-3223.5600000000013</v>
      </c>
      <c r="N40" s="7">
        <f t="shared" si="5"/>
        <v>-0.95138536366534021</v>
      </c>
    </row>
    <row r="41" spans="1:14" x14ac:dyDescent="0.25">
      <c r="A41" s="67" t="s">
        <v>233</v>
      </c>
      <c r="B41" s="68" t="s">
        <v>232</v>
      </c>
      <c r="C41" s="3">
        <v>79</v>
      </c>
      <c r="D41" s="13">
        <v>4829.0199999999995</v>
      </c>
      <c r="E41" s="4">
        <v>0</v>
      </c>
      <c r="F41" s="13">
        <v>0</v>
      </c>
      <c r="G41" s="6">
        <f t="shared" si="0"/>
        <v>0</v>
      </c>
      <c r="H41" s="4">
        <f t="shared" si="1"/>
        <v>79</v>
      </c>
      <c r="I41" s="11">
        <f t="shared" si="2"/>
        <v>4829.0199999999995</v>
      </c>
      <c r="J41" s="4">
        <v>8</v>
      </c>
      <c r="K41" s="13">
        <v>465.46999999999753</v>
      </c>
      <c r="L41" s="4">
        <f t="shared" si="3"/>
        <v>71</v>
      </c>
      <c r="M41" s="13">
        <f t="shared" si="4"/>
        <v>4363.550000000002</v>
      </c>
      <c r="N41" s="7">
        <f t="shared" si="5"/>
        <v>9.3745031903238125</v>
      </c>
    </row>
    <row r="42" spans="1:14" x14ac:dyDescent="0.25">
      <c r="A42" s="67" t="s">
        <v>574</v>
      </c>
      <c r="B42" s="68" t="s">
        <v>575</v>
      </c>
      <c r="C42" s="3">
        <v>0</v>
      </c>
      <c r="D42" s="13">
        <v>0</v>
      </c>
      <c r="E42" s="4">
        <v>-70</v>
      </c>
      <c r="F42" s="13">
        <v>-2073.0000000000023</v>
      </c>
      <c r="G42" s="6">
        <f t="shared" si="0"/>
        <v>1</v>
      </c>
      <c r="H42" s="4">
        <f t="shared" si="1"/>
        <v>-70</v>
      </c>
      <c r="I42" s="11">
        <f t="shared" si="2"/>
        <v>-2073.0000000000023</v>
      </c>
      <c r="J42" s="4">
        <v>166</v>
      </c>
      <c r="K42" s="13">
        <v>3964.1000000000013</v>
      </c>
      <c r="L42" s="4">
        <f t="shared" si="3"/>
        <v>-236</v>
      </c>
      <c r="M42" s="13">
        <f t="shared" si="4"/>
        <v>-6037.100000000004</v>
      </c>
      <c r="N42" s="7">
        <f t="shared" si="5"/>
        <v>-1.5229434171690932</v>
      </c>
    </row>
    <row r="43" spans="1:14" x14ac:dyDescent="0.25">
      <c r="A43" s="67" t="s">
        <v>538</v>
      </c>
      <c r="B43" s="68" t="s">
        <v>537</v>
      </c>
      <c r="C43" s="3">
        <v>11</v>
      </c>
      <c r="D43" s="13">
        <v>688.82999999999993</v>
      </c>
      <c r="E43" s="4">
        <v>0</v>
      </c>
      <c r="F43" s="13">
        <v>0</v>
      </c>
      <c r="G43" s="6">
        <f t="shared" si="0"/>
        <v>0</v>
      </c>
      <c r="H43" s="4">
        <f t="shared" si="1"/>
        <v>11</v>
      </c>
      <c r="I43" s="11">
        <f t="shared" si="2"/>
        <v>688.82999999999993</v>
      </c>
      <c r="J43" s="4">
        <v>17</v>
      </c>
      <c r="K43" s="13">
        <v>1244.0900000000001</v>
      </c>
      <c r="L43" s="4">
        <f t="shared" si="3"/>
        <v>-6</v>
      </c>
      <c r="M43" s="13">
        <f t="shared" si="4"/>
        <v>-555.26000000000022</v>
      </c>
      <c r="N43" s="7">
        <f t="shared" si="5"/>
        <v>-0.44631819241373227</v>
      </c>
    </row>
    <row r="44" spans="1:14" x14ac:dyDescent="0.25">
      <c r="A44" s="67" t="s">
        <v>409</v>
      </c>
      <c r="B44" s="68" t="s">
        <v>408</v>
      </c>
      <c r="C44" s="3">
        <v>352</v>
      </c>
      <c r="D44" s="13">
        <v>2338.21</v>
      </c>
      <c r="E44" s="4">
        <v>0</v>
      </c>
      <c r="F44" s="13">
        <v>0</v>
      </c>
      <c r="G44" s="6">
        <f t="shared" si="0"/>
        <v>0</v>
      </c>
      <c r="H44" s="4">
        <f t="shared" si="1"/>
        <v>352</v>
      </c>
      <c r="I44" s="11">
        <f t="shared" si="2"/>
        <v>2338.21</v>
      </c>
      <c r="J44" s="4">
        <v>24</v>
      </c>
      <c r="K44" s="13">
        <v>137.42999999999847</v>
      </c>
      <c r="L44" s="4">
        <f t="shared" si="3"/>
        <v>328</v>
      </c>
      <c r="M44" s="13">
        <f t="shared" si="4"/>
        <v>2200.7800000000016</v>
      </c>
      <c r="N44" s="7">
        <f t="shared" si="5"/>
        <v>16.013825220112246</v>
      </c>
    </row>
    <row r="45" spans="1:14" x14ac:dyDescent="0.25">
      <c r="A45" s="67" t="s">
        <v>127</v>
      </c>
      <c r="B45" s="68" t="s">
        <v>126</v>
      </c>
      <c r="C45" s="3">
        <v>153</v>
      </c>
      <c r="D45" s="13">
        <v>3592.6400000000012</v>
      </c>
      <c r="E45" s="4">
        <v>1</v>
      </c>
      <c r="F45" s="13">
        <v>39.899999999999636</v>
      </c>
      <c r="G45" s="6">
        <f t="shared" si="0"/>
        <v>1.0984049728289194E-2</v>
      </c>
      <c r="H45" s="4">
        <f t="shared" si="1"/>
        <v>154</v>
      </c>
      <c r="I45" s="11">
        <f t="shared" si="2"/>
        <v>3632.5400000000009</v>
      </c>
      <c r="J45" s="4">
        <v>362</v>
      </c>
      <c r="K45" s="13">
        <v>8738.73</v>
      </c>
      <c r="L45" s="4">
        <f t="shared" si="3"/>
        <v>-208</v>
      </c>
      <c r="M45" s="13">
        <f t="shared" si="4"/>
        <v>-5106.1899999999987</v>
      </c>
      <c r="N45" s="7">
        <f t="shared" si="5"/>
        <v>-0.58431717194603783</v>
      </c>
    </row>
    <row r="46" spans="1:14" x14ac:dyDescent="0.25">
      <c r="A46" s="67" t="s">
        <v>325</v>
      </c>
      <c r="B46" s="68" t="s">
        <v>324</v>
      </c>
      <c r="C46" s="3">
        <v>250</v>
      </c>
      <c r="D46" s="13">
        <v>7330.4800000000005</v>
      </c>
      <c r="E46" s="4">
        <v>0</v>
      </c>
      <c r="F46" s="13">
        <v>0</v>
      </c>
      <c r="G46" s="6">
        <f t="shared" si="0"/>
        <v>0</v>
      </c>
      <c r="H46" s="4">
        <f t="shared" si="1"/>
        <v>250</v>
      </c>
      <c r="I46" s="11">
        <f t="shared" si="2"/>
        <v>7330.4800000000005</v>
      </c>
      <c r="J46" s="4">
        <v>478</v>
      </c>
      <c r="K46" s="13">
        <v>13870.529999999999</v>
      </c>
      <c r="L46" s="4">
        <f t="shared" si="3"/>
        <v>-228</v>
      </c>
      <c r="M46" s="13">
        <f t="shared" si="4"/>
        <v>-6540.0499999999984</v>
      </c>
      <c r="N46" s="7">
        <f t="shared" si="5"/>
        <v>-0.47150685662335895</v>
      </c>
    </row>
    <row r="47" spans="1:14" x14ac:dyDescent="0.25">
      <c r="A47" s="67" t="s">
        <v>393</v>
      </c>
      <c r="B47" s="68" t="s">
        <v>392</v>
      </c>
      <c r="C47" s="3">
        <v>0</v>
      </c>
      <c r="D47" s="13">
        <v>0</v>
      </c>
      <c r="E47" s="4">
        <v>0</v>
      </c>
      <c r="F47" s="13">
        <v>0</v>
      </c>
      <c r="G47" s="6" t="e">
        <f t="shared" si="0"/>
        <v>#DIV/0!</v>
      </c>
      <c r="H47" s="4">
        <f t="shared" si="1"/>
        <v>0</v>
      </c>
      <c r="I47" s="11">
        <f t="shared" si="2"/>
        <v>0</v>
      </c>
      <c r="J47" s="4">
        <v>4</v>
      </c>
      <c r="K47" s="13">
        <v>364.81999999999971</v>
      </c>
      <c r="L47" s="4">
        <f t="shared" si="3"/>
        <v>-4</v>
      </c>
      <c r="M47" s="13">
        <f t="shared" si="4"/>
        <v>-364.81999999999971</v>
      </c>
      <c r="N47" s="7">
        <f t="shared" si="5"/>
        <v>-1</v>
      </c>
    </row>
    <row r="48" spans="1:14" x14ac:dyDescent="0.25">
      <c r="A48" s="67" t="s">
        <v>207</v>
      </c>
      <c r="B48" s="68" t="s">
        <v>206</v>
      </c>
      <c r="C48" s="3">
        <v>218</v>
      </c>
      <c r="D48" s="13">
        <v>3656.89</v>
      </c>
      <c r="E48" s="4">
        <v>0</v>
      </c>
      <c r="F48" s="13">
        <v>0</v>
      </c>
      <c r="G48" s="6">
        <f t="shared" si="0"/>
        <v>0</v>
      </c>
      <c r="H48" s="4">
        <f t="shared" si="1"/>
        <v>218</v>
      </c>
      <c r="I48" s="11">
        <f t="shared" si="2"/>
        <v>3656.89</v>
      </c>
      <c r="J48" s="4">
        <v>263</v>
      </c>
      <c r="K48" s="13">
        <v>4809.6400000000003</v>
      </c>
      <c r="L48" s="4">
        <f t="shared" si="3"/>
        <v>-45</v>
      </c>
      <c r="M48" s="13">
        <f t="shared" si="4"/>
        <v>-1152.7500000000005</v>
      </c>
      <c r="N48" s="7">
        <f t="shared" si="5"/>
        <v>-0.23967490290333587</v>
      </c>
    </row>
    <row r="49" spans="1:14" x14ac:dyDescent="0.25">
      <c r="A49" s="67" t="s">
        <v>552</v>
      </c>
      <c r="B49" s="68" t="s">
        <v>551</v>
      </c>
      <c r="C49" s="3">
        <v>62</v>
      </c>
      <c r="D49" s="13">
        <v>1552.7199999999998</v>
      </c>
      <c r="E49" s="4">
        <v>0</v>
      </c>
      <c r="F49" s="13">
        <v>0</v>
      </c>
      <c r="G49" s="6">
        <f t="shared" si="0"/>
        <v>0</v>
      </c>
      <c r="H49" s="4">
        <f t="shared" si="1"/>
        <v>62</v>
      </c>
      <c r="I49" s="11">
        <f t="shared" si="2"/>
        <v>1552.7199999999998</v>
      </c>
      <c r="J49" s="4">
        <v>132</v>
      </c>
      <c r="K49" s="13">
        <v>3428.5599999999977</v>
      </c>
      <c r="L49" s="4">
        <f t="shared" si="3"/>
        <v>-70</v>
      </c>
      <c r="M49" s="13">
        <f t="shared" si="4"/>
        <v>-1875.8399999999979</v>
      </c>
      <c r="N49" s="7">
        <f t="shared" si="5"/>
        <v>-0.54712182373941221</v>
      </c>
    </row>
    <row r="50" spans="1:14" x14ac:dyDescent="0.25">
      <c r="A50" s="67" t="s">
        <v>79</v>
      </c>
      <c r="B50" s="68" t="s">
        <v>78</v>
      </c>
      <c r="C50" s="3">
        <v>52</v>
      </c>
      <c r="D50" s="13">
        <v>752.82000000000016</v>
      </c>
      <c r="E50" s="4">
        <v>0</v>
      </c>
      <c r="F50" s="13">
        <v>0</v>
      </c>
      <c r="G50" s="6">
        <f t="shared" si="0"/>
        <v>0</v>
      </c>
      <c r="H50" s="4">
        <f t="shared" si="1"/>
        <v>52</v>
      </c>
      <c r="I50" s="11">
        <f t="shared" si="2"/>
        <v>752.82000000000016</v>
      </c>
      <c r="J50" s="4">
        <v>85</v>
      </c>
      <c r="K50" s="13">
        <v>1435.1399999999994</v>
      </c>
      <c r="L50" s="4">
        <f t="shared" si="3"/>
        <v>-33</v>
      </c>
      <c r="M50" s="13">
        <f t="shared" si="4"/>
        <v>-682.31999999999925</v>
      </c>
      <c r="N50" s="7">
        <f t="shared" si="5"/>
        <v>-0.47543793636857695</v>
      </c>
    </row>
    <row r="51" spans="1:14" x14ac:dyDescent="0.25">
      <c r="A51" s="67" t="s">
        <v>133</v>
      </c>
      <c r="B51" s="68" t="s">
        <v>132</v>
      </c>
      <c r="C51" s="3">
        <v>37</v>
      </c>
      <c r="D51" s="13">
        <v>1572.85</v>
      </c>
      <c r="E51" s="4">
        <v>0</v>
      </c>
      <c r="F51" s="13">
        <v>0</v>
      </c>
      <c r="G51" s="6">
        <f t="shared" si="0"/>
        <v>0</v>
      </c>
      <c r="H51" s="4">
        <f t="shared" si="1"/>
        <v>37</v>
      </c>
      <c r="I51" s="11">
        <f t="shared" si="2"/>
        <v>1572.85</v>
      </c>
      <c r="J51" s="4">
        <v>168</v>
      </c>
      <c r="K51" s="13">
        <v>7227.86</v>
      </c>
      <c r="L51" s="4">
        <f t="shared" si="3"/>
        <v>-131</v>
      </c>
      <c r="M51" s="13">
        <f t="shared" si="4"/>
        <v>-5655.01</v>
      </c>
      <c r="N51" s="7">
        <f t="shared" si="5"/>
        <v>-0.78239063844623447</v>
      </c>
    </row>
    <row r="52" spans="1:14" x14ac:dyDescent="0.25">
      <c r="A52" s="67" t="s">
        <v>698</v>
      </c>
      <c r="B52" s="68" t="s">
        <v>699</v>
      </c>
      <c r="C52" s="3">
        <v>0</v>
      </c>
      <c r="D52" s="13">
        <v>0</v>
      </c>
      <c r="E52" s="4">
        <v>0</v>
      </c>
      <c r="F52" s="13">
        <v>0</v>
      </c>
      <c r="G52" s="6"/>
      <c r="H52" s="4">
        <f t="shared" si="1"/>
        <v>0</v>
      </c>
      <c r="I52" s="11">
        <f t="shared" si="2"/>
        <v>0</v>
      </c>
      <c r="J52" s="4">
        <v>151</v>
      </c>
      <c r="K52" s="13">
        <v>4711.0099999999993</v>
      </c>
      <c r="L52" s="4">
        <f t="shared" si="3"/>
        <v>-151</v>
      </c>
      <c r="M52" s="13">
        <f t="shared" si="4"/>
        <v>-4711.0099999999993</v>
      </c>
      <c r="N52" s="7">
        <f t="shared" si="5"/>
        <v>-1</v>
      </c>
    </row>
    <row r="53" spans="1:14" x14ac:dyDescent="0.25">
      <c r="A53" s="67" t="s">
        <v>343</v>
      </c>
      <c r="B53" s="68" t="s">
        <v>342</v>
      </c>
      <c r="C53" s="3">
        <v>215</v>
      </c>
      <c r="D53" s="13">
        <v>4264.0499999999993</v>
      </c>
      <c r="E53" s="4">
        <v>0</v>
      </c>
      <c r="F53" s="13">
        <v>0</v>
      </c>
      <c r="G53" s="6">
        <f t="shared" si="0"/>
        <v>0</v>
      </c>
      <c r="H53" s="4">
        <f t="shared" si="1"/>
        <v>215</v>
      </c>
      <c r="I53" s="11">
        <f t="shared" si="2"/>
        <v>4264.0499999999993</v>
      </c>
      <c r="J53" s="4">
        <v>513</v>
      </c>
      <c r="K53" s="13">
        <v>8324.8000000000011</v>
      </c>
      <c r="L53" s="4">
        <f t="shared" si="3"/>
        <v>-298</v>
      </c>
      <c r="M53" s="13">
        <f t="shared" si="4"/>
        <v>-4060.7500000000018</v>
      </c>
      <c r="N53" s="7">
        <f t="shared" si="5"/>
        <v>-0.48778949644435921</v>
      </c>
    </row>
    <row r="54" spans="1:14" x14ac:dyDescent="0.25">
      <c r="A54" s="67" t="s">
        <v>31</v>
      </c>
      <c r="B54" s="68" t="s">
        <v>30</v>
      </c>
      <c r="C54" s="3">
        <v>0</v>
      </c>
      <c r="D54" s="13">
        <v>0</v>
      </c>
      <c r="E54" s="4">
        <v>0</v>
      </c>
      <c r="F54" s="13">
        <v>0</v>
      </c>
      <c r="G54" s="6" t="e">
        <f t="shared" si="0"/>
        <v>#DIV/0!</v>
      </c>
      <c r="H54" s="4">
        <f t="shared" si="1"/>
        <v>0</v>
      </c>
      <c r="I54" s="11">
        <f t="shared" si="2"/>
        <v>0</v>
      </c>
      <c r="J54" s="4">
        <v>0</v>
      </c>
      <c r="K54" s="13">
        <v>0</v>
      </c>
      <c r="L54" s="4">
        <f t="shared" si="3"/>
        <v>0</v>
      </c>
      <c r="M54" s="13">
        <f t="shared" si="4"/>
        <v>0</v>
      </c>
      <c r="N54" s="7"/>
    </row>
    <row r="55" spans="1:14" x14ac:dyDescent="0.25">
      <c r="A55" s="67" t="s">
        <v>201</v>
      </c>
      <c r="B55" s="68" t="s">
        <v>200</v>
      </c>
      <c r="C55" s="3">
        <v>202</v>
      </c>
      <c r="D55" s="13">
        <v>5881.05</v>
      </c>
      <c r="E55" s="4">
        <v>0</v>
      </c>
      <c r="F55" s="13">
        <v>0</v>
      </c>
      <c r="G55" s="6">
        <f t="shared" si="0"/>
        <v>0</v>
      </c>
      <c r="H55" s="4">
        <f t="shared" si="1"/>
        <v>202</v>
      </c>
      <c r="I55" s="11">
        <f t="shared" si="2"/>
        <v>5881.05</v>
      </c>
      <c r="J55" s="4">
        <v>299</v>
      </c>
      <c r="K55" s="13">
        <v>9311.9900000000016</v>
      </c>
      <c r="L55" s="4">
        <f t="shared" si="3"/>
        <v>-97</v>
      </c>
      <c r="M55" s="13">
        <f t="shared" si="4"/>
        <v>-3430.9400000000014</v>
      </c>
      <c r="N55" s="7">
        <f t="shared" si="5"/>
        <v>-0.36844326508082598</v>
      </c>
    </row>
    <row r="56" spans="1:14" x14ac:dyDescent="0.25">
      <c r="A56" s="67" t="s">
        <v>379</v>
      </c>
      <c r="B56" s="68" t="s">
        <v>378</v>
      </c>
      <c r="C56" s="3">
        <v>72</v>
      </c>
      <c r="D56" s="13">
        <v>1378.46</v>
      </c>
      <c r="E56" s="4">
        <v>0</v>
      </c>
      <c r="F56" s="13">
        <v>0</v>
      </c>
      <c r="G56" s="6">
        <f t="shared" si="0"/>
        <v>0</v>
      </c>
      <c r="H56" s="4">
        <f t="shared" si="1"/>
        <v>72</v>
      </c>
      <c r="I56" s="11">
        <f t="shared" si="2"/>
        <v>1378.46</v>
      </c>
      <c r="J56" s="4">
        <v>278</v>
      </c>
      <c r="K56" s="13">
        <v>4617.6100000000006</v>
      </c>
      <c r="L56" s="4">
        <f t="shared" si="3"/>
        <v>-206</v>
      </c>
      <c r="M56" s="13">
        <f t="shared" si="4"/>
        <v>-3239.1500000000005</v>
      </c>
      <c r="N56" s="7">
        <f t="shared" si="5"/>
        <v>-0.70147760421516758</v>
      </c>
    </row>
    <row r="57" spans="1:14" x14ac:dyDescent="0.25">
      <c r="A57" s="67" t="s">
        <v>103</v>
      </c>
      <c r="B57" s="68" t="s">
        <v>102</v>
      </c>
      <c r="C57" s="3">
        <v>0</v>
      </c>
      <c r="D57" s="13">
        <v>0</v>
      </c>
      <c r="E57" s="4">
        <v>0</v>
      </c>
      <c r="F57" s="13">
        <v>0</v>
      </c>
      <c r="G57" s="6" t="e">
        <f t="shared" si="0"/>
        <v>#DIV/0!</v>
      </c>
      <c r="H57" s="4">
        <f t="shared" si="1"/>
        <v>0</v>
      </c>
      <c r="I57" s="11">
        <f t="shared" si="2"/>
        <v>0</v>
      </c>
      <c r="J57" s="4">
        <v>14</v>
      </c>
      <c r="K57" s="13">
        <v>363.57000000000062</v>
      </c>
      <c r="L57" s="4">
        <f t="shared" si="3"/>
        <v>-14</v>
      </c>
      <c r="M57" s="13">
        <f t="shared" si="4"/>
        <v>-363.57000000000062</v>
      </c>
      <c r="N57" s="7">
        <f t="shared" si="5"/>
        <v>-1</v>
      </c>
    </row>
    <row r="58" spans="1:14" x14ac:dyDescent="0.25">
      <c r="A58" s="67" t="s">
        <v>181</v>
      </c>
      <c r="B58" s="68" t="s">
        <v>180</v>
      </c>
      <c r="C58" s="3">
        <v>15</v>
      </c>
      <c r="D58" s="13">
        <v>184.97000000000003</v>
      </c>
      <c r="E58" s="4">
        <v>0</v>
      </c>
      <c r="F58" s="13">
        <v>0</v>
      </c>
      <c r="G58" s="6">
        <f t="shared" si="0"/>
        <v>0</v>
      </c>
      <c r="H58" s="4">
        <f t="shared" si="1"/>
        <v>15</v>
      </c>
      <c r="I58" s="11">
        <f t="shared" si="2"/>
        <v>184.97000000000003</v>
      </c>
      <c r="J58" s="4">
        <v>52</v>
      </c>
      <c r="K58" s="13">
        <v>579.39000000000033</v>
      </c>
      <c r="L58" s="4">
        <f t="shared" si="3"/>
        <v>-37</v>
      </c>
      <c r="M58" s="13">
        <f t="shared" si="4"/>
        <v>-394.4200000000003</v>
      </c>
      <c r="N58" s="7">
        <f t="shared" si="5"/>
        <v>-0.6807504444329382</v>
      </c>
    </row>
    <row r="59" spans="1:14" x14ac:dyDescent="0.25">
      <c r="A59" s="67" t="s">
        <v>479</v>
      </c>
      <c r="B59" s="68" t="s">
        <v>478</v>
      </c>
      <c r="C59" s="3">
        <v>11</v>
      </c>
      <c r="D59" s="13">
        <v>281.59000000000015</v>
      </c>
      <c r="E59" s="4">
        <v>0</v>
      </c>
      <c r="F59" s="13">
        <v>0</v>
      </c>
      <c r="G59" s="6">
        <f t="shared" si="0"/>
        <v>0</v>
      </c>
      <c r="H59" s="4">
        <f t="shared" si="1"/>
        <v>11</v>
      </c>
      <c r="I59" s="11">
        <f t="shared" si="2"/>
        <v>281.59000000000015</v>
      </c>
      <c r="J59" s="4">
        <v>6</v>
      </c>
      <c r="K59" s="13">
        <v>136.34000000000015</v>
      </c>
      <c r="L59" s="4">
        <f t="shared" si="3"/>
        <v>5</v>
      </c>
      <c r="M59" s="13">
        <f t="shared" si="4"/>
        <v>145.25</v>
      </c>
      <c r="N59" s="7">
        <f t="shared" si="5"/>
        <v>1.0653513275634432</v>
      </c>
    </row>
    <row r="60" spans="1:14" x14ac:dyDescent="0.25">
      <c r="A60" s="67" t="s">
        <v>227</v>
      </c>
      <c r="B60" s="68" t="s">
        <v>226</v>
      </c>
      <c r="C60" s="3">
        <v>0</v>
      </c>
      <c r="D60" s="13">
        <v>0</v>
      </c>
      <c r="E60" s="4">
        <v>0</v>
      </c>
      <c r="F60" s="13">
        <v>0</v>
      </c>
      <c r="G60" s="6"/>
      <c r="H60" s="4">
        <f t="shared" si="1"/>
        <v>0</v>
      </c>
      <c r="I60" s="11">
        <f t="shared" si="2"/>
        <v>0</v>
      </c>
      <c r="J60" s="4">
        <v>389</v>
      </c>
      <c r="K60" s="13">
        <v>3228.8500000000004</v>
      </c>
      <c r="L60" s="4">
        <f t="shared" si="3"/>
        <v>-389</v>
      </c>
      <c r="M60" s="13">
        <f t="shared" si="4"/>
        <v>-3228.8500000000004</v>
      </c>
      <c r="N60" s="7">
        <f t="shared" si="5"/>
        <v>-1</v>
      </c>
    </row>
    <row r="61" spans="1:14" x14ac:dyDescent="0.25">
      <c r="A61" s="67" t="s">
        <v>243</v>
      </c>
      <c r="B61" s="68" t="s">
        <v>242</v>
      </c>
      <c r="C61" s="3">
        <v>91</v>
      </c>
      <c r="D61" s="13">
        <v>1015.3099999999996</v>
      </c>
      <c r="E61" s="4">
        <v>0</v>
      </c>
      <c r="F61" s="13">
        <v>0</v>
      </c>
      <c r="G61" s="6">
        <f t="shared" si="0"/>
        <v>0</v>
      </c>
      <c r="H61" s="4">
        <f t="shared" si="1"/>
        <v>91</v>
      </c>
      <c r="I61" s="11">
        <f t="shared" si="2"/>
        <v>1015.3099999999996</v>
      </c>
      <c r="J61" s="4">
        <v>129</v>
      </c>
      <c r="K61" s="13">
        <v>1590.3699999999994</v>
      </c>
      <c r="L61" s="4">
        <f t="shared" si="3"/>
        <v>-38</v>
      </c>
      <c r="M61" s="13">
        <f t="shared" si="4"/>
        <v>-575.05999999999983</v>
      </c>
      <c r="N61" s="7">
        <f t="shared" si="5"/>
        <v>-0.36158881266623494</v>
      </c>
    </row>
    <row r="62" spans="1:14" x14ac:dyDescent="0.25">
      <c r="A62" s="67" t="s">
        <v>289</v>
      </c>
      <c r="B62" s="68" t="s">
        <v>288</v>
      </c>
      <c r="C62" s="3">
        <v>82</v>
      </c>
      <c r="D62" s="13">
        <v>1095.31</v>
      </c>
      <c r="E62" s="4">
        <v>0</v>
      </c>
      <c r="F62" s="13">
        <v>0</v>
      </c>
      <c r="G62" s="6">
        <f t="shared" si="0"/>
        <v>0</v>
      </c>
      <c r="H62" s="4">
        <f t="shared" si="1"/>
        <v>82</v>
      </c>
      <c r="I62" s="11">
        <f t="shared" si="2"/>
        <v>1095.31</v>
      </c>
      <c r="J62" s="4">
        <v>170</v>
      </c>
      <c r="K62" s="13">
        <v>2042.3099999999995</v>
      </c>
      <c r="L62" s="4">
        <f t="shared" si="3"/>
        <v>-88</v>
      </c>
      <c r="M62" s="13">
        <f t="shared" si="4"/>
        <v>-946.99999999999955</v>
      </c>
      <c r="N62" s="7">
        <f t="shared" si="5"/>
        <v>-0.4636906248316856</v>
      </c>
    </row>
    <row r="63" spans="1:14" x14ac:dyDescent="0.25">
      <c r="A63" s="67" t="s">
        <v>219</v>
      </c>
      <c r="B63" s="68" t="s">
        <v>218</v>
      </c>
      <c r="C63" s="3">
        <v>57</v>
      </c>
      <c r="D63" s="13">
        <v>612.5</v>
      </c>
      <c r="E63" s="4">
        <v>0</v>
      </c>
      <c r="F63" s="13">
        <v>0</v>
      </c>
      <c r="G63" s="6">
        <f t="shared" si="0"/>
        <v>0</v>
      </c>
      <c r="H63" s="4">
        <f t="shared" si="1"/>
        <v>57</v>
      </c>
      <c r="I63" s="11">
        <f t="shared" si="2"/>
        <v>612.5</v>
      </c>
      <c r="J63" s="4">
        <v>144</v>
      </c>
      <c r="K63" s="13">
        <v>1709.4699999999993</v>
      </c>
      <c r="L63" s="4">
        <f t="shared" si="3"/>
        <v>-87</v>
      </c>
      <c r="M63" s="13">
        <f t="shared" si="4"/>
        <v>-1096.9699999999993</v>
      </c>
      <c r="N63" s="7">
        <f t="shared" si="5"/>
        <v>-0.64170181401253001</v>
      </c>
    </row>
    <row r="64" spans="1:14" x14ac:dyDescent="0.25">
      <c r="A64" s="67" t="s">
        <v>401</v>
      </c>
      <c r="B64" s="68" t="s">
        <v>400</v>
      </c>
      <c r="C64" s="3">
        <v>172</v>
      </c>
      <c r="D64" s="13">
        <v>3825.5900000000038</v>
      </c>
      <c r="E64" s="4">
        <v>0</v>
      </c>
      <c r="F64" s="13">
        <v>0</v>
      </c>
      <c r="G64" s="6">
        <f t="shared" si="0"/>
        <v>0</v>
      </c>
      <c r="H64" s="4">
        <f t="shared" si="1"/>
        <v>172</v>
      </c>
      <c r="I64" s="11">
        <f t="shared" si="2"/>
        <v>3825.5900000000038</v>
      </c>
      <c r="J64" s="4">
        <v>806</v>
      </c>
      <c r="K64" s="13">
        <v>13370.160000000002</v>
      </c>
      <c r="L64" s="4">
        <f t="shared" si="3"/>
        <v>-634</v>
      </c>
      <c r="M64" s="13">
        <f t="shared" si="4"/>
        <v>-9544.5699999999979</v>
      </c>
      <c r="N64" s="7">
        <f t="shared" si="5"/>
        <v>-0.71387103819251208</v>
      </c>
    </row>
    <row r="65" spans="1:14" x14ac:dyDescent="0.25">
      <c r="A65" s="67" t="s">
        <v>371</v>
      </c>
      <c r="B65" s="68" t="s">
        <v>370</v>
      </c>
      <c r="C65" s="3">
        <v>28</v>
      </c>
      <c r="D65" s="13">
        <v>916.95</v>
      </c>
      <c r="E65" s="4">
        <v>0</v>
      </c>
      <c r="F65" s="13">
        <v>0</v>
      </c>
      <c r="G65" s="6">
        <f t="shared" si="0"/>
        <v>0</v>
      </c>
      <c r="H65" s="4">
        <f t="shared" si="1"/>
        <v>28</v>
      </c>
      <c r="I65" s="11">
        <f t="shared" si="2"/>
        <v>916.95</v>
      </c>
      <c r="J65" s="4">
        <v>81</v>
      </c>
      <c r="K65" s="13">
        <v>2663.0400000000004</v>
      </c>
      <c r="L65" s="4">
        <f t="shared" si="3"/>
        <v>-53</v>
      </c>
      <c r="M65" s="13">
        <f t="shared" si="4"/>
        <v>-1746.0900000000004</v>
      </c>
      <c r="N65" s="7">
        <f t="shared" si="5"/>
        <v>-0.65567546863734683</v>
      </c>
    </row>
    <row r="66" spans="1:14" x14ac:dyDescent="0.25">
      <c r="A66" s="67" t="s">
        <v>57</v>
      </c>
      <c r="B66" s="68" t="s">
        <v>56</v>
      </c>
      <c r="C66" s="3">
        <v>6</v>
      </c>
      <c r="D66" s="13">
        <v>197.85000000000002</v>
      </c>
      <c r="E66" s="4">
        <v>3</v>
      </c>
      <c r="F66" s="13">
        <v>179.70000000000027</v>
      </c>
      <c r="G66" s="6">
        <f t="shared" si="0"/>
        <v>0.47596344854986128</v>
      </c>
      <c r="H66" s="4">
        <f t="shared" si="1"/>
        <v>9</v>
      </c>
      <c r="I66" s="11">
        <f t="shared" si="2"/>
        <v>377.5500000000003</v>
      </c>
      <c r="J66" s="4">
        <v>164</v>
      </c>
      <c r="K66" s="13">
        <v>6841.07</v>
      </c>
      <c r="L66" s="4">
        <f t="shared" si="3"/>
        <v>-155</v>
      </c>
      <c r="M66" s="13">
        <f t="shared" si="4"/>
        <v>-6463.5199999999995</v>
      </c>
      <c r="N66" s="7">
        <f t="shared" si="5"/>
        <v>-0.94481126490446665</v>
      </c>
    </row>
    <row r="67" spans="1:14" x14ac:dyDescent="0.25">
      <c r="A67" s="67" t="s">
        <v>295</v>
      </c>
      <c r="B67" s="68" t="s">
        <v>294</v>
      </c>
      <c r="C67" s="3">
        <v>60</v>
      </c>
      <c r="D67" s="13">
        <v>511.69000000000017</v>
      </c>
      <c r="E67" s="4">
        <v>0</v>
      </c>
      <c r="F67" s="13">
        <v>0</v>
      </c>
      <c r="G67" s="6">
        <f t="shared" ref="G67:G130" si="6">F67/I67</f>
        <v>0</v>
      </c>
      <c r="H67" s="4">
        <f t="shared" ref="H67:H130" si="7">C67+E67</f>
        <v>60</v>
      </c>
      <c r="I67" s="11">
        <f t="shared" ref="I67:I130" si="8">D67+F67</f>
        <v>511.69000000000017</v>
      </c>
      <c r="J67" s="4">
        <v>320</v>
      </c>
      <c r="K67" s="13">
        <v>2372.4699999999998</v>
      </c>
      <c r="L67" s="4">
        <f t="shared" ref="L67:L130" si="9">H67-J67</f>
        <v>-260</v>
      </c>
      <c r="M67" s="13">
        <f t="shared" ref="M67:M130" si="10">I67-K67</f>
        <v>-1860.7799999999997</v>
      </c>
      <c r="N67" s="7">
        <f t="shared" ref="N67:N129" si="11">M67/ABS(K67)</f>
        <v>-0.7843218249335081</v>
      </c>
    </row>
    <row r="68" spans="1:14" x14ac:dyDescent="0.25">
      <c r="A68" s="67" t="s">
        <v>526</v>
      </c>
      <c r="B68" s="68" t="s">
        <v>525</v>
      </c>
      <c r="C68" s="3">
        <v>29</v>
      </c>
      <c r="D68" s="13">
        <v>644.85</v>
      </c>
      <c r="E68" s="4">
        <v>0</v>
      </c>
      <c r="F68" s="13">
        <v>0</v>
      </c>
      <c r="G68" s="6">
        <f t="shared" si="6"/>
        <v>0</v>
      </c>
      <c r="H68" s="4">
        <f t="shared" si="7"/>
        <v>29</v>
      </c>
      <c r="I68" s="11">
        <f t="shared" si="8"/>
        <v>644.85</v>
      </c>
      <c r="J68" s="4">
        <v>179</v>
      </c>
      <c r="K68" s="13">
        <v>3753.4700000000003</v>
      </c>
      <c r="L68" s="4">
        <f t="shared" si="9"/>
        <v>-150</v>
      </c>
      <c r="M68" s="13">
        <f t="shared" si="10"/>
        <v>-3108.6200000000003</v>
      </c>
      <c r="N68" s="7">
        <f t="shared" si="11"/>
        <v>-0.82819897321678349</v>
      </c>
    </row>
    <row r="69" spans="1:14" x14ac:dyDescent="0.25">
      <c r="A69" s="67" t="s">
        <v>229</v>
      </c>
      <c r="B69" s="68" t="s">
        <v>228</v>
      </c>
      <c r="C69" s="3">
        <v>1</v>
      </c>
      <c r="D69" s="13">
        <v>31.37</v>
      </c>
      <c r="E69" s="4">
        <v>2</v>
      </c>
      <c r="F69" s="13">
        <v>99.800000000000182</v>
      </c>
      <c r="G69" s="6">
        <f t="shared" si="6"/>
        <v>0.76084470534421011</v>
      </c>
      <c r="H69" s="4">
        <f t="shared" si="7"/>
        <v>3</v>
      </c>
      <c r="I69" s="11">
        <f t="shared" si="8"/>
        <v>131.17000000000019</v>
      </c>
      <c r="J69" s="4">
        <v>179</v>
      </c>
      <c r="K69" s="13">
        <v>4873.7</v>
      </c>
      <c r="L69" s="4">
        <f t="shared" si="9"/>
        <v>-176</v>
      </c>
      <c r="M69" s="13">
        <f t="shared" si="10"/>
        <v>-4742.53</v>
      </c>
      <c r="N69" s="7">
        <f t="shared" si="11"/>
        <v>-0.97308615630834883</v>
      </c>
    </row>
    <row r="70" spans="1:14" x14ac:dyDescent="0.25">
      <c r="A70" s="67" t="s">
        <v>365</v>
      </c>
      <c r="B70" s="68" t="s">
        <v>364</v>
      </c>
      <c r="C70" s="3">
        <v>110</v>
      </c>
      <c r="D70" s="13">
        <v>4074.5600000000004</v>
      </c>
      <c r="E70" s="4">
        <v>0</v>
      </c>
      <c r="F70" s="13">
        <v>0</v>
      </c>
      <c r="G70" s="6">
        <f t="shared" si="6"/>
        <v>0</v>
      </c>
      <c r="H70" s="4">
        <f t="shared" si="7"/>
        <v>110</v>
      </c>
      <c r="I70" s="11">
        <f t="shared" si="8"/>
        <v>4074.5600000000004</v>
      </c>
      <c r="J70" s="4">
        <v>136</v>
      </c>
      <c r="K70" s="13">
        <v>5373.67</v>
      </c>
      <c r="L70" s="4">
        <f t="shared" si="9"/>
        <v>-26</v>
      </c>
      <c r="M70" s="13">
        <f t="shared" si="10"/>
        <v>-1299.1099999999997</v>
      </c>
      <c r="N70" s="7">
        <f t="shared" si="11"/>
        <v>-0.2417547039546529</v>
      </c>
    </row>
    <row r="71" spans="1:14" x14ac:dyDescent="0.25">
      <c r="A71" s="67" t="s">
        <v>494</v>
      </c>
      <c r="B71" s="68" t="s">
        <v>493</v>
      </c>
      <c r="C71" s="3">
        <v>95</v>
      </c>
      <c r="D71" s="13">
        <v>2846.3599999999992</v>
      </c>
      <c r="E71" s="4">
        <v>7</v>
      </c>
      <c r="F71" s="13">
        <v>349.29999999999984</v>
      </c>
      <c r="G71" s="6">
        <f t="shared" si="6"/>
        <v>0.10930449422028625</v>
      </c>
      <c r="H71" s="4">
        <f t="shared" si="7"/>
        <v>102</v>
      </c>
      <c r="I71" s="11">
        <f t="shared" si="8"/>
        <v>3195.6599999999989</v>
      </c>
      <c r="J71" s="4">
        <v>183</v>
      </c>
      <c r="K71" s="13">
        <v>5654.49</v>
      </c>
      <c r="L71" s="4">
        <f t="shared" si="9"/>
        <v>-81</v>
      </c>
      <c r="M71" s="13">
        <f t="shared" si="10"/>
        <v>-2458.8300000000008</v>
      </c>
      <c r="N71" s="7">
        <f t="shared" si="11"/>
        <v>-0.43484558289076486</v>
      </c>
    </row>
    <row r="72" spans="1:14" x14ac:dyDescent="0.25">
      <c r="A72" s="67" t="s">
        <v>696</v>
      </c>
      <c r="B72" s="68" t="s">
        <v>697</v>
      </c>
      <c r="C72" s="3">
        <v>0</v>
      </c>
      <c r="D72" s="13">
        <v>0</v>
      </c>
      <c r="E72" s="4">
        <v>0</v>
      </c>
      <c r="F72" s="13">
        <v>0</v>
      </c>
      <c r="G72" s="6"/>
      <c r="H72" s="4">
        <f t="shared" si="7"/>
        <v>0</v>
      </c>
      <c r="I72" s="11">
        <f t="shared" si="8"/>
        <v>0</v>
      </c>
      <c r="J72" s="4">
        <v>23</v>
      </c>
      <c r="K72" s="13">
        <v>386.73999999999978</v>
      </c>
      <c r="L72" s="4">
        <f t="shared" si="9"/>
        <v>-23</v>
      </c>
      <c r="M72" s="13">
        <f t="shared" si="10"/>
        <v>-386.73999999999978</v>
      </c>
      <c r="N72" s="7">
        <f t="shared" si="11"/>
        <v>-1</v>
      </c>
    </row>
    <row r="73" spans="1:14" x14ac:dyDescent="0.25">
      <c r="A73" s="67" t="s">
        <v>317</v>
      </c>
      <c r="B73" s="68" t="s">
        <v>316</v>
      </c>
      <c r="C73" s="3">
        <v>12</v>
      </c>
      <c r="D73" s="13">
        <v>501.78</v>
      </c>
      <c r="E73" s="4">
        <v>0</v>
      </c>
      <c r="F73" s="13">
        <v>0</v>
      </c>
      <c r="G73" s="6">
        <f t="shared" si="6"/>
        <v>0</v>
      </c>
      <c r="H73" s="4">
        <f t="shared" si="7"/>
        <v>12</v>
      </c>
      <c r="I73" s="11">
        <f t="shared" si="8"/>
        <v>501.78</v>
      </c>
      <c r="J73" s="4">
        <v>108</v>
      </c>
      <c r="K73" s="13">
        <v>3045.68</v>
      </c>
      <c r="L73" s="4">
        <f t="shared" si="9"/>
        <v>-96</v>
      </c>
      <c r="M73" s="13">
        <f t="shared" si="10"/>
        <v>-2543.8999999999996</v>
      </c>
      <c r="N73" s="7">
        <f t="shared" si="11"/>
        <v>-0.83524861443093157</v>
      </c>
    </row>
    <row r="74" spans="1:14" x14ac:dyDescent="0.25">
      <c r="A74" s="67" t="s">
        <v>375</v>
      </c>
      <c r="B74" s="68" t="s">
        <v>374</v>
      </c>
      <c r="C74" s="3">
        <v>12</v>
      </c>
      <c r="D74" s="13">
        <v>251.5</v>
      </c>
      <c r="E74" s="4">
        <v>0</v>
      </c>
      <c r="F74" s="13">
        <v>0</v>
      </c>
      <c r="G74" s="6">
        <f t="shared" si="6"/>
        <v>0</v>
      </c>
      <c r="H74" s="4">
        <f t="shared" si="7"/>
        <v>12</v>
      </c>
      <c r="I74" s="11">
        <f t="shared" si="8"/>
        <v>251.5</v>
      </c>
      <c r="J74" s="4">
        <v>9</v>
      </c>
      <c r="K74" s="13">
        <v>201.51999999999953</v>
      </c>
      <c r="L74" s="4">
        <f t="shared" si="9"/>
        <v>3</v>
      </c>
      <c r="M74" s="13">
        <f t="shared" si="10"/>
        <v>49.980000000000473</v>
      </c>
      <c r="N74" s="7">
        <f t="shared" si="11"/>
        <v>0.24801508535133282</v>
      </c>
    </row>
    <row r="75" spans="1:14" x14ac:dyDescent="0.25">
      <c r="A75" s="67" t="s">
        <v>480</v>
      </c>
      <c r="B75" s="68" t="s">
        <v>478</v>
      </c>
      <c r="C75" s="3">
        <v>1</v>
      </c>
      <c r="D75" s="13">
        <v>12.519999999999996</v>
      </c>
      <c r="E75" s="4">
        <v>10</v>
      </c>
      <c r="F75" s="13">
        <v>199.00000000000091</v>
      </c>
      <c r="G75" s="6">
        <f t="shared" si="6"/>
        <v>0.94080937972768564</v>
      </c>
      <c r="H75" s="4">
        <f t="shared" si="7"/>
        <v>11</v>
      </c>
      <c r="I75" s="11">
        <f t="shared" si="8"/>
        <v>211.52000000000089</v>
      </c>
      <c r="J75" s="4">
        <v>588</v>
      </c>
      <c r="K75" s="13">
        <v>6013.670000000001</v>
      </c>
      <c r="L75" s="4">
        <f t="shared" si="9"/>
        <v>-577</v>
      </c>
      <c r="M75" s="13">
        <f t="shared" si="10"/>
        <v>-5802.15</v>
      </c>
      <c r="N75" s="7">
        <f t="shared" si="11"/>
        <v>-0.96482680293398182</v>
      </c>
    </row>
    <row r="76" spans="1:14" x14ac:dyDescent="0.25">
      <c r="A76" s="67" t="s">
        <v>357</v>
      </c>
      <c r="B76" s="68" t="s">
        <v>356</v>
      </c>
      <c r="C76" s="3">
        <v>15</v>
      </c>
      <c r="D76" s="13">
        <v>1284.8200000000002</v>
      </c>
      <c r="E76" s="4">
        <v>0</v>
      </c>
      <c r="F76" s="13">
        <v>0</v>
      </c>
      <c r="G76" s="6">
        <f t="shared" si="6"/>
        <v>0</v>
      </c>
      <c r="H76" s="4">
        <f t="shared" si="7"/>
        <v>15</v>
      </c>
      <c r="I76" s="11">
        <f t="shared" si="8"/>
        <v>1284.8200000000002</v>
      </c>
      <c r="J76" s="4">
        <v>17</v>
      </c>
      <c r="K76" s="13">
        <v>1442.0500000000002</v>
      </c>
      <c r="L76" s="4">
        <f t="shared" si="9"/>
        <v>-2</v>
      </c>
      <c r="M76" s="13">
        <f t="shared" si="10"/>
        <v>-157.23000000000002</v>
      </c>
      <c r="N76" s="7">
        <f t="shared" si="11"/>
        <v>-0.10903228043410422</v>
      </c>
    </row>
    <row r="77" spans="1:14" x14ac:dyDescent="0.25">
      <c r="A77" s="67" t="s">
        <v>151</v>
      </c>
      <c r="B77" s="68" t="s">
        <v>150</v>
      </c>
      <c r="C77" s="3">
        <v>146</v>
      </c>
      <c r="D77" s="13">
        <v>970.4000000000002</v>
      </c>
      <c r="E77" s="4">
        <v>0</v>
      </c>
      <c r="F77" s="13">
        <v>0</v>
      </c>
      <c r="G77" s="6">
        <f t="shared" si="6"/>
        <v>0</v>
      </c>
      <c r="H77" s="4">
        <f t="shared" si="7"/>
        <v>146</v>
      </c>
      <c r="I77" s="11">
        <f t="shared" si="8"/>
        <v>970.4000000000002</v>
      </c>
      <c r="J77" s="4">
        <v>326</v>
      </c>
      <c r="K77" s="13">
        <v>1513.1399999999999</v>
      </c>
      <c r="L77" s="4">
        <f t="shared" si="9"/>
        <v>-180</v>
      </c>
      <c r="M77" s="13">
        <f t="shared" si="10"/>
        <v>-542.73999999999967</v>
      </c>
      <c r="N77" s="7">
        <f t="shared" si="11"/>
        <v>-0.35868458966123407</v>
      </c>
    </row>
    <row r="78" spans="1:14" x14ac:dyDescent="0.25">
      <c r="A78" s="67" t="s">
        <v>123</v>
      </c>
      <c r="B78" s="68" t="s">
        <v>122</v>
      </c>
      <c r="C78" s="3">
        <v>26</v>
      </c>
      <c r="D78" s="13">
        <v>794.07000000000016</v>
      </c>
      <c r="E78" s="4">
        <v>10</v>
      </c>
      <c r="F78" s="13">
        <v>491.08999999999992</v>
      </c>
      <c r="G78" s="6">
        <f t="shared" si="6"/>
        <v>0.38212362663014715</v>
      </c>
      <c r="H78" s="4">
        <f t="shared" si="7"/>
        <v>36</v>
      </c>
      <c r="I78" s="11">
        <f t="shared" si="8"/>
        <v>1285.1600000000001</v>
      </c>
      <c r="J78" s="4">
        <v>57</v>
      </c>
      <c r="K78" s="13">
        <v>1428.8700000000008</v>
      </c>
      <c r="L78" s="4">
        <f t="shared" si="9"/>
        <v>-21</v>
      </c>
      <c r="M78" s="13">
        <f t="shared" si="10"/>
        <v>-143.71000000000072</v>
      </c>
      <c r="N78" s="7">
        <f t="shared" si="11"/>
        <v>-0.10057597962025981</v>
      </c>
    </row>
    <row r="79" spans="1:14" x14ac:dyDescent="0.25">
      <c r="A79" s="67" t="s">
        <v>135</v>
      </c>
      <c r="B79" s="68" t="s">
        <v>134</v>
      </c>
      <c r="C79" s="3">
        <v>7</v>
      </c>
      <c r="D79" s="13">
        <v>171.70000000000005</v>
      </c>
      <c r="E79" s="4">
        <v>0</v>
      </c>
      <c r="F79" s="13">
        <v>0</v>
      </c>
      <c r="G79" s="6">
        <f t="shared" si="6"/>
        <v>0</v>
      </c>
      <c r="H79" s="4">
        <f t="shared" si="7"/>
        <v>7</v>
      </c>
      <c r="I79" s="11">
        <f t="shared" si="8"/>
        <v>171.70000000000005</v>
      </c>
      <c r="J79" s="4">
        <v>17</v>
      </c>
      <c r="K79" s="13">
        <v>423.63999999999987</v>
      </c>
      <c r="L79" s="4">
        <f t="shared" si="9"/>
        <v>-10</v>
      </c>
      <c r="M79" s="13">
        <f t="shared" si="10"/>
        <v>-251.93999999999983</v>
      </c>
      <c r="N79" s="7">
        <f t="shared" si="11"/>
        <v>-0.59470304975922927</v>
      </c>
    </row>
    <row r="80" spans="1:14" x14ac:dyDescent="0.25">
      <c r="A80" s="67" t="s">
        <v>149</v>
      </c>
      <c r="B80" s="68" t="s">
        <v>148</v>
      </c>
      <c r="C80" s="3">
        <v>0</v>
      </c>
      <c r="D80" s="13">
        <v>0</v>
      </c>
      <c r="E80" s="4">
        <v>0</v>
      </c>
      <c r="F80" s="13">
        <v>0</v>
      </c>
      <c r="G80" s="6" t="e">
        <f t="shared" si="6"/>
        <v>#DIV/0!</v>
      </c>
      <c r="H80" s="4">
        <f t="shared" si="7"/>
        <v>0</v>
      </c>
      <c r="I80" s="11">
        <f t="shared" si="8"/>
        <v>0</v>
      </c>
      <c r="J80" s="4">
        <v>134</v>
      </c>
      <c r="K80" s="13">
        <v>687.72999999999979</v>
      </c>
      <c r="L80" s="4">
        <f t="shared" si="9"/>
        <v>-134</v>
      </c>
      <c r="M80" s="13">
        <f t="shared" si="10"/>
        <v>-687.72999999999979</v>
      </c>
      <c r="N80" s="7">
        <f t="shared" si="11"/>
        <v>-1</v>
      </c>
    </row>
    <row r="81" spans="1:14" x14ac:dyDescent="0.25">
      <c r="A81" s="67" t="s">
        <v>161</v>
      </c>
      <c r="B81" s="68" t="s">
        <v>160</v>
      </c>
      <c r="C81" s="3">
        <v>56</v>
      </c>
      <c r="D81" s="13">
        <v>367.76999999999987</v>
      </c>
      <c r="E81" s="4">
        <v>0</v>
      </c>
      <c r="F81" s="13">
        <v>0</v>
      </c>
      <c r="G81" s="6">
        <f t="shared" si="6"/>
        <v>0</v>
      </c>
      <c r="H81" s="4">
        <f t="shared" si="7"/>
        <v>56</v>
      </c>
      <c r="I81" s="11">
        <f t="shared" si="8"/>
        <v>367.76999999999987</v>
      </c>
      <c r="J81" s="4">
        <v>8</v>
      </c>
      <c r="K81" s="13">
        <v>58.760000000000218</v>
      </c>
      <c r="L81" s="4">
        <f t="shared" si="9"/>
        <v>48</v>
      </c>
      <c r="M81" s="13">
        <f t="shared" si="10"/>
        <v>309.00999999999965</v>
      </c>
      <c r="N81" s="7">
        <f t="shared" si="11"/>
        <v>5.2588495575220984</v>
      </c>
    </row>
    <row r="82" spans="1:14" x14ac:dyDescent="0.25">
      <c r="A82" s="67" t="s">
        <v>245</v>
      </c>
      <c r="B82" s="68" t="s">
        <v>244</v>
      </c>
      <c r="C82" s="3">
        <v>4</v>
      </c>
      <c r="D82" s="13">
        <v>89.52000000000001</v>
      </c>
      <c r="E82" s="4">
        <v>0</v>
      </c>
      <c r="F82" s="13">
        <v>0</v>
      </c>
      <c r="G82" s="6">
        <f t="shared" si="6"/>
        <v>0</v>
      </c>
      <c r="H82" s="4">
        <f t="shared" si="7"/>
        <v>4</v>
      </c>
      <c r="I82" s="11">
        <f t="shared" si="8"/>
        <v>89.52000000000001</v>
      </c>
      <c r="J82" s="4">
        <v>75</v>
      </c>
      <c r="K82" s="13">
        <v>2164.66</v>
      </c>
      <c r="L82" s="4">
        <f t="shared" si="9"/>
        <v>-71</v>
      </c>
      <c r="M82" s="13">
        <f t="shared" si="10"/>
        <v>-2075.14</v>
      </c>
      <c r="N82" s="7">
        <f t="shared" si="11"/>
        <v>-0.95864477562296158</v>
      </c>
    </row>
    <row r="83" spans="1:14" x14ac:dyDescent="0.25">
      <c r="A83" s="67" t="s">
        <v>407</v>
      </c>
      <c r="B83" s="68" t="s">
        <v>406</v>
      </c>
      <c r="C83" s="3">
        <v>273</v>
      </c>
      <c r="D83" s="13">
        <v>1404.6100000000006</v>
      </c>
      <c r="E83" s="4">
        <v>0</v>
      </c>
      <c r="F83" s="13">
        <v>0</v>
      </c>
      <c r="G83" s="6">
        <f t="shared" si="6"/>
        <v>0</v>
      </c>
      <c r="H83" s="4">
        <f t="shared" si="7"/>
        <v>273</v>
      </c>
      <c r="I83" s="11">
        <f t="shared" si="8"/>
        <v>1404.6100000000006</v>
      </c>
      <c r="J83" s="4">
        <v>568</v>
      </c>
      <c r="K83" s="13">
        <v>2635.2700000000004</v>
      </c>
      <c r="L83" s="4">
        <f t="shared" si="9"/>
        <v>-295</v>
      </c>
      <c r="M83" s="13">
        <f t="shared" si="10"/>
        <v>-1230.6599999999999</v>
      </c>
      <c r="N83" s="7">
        <f t="shared" si="11"/>
        <v>-0.46699579170255784</v>
      </c>
    </row>
    <row r="84" spans="1:14" x14ac:dyDescent="0.25">
      <c r="A84" s="67" t="s">
        <v>183</v>
      </c>
      <c r="B84" s="68" t="s">
        <v>182</v>
      </c>
      <c r="C84" s="3">
        <v>0</v>
      </c>
      <c r="D84" s="13">
        <v>0</v>
      </c>
      <c r="E84" s="4">
        <v>0</v>
      </c>
      <c r="F84" s="13">
        <v>0</v>
      </c>
      <c r="G84" s="6"/>
      <c r="H84" s="4">
        <f t="shared" si="7"/>
        <v>0</v>
      </c>
      <c r="I84" s="11">
        <f t="shared" si="8"/>
        <v>0</v>
      </c>
      <c r="J84" s="4">
        <v>77</v>
      </c>
      <c r="K84" s="13">
        <v>1942.0900000000001</v>
      </c>
      <c r="L84" s="4">
        <f t="shared" si="9"/>
        <v>-77</v>
      </c>
      <c r="M84" s="13">
        <f t="shared" si="10"/>
        <v>-1942.0900000000001</v>
      </c>
      <c r="N84" s="7">
        <f t="shared" si="11"/>
        <v>-1</v>
      </c>
    </row>
    <row r="85" spans="1:14" x14ac:dyDescent="0.25">
      <c r="A85" s="67" t="s">
        <v>167</v>
      </c>
      <c r="B85" s="68" t="s">
        <v>166</v>
      </c>
      <c r="C85" s="3">
        <v>4</v>
      </c>
      <c r="D85" s="13">
        <v>33.279999999999973</v>
      </c>
      <c r="E85" s="4">
        <v>0</v>
      </c>
      <c r="F85" s="13">
        <v>0</v>
      </c>
      <c r="G85" s="6">
        <f t="shared" si="6"/>
        <v>0</v>
      </c>
      <c r="H85" s="4">
        <f t="shared" si="7"/>
        <v>4</v>
      </c>
      <c r="I85" s="11">
        <f t="shared" si="8"/>
        <v>33.279999999999973</v>
      </c>
      <c r="J85" s="4">
        <v>4</v>
      </c>
      <c r="K85" s="13">
        <v>28.480000000000473</v>
      </c>
      <c r="L85" s="4">
        <f t="shared" si="9"/>
        <v>0</v>
      </c>
      <c r="M85" s="13">
        <f t="shared" si="10"/>
        <v>4.7999999999994998</v>
      </c>
      <c r="N85" s="7">
        <f t="shared" si="11"/>
        <v>0.16853932584267628</v>
      </c>
    </row>
    <row r="86" spans="1:14" x14ac:dyDescent="0.25">
      <c r="A86" s="67" t="s">
        <v>532</v>
      </c>
      <c r="B86" s="68" t="s">
        <v>531</v>
      </c>
      <c r="C86" s="3">
        <v>30</v>
      </c>
      <c r="D86" s="13">
        <v>149.22000000000003</v>
      </c>
      <c r="E86" s="4">
        <v>0</v>
      </c>
      <c r="F86" s="13">
        <v>0</v>
      </c>
      <c r="G86" s="6">
        <f t="shared" si="6"/>
        <v>0</v>
      </c>
      <c r="H86" s="4">
        <f t="shared" si="7"/>
        <v>30</v>
      </c>
      <c r="I86" s="11">
        <f t="shared" si="8"/>
        <v>149.22000000000003</v>
      </c>
      <c r="J86" s="4">
        <v>108</v>
      </c>
      <c r="K86" s="13">
        <v>585.69999999999982</v>
      </c>
      <c r="L86" s="4">
        <f t="shared" si="9"/>
        <v>-78</v>
      </c>
      <c r="M86" s="13">
        <f t="shared" si="10"/>
        <v>-436.47999999999979</v>
      </c>
      <c r="N86" s="7">
        <f t="shared" si="11"/>
        <v>-0.74522793238859475</v>
      </c>
    </row>
    <row r="87" spans="1:14" x14ac:dyDescent="0.25">
      <c r="A87" s="67" t="s">
        <v>347</v>
      </c>
      <c r="B87" s="68" t="s">
        <v>346</v>
      </c>
      <c r="C87" s="3">
        <v>52</v>
      </c>
      <c r="D87" s="13">
        <v>1165.0900000000001</v>
      </c>
      <c r="E87" s="4">
        <v>0</v>
      </c>
      <c r="F87" s="13">
        <v>0</v>
      </c>
      <c r="G87" s="6">
        <f t="shared" si="6"/>
        <v>0</v>
      </c>
      <c r="H87" s="4">
        <f t="shared" si="7"/>
        <v>52</v>
      </c>
      <c r="I87" s="11">
        <f t="shared" si="8"/>
        <v>1165.0900000000001</v>
      </c>
      <c r="J87" s="4">
        <v>2</v>
      </c>
      <c r="K87" s="13">
        <v>49.630000000000109</v>
      </c>
      <c r="L87" s="4">
        <f t="shared" si="9"/>
        <v>50</v>
      </c>
      <c r="M87" s="13">
        <f t="shared" si="10"/>
        <v>1115.46</v>
      </c>
      <c r="N87" s="7">
        <f t="shared" si="11"/>
        <v>22.475518839411599</v>
      </c>
    </row>
    <row r="88" spans="1:14" x14ac:dyDescent="0.25">
      <c r="A88" s="67" t="s">
        <v>726</v>
      </c>
      <c r="B88" s="68" t="s">
        <v>727</v>
      </c>
      <c r="C88" s="3">
        <v>0</v>
      </c>
      <c r="D88" s="13">
        <v>0</v>
      </c>
      <c r="E88" s="4">
        <v>0</v>
      </c>
      <c r="F88" s="13">
        <v>0</v>
      </c>
      <c r="G88" s="6" t="e">
        <f t="shared" si="6"/>
        <v>#DIV/0!</v>
      </c>
      <c r="H88" s="4">
        <f t="shared" si="7"/>
        <v>0</v>
      </c>
      <c r="I88" s="11">
        <f t="shared" si="8"/>
        <v>0</v>
      </c>
      <c r="J88" s="4">
        <v>0</v>
      </c>
      <c r="K88" s="13">
        <v>-6.5099999999999909</v>
      </c>
      <c r="L88" s="4">
        <f t="shared" si="9"/>
        <v>0</v>
      </c>
      <c r="M88" s="13">
        <f t="shared" si="10"/>
        <v>6.5099999999999909</v>
      </c>
      <c r="N88" s="7">
        <f t="shared" si="11"/>
        <v>1</v>
      </c>
    </row>
    <row r="89" spans="1:14" x14ac:dyDescent="0.25">
      <c r="A89" s="67" t="s">
        <v>285</v>
      </c>
      <c r="B89" s="68" t="s">
        <v>284</v>
      </c>
      <c r="C89" s="3">
        <v>95</v>
      </c>
      <c r="D89" s="13">
        <v>1328.62</v>
      </c>
      <c r="E89" s="4">
        <v>0</v>
      </c>
      <c r="F89" s="13">
        <v>0</v>
      </c>
      <c r="G89" s="6">
        <f t="shared" si="6"/>
        <v>0</v>
      </c>
      <c r="H89" s="4">
        <f t="shared" si="7"/>
        <v>95</v>
      </c>
      <c r="I89" s="11">
        <f t="shared" si="8"/>
        <v>1328.62</v>
      </c>
      <c r="J89" s="4">
        <v>140</v>
      </c>
      <c r="K89" s="13">
        <v>2123.4499999999998</v>
      </c>
      <c r="L89" s="4">
        <f t="shared" si="9"/>
        <v>-45</v>
      </c>
      <c r="M89" s="13">
        <f t="shared" si="10"/>
        <v>-794.82999999999993</v>
      </c>
      <c r="N89" s="7">
        <f t="shared" si="11"/>
        <v>-0.37431067366785187</v>
      </c>
    </row>
    <row r="90" spans="1:14" x14ac:dyDescent="0.25">
      <c r="A90" s="67" t="s">
        <v>333</v>
      </c>
      <c r="B90" s="68" t="s">
        <v>332</v>
      </c>
      <c r="C90" s="3">
        <v>29</v>
      </c>
      <c r="D90" s="13">
        <v>3125.2599999999993</v>
      </c>
      <c r="E90" s="4">
        <v>0</v>
      </c>
      <c r="F90" s="13">
        <v>0</v>
      </c>
      <c r="G90" s="6">
        <f t="shared" si="6"/>
        <v>0</v>
      </c>
      <c r="H90" s="4">
        <f t="shared" si="7"/>
        <v>29</v>
      </c>
      <c r="I90" s="11">
        <f t="shared" si="8"/>
        <v>3125.2599999999993</v>
      </c>
      <c r="J90" s="4">
        <v>36</v>
      </c>
      <c r="K90" s="13">
        <v>3451.0699999999997</v>
      </c>
      <c r="L90" s="4">
        <f t="shared" si="9"/>
        <v>-7</v>
      </c>
      <c r="M90" s="13">
        <f t="shared" si="10"/>
        <v>-325.8100000000004</v>
      </c>
      <c r="N90" s="7">
        <f t="shared" si="11"/>
        <v>-9.4408400872772913E-2</v>
      </c>
    </row>
    <row r="91" spans="1:14" x14ac:dyDescent="0.25">
      <c r="A91" s="67" t="s">
        <v>189</v>
      </c>
      <c r="B91" s="68" t="s">
        <v>188</v>
      </c>
      <c r="C91" s="3">
        <v>10</v>
      </c>
      <c r="D91" s="13">
        <v>170.79000000000019</v>
      </c>
      <c r="E91" s="4">
        <v>0</v>
      </c>
      <c r="F91" s="13">
        <v>0</v>
      </c>
      <c r="G91" s="6">
        <f t="shared" si="6"/>
        <v>0</v>
      </c>
      <c r="H91" s="4">
        <f t="shared" si="7"/>
        <v>10</v>
      </c>
      <c r="I91" s="11">
        <f t="shared" si="8"/>
        <v>170.79000000000019</v>
      </c>
      <c r="J91" s="4">
        <v>6</v>
      </c>
      <c r="K91" s="13">
        <v>80.849999999999454</v>
      </c>
      <c r="L91" s="4">
        <f t="shared" si="9"/>
        <v>4</v>
      </c>
      <c r="M91" s="13">
        <f t="shared" si="10"/>
        <v>89.940000000000737</v>
      </c>
      <c r="N91" s="7">
        <f t="shared" si="11"/>
        <v>1.1124304267161575</v>
      </c>
    </row>
    <row r="92" spans="1:14" x14ac:dyDescent="0.25">
      <c r="A92" s="67" t="s">
        <v>323</v>
      </c>
      <c r="B92" s="68" t="s">
        <v>322</v>
      </c>
      <c r="C92" s="3">
        <v>20</v>
      </c>
      <c r="D92" s="13">
        <v>435.44000000000005</v>
      </c>
      <c r="E92" s="4">
        <v>0</v>
      </c>
      <c r="F92" s="13">
        <v>0</v>
      </c>
      <c r="G92" s="6">
        <f t="shared" si="6"/>
        <v>0</v>
      </c>
      <c r="H92" s="4">
        <f t="shared" si="7"/>
        <v>20</v>
      </c>
      <c r="I92" s="11">
        <f t="shared" si="8"/>
        <v>435.44000000000005</v>
      </c>
      <c r="J92" s="4">
        <v>51</v>
      </c>
      <c r="K92" s="13">
        <v>1667.52</v>
      </c>
      <c r="L92" s="4">
        <f t="shared" si="9"/>
        <v>-31</v>
      </c>
      <c r="M92" s="13">
        <f t="shared" si="10"/>
        <v>-1232.08</v>
      </c>
      <c r="N92" s="7">
        <f t="shared" si="11"/>
        <v>-0.73886969871425823</v>
      </c>
    </row>
    <row r="93" spans="1:14" x14ac:dyDescent="0.25">
      <c r="A93" s="67" t="s">
        <v>341</v>
      </c>
      <c r="B93" s="68" t="s">
        <v>340</v>
      </c>
      <c r="C93" s="3">
        <v>0</v>
      </c>
      <c r="D93" s="13">
        <v>0</v>
      </c>
      <c r="E93" s="4">
        <v>0</v>
      </c>
      <c r="F93" s="13">
        <v>0</v>
      </c>
      <c r="G93" s="6" t="e">
        <f t="shared" si="6"/>
        <v>#DIV/0!</v>
      </c>
      <c r="H93" s="4">
        <f t="shared" si="7"/>
        <v>0</v>
      </c>
      <c r="I93" s="11">
        <f t="shared" si="8"/>
        <v>0</v>
      </c>
      <c r="J93" s="4">
        <v>3</v>
      </c>
      <c r="K93" s="13">
        <v>70.269999999999527</v>
      </c>
      <c r="L93" s="4">
        <f t="shared" si="9"/>
        <v>-3</v>
      </c>
      <c r="M93" s="13">
        <f t="shared" si="10"/>
        <v>-70.269999999999527</v>
      </c>
      <c r="N93" s="7">
        <f t="shared" si="11"/>
        <v>-1</v>
      </c>
    </row>
    <row r="94" spans="1:14" x14ac:dyDescent="0.25">
      <c r="A94" s="67" t="s">
        <v>530</v>
      </c>
      <c r="B94" s="68" t="s">
        <v>529</v>
      </c>
      <c r="C94" s="3">
        <v>16</v>
      </c>
      <c r="D94" s="13">
        <v>736.81000000000006</v>
      </c>
      <c r="E94" s="4">
        <v>0</v>
      </c>
      <c r="F94" s="13">
        <v>0</v>
      </c>
      <c r="G94" s="6">
        <f t="shared" si="6"/>
        <v>0</v>
      </c>
      <c r="H94" s="4">
        <f t="shared" si="7"/>
        <v>16</v>
      </c>
      <c r="I94" s="11">
        <f t="shared" si="8"/>
        <v>736.81000000000006</v>
      </c>
      <c r="J94" s="4">
        <v>50</v>
      </c>
      <c r="K94" s="13">
        <v>2202.2799999999997</v>
      </c>
      <c r="L94" s="4">
        <f t="shared" si="9"/>
        <v>-34</v>
      </c>
      <c r="M94" s="13">
        <f t="shared" si="10"/>
        <v>-1465.4699999999998</v>
      </c>
      <c r="N94" s="7">
        <f t="shared" si="11"/>
        <v>-0.66543309660896888</v>
      </c>
    </row>
    <row r="95" spans="1:14" x14ac:dyDescent="0.25">
      <c r="A95" s="67" t="s">
        <v>99</v>
      </c>
      <c r="B95" s="68" t="s">
        <v>98</v>
      </c>
      <c r="C95" s="3">
        <v>3</v>
      </c>
      <c r="D95" s="13">
        <v>125.08999999999999</v>
      </c>
      <c r="E95" s="4">
        <v>0</v>
      </c>
      <c r="F95" s="13">
        <v>0</v>
      </c>
      <c r="G95" s="6">
        <f t="shared" si="6"/>
        <v>0</v>
      </c>
      <c r="H95" s="4">
        <f t="shared" si="7"/>
        <v>3</v>
      </c>
      <c r="I95" s="11">
        <f t="shared" si="8"/>
        <v>125.08999999999999</v>
      </c>
      <c r="J95" s="4">
        <v>38</v>
      </c>
      <c r="K95" s="13">
        <v>1551.74</v>
      </c>
      <c r="L95" s="4">
        <f t="shared" si="9"/>
        <v>-35</v>
      </c>
      <c r="M95" s="13">
        <f t="shared" si="10"/>
        <v>-1426.65</v>
      </c>
      <c r="N95" s="7">
        <f t="shared" si="11"/>
        <v>-0.91938726848569996</v>
      </c>
    </row>
    <row r="96" spans="1:14" x14ac:dyDescent="0.25">
      <c r="A96" s="67" t="s">
        <v>720</v>
      </c>
      <c r="B96" s="68" t="s">
        <v>721</v>
      </c>
      <c r="C96" s="3">
        <v>0</v>
      </c>
      <c r="D96" s="13">
        <v>0</v>
      </c>
      <c r="E96" s="4">
        <v>0</v>
      </c>
      <c r="F96" s="13">
        <v>0</v>
      </c>
      <c r="G96" s="6"/>
      <c r="H96" s="4">
        <f t="shared" si="7"/>
        <v>0</v>
      </c>
      <c r="I96" s="11">
        <f t="shared" si="8"/>
        <v>0</v>
      </c>
      <c r="J96" s="4">
        <v>0</v>
      </c>
      <c r="K96" s="13">
        <v>0</v>
      </c>
      <c r="L96" s="4">
        <f t="shared" si="9"/>
        <v>0</v>
      </c>
      <c r="M96" s="13">
        <f t="shared" si="10"/>
        <v>0</v>
      </c>
      <c r="N96" s="7"/>
    </row>
    <row r="97" spans="1:14" x14ac:dyDescent="0.25">
      <c r="A97" s="67" t="s">
        <v>377</v>
      </c>
      <c r="B97" s="68" t="s">
        <v>376</v>
      </c>
      <c r="C97" s="3">
        <v>64</v>
      </c>
      <c r="D97" s="13">
        <v>1185.8099999999995</v>
      </c>
      <c r="E97" s="4">
        <v>0</v>
      </c>
      <c r="F97" s="13">
        <v>0</v>
      </c>
      <c r="G97" s="6">
        <f t="shared" si="6"/>
        <v>0</v>
      </c>
      <c r="H97" s="4">
        <f t="shared" si="7"/>
        <v>64</v>
      </c>
      <c r="I97" s="11">
        <f t="shared" si="8"/>
        <v>1185.8099999999995</v>
      </c>
      <c r="J97" s="4">
        <v>120</v>
      </c>
      <c r="K97" s="13">
        <v>2004.8400000000001</v>
      </c>
      <c r="L97" s="4">
        <f t="shared" si="9"/>
        <v>-56</v>
      </c>
      <c r="M97" s="13">
        <f t="shared" si="10"/>
        <v>-819.03000000000065</v>
      </c>
      <c r="N97" s="7">
        <f t="shared" si="11"/>
        <v>-0.40852636619381127</v>
      </c>
    </row>
    <row r="98" spans="1:14" x14ac:dyDescent="0.25">
      <c r="A98" s="67" t="s">
        <v>626</v>
      </c>
      <c r="B98" s="68" t="s">
        <v>627</v>
      </c>
      <c r="C98" s="3">
        <v>0</v>
      </c>
      <c r="D98" s="13">
        <v>0</v>
      </c>
      <c r="E98" s="4">
        <v>0</v>
      </c>
      <c r="F98" s="13">
        <v>0</v>
      </c>
      <c r="G98" s="6"/>
      <c r="H98" s="4">
        <f t="shared" si="7"/>
        <v>0</v>
      </c>
      <c r="I98" s="11">
        <f t="shared" si="8"/>
        <v>0</v>
      </c>
      <c r="J98" s="4">
        <v>106</v>
      </c>
      <c r="K98" s="13">
        <v>881.37999999999988</v>
      </c>
      <c r="L98" s="4">
        <f t="shared" si="9"/>
        <v>-106</v>
      </c>
      <c r="M98" s="13">
        <f t="shared" si="10"/>
        <v>-881.37999999999988</v>
      </c>
      <c r="N98" s="7">
        <f t="shared" si="11"/>
        <v>-1</v>
      </c>
    </row>
    <row r="99" spans="1:14" x14ac:dyDescent="0.25">
      <c r="A99" s="67" t="s">
        <v>299</v>
      </c>
      <c r="B99" s="68" t="s">
        <v>298</v>
      </c>
      <c r="C99" s="3">
        <v>5</v>
      </c>
      <c r="D99" s="13">
        <v>82.250000000000014</v>
      </c>
      <c r="E99" s="4">
        <v>0</v>
      </c>
      <c r="F99" s="13">
        <v>0</v>
      </c>
      <c r="G99" s="6">
        <f t="shared" si="6"/>
        <v>0</v>
      </c>
      <c r="H99" s="4">
        <f t="shared" si="7"/>
        <v>5</v>
      </c>
      <c r="I99" s="11">
        <f t="shared" si="8"/>
        <v>82.250000000000014</v>
      </c>
      <c r="J99" s="4">
        <v>23</v>
      </c>
      <c r="K99" s="13">
        <v>320.03999999999996</v>
      </c>
      <c r="L99" s="4">
        <f t="shared" si="9"/>
        <v>-18</v>
      </c>
      <c r="M99" s="13">
        <f t="shared" si="10"/>
        <v>-237.78999999999996</v>
      </c>
      <c r="N99" s="7">
        <f t="shared" si="11"/>
        <v>-0.7430008748906386</v>
      </c>
    </row>
    <row r="100" spans="1:14" x14ac:dyDescent="0.25">
      <c r="A100" s="67" t="s">
        <v>636</v>
      </c>
      <c r="B100" s="68" t="s">
        <v>637</v>
      </c>
      <c r="C100" s="3">
        <v>0</v>
      </c>
      <c r="D100" s="13">
        <v>0</v>
      </c>
      <c r="E100" s="4">
        <v>0</v>
      </c>
      <c r="F100" s="13">
        <v>0</v>
      </c>
      <c r="G100" s="6"/>
      <c r="H100" s="4">
        <f t="shared" si="7"/>
        <v>0</v>
      </c>
      <c r="I100" s="11">
        <f t="shared" si="8"/>
        <v>0</v>
      </c>
      <c r="J100" s="4">
        <v>-11</v>
      </c>
      <c r="K100" s="13">
        <v>-1068.8200000000002</v>
      </c>
      <c r="L100" s="4">
        <f t="shared" si="9"/>
        <v>11</v>
      </c>
      <c r="M100" s="13">
        <f t="shared" si="10"/>
        <v>1068.8200000000002</v>
      </c>
      <c r="N100" s="7">
        <f t="shared" si="11"/>
        <v>1</v>
      </c>
    </row>
    <row r="101" spans="1:14" x14ac:dyDescent="0.25">
      <c r="A101" s="67" t="s">
        <v>381</v>
      </c>
      <c r="B101" s="68" t="s">
        <v>380</v>
      </c>
      <c r="C101" s="3">
        <v>3</v>
      </c>
      <c r="D101" s="13">
        <v>112.32000000000005</v>
      </c>
      <c r="E101" s="4">
        <v>0</v>
      </c>
      <c r="F101" s="13">
        <v>0</v>
      </c>
      <c r="G101" s="6">
        <f t="shared" si="6"/>
        <v>0</v>
      </c>
      <c r="H101" s="4">
        <f t="shared" si="7"/>
        <v>3</v>
      </c>
      <c r="I101" s="11">
        <f t="shared" si="8"/>
        <v>112.32000000000005</v>
      </c>
      <c r="J101" s="4">
        <v>27</v>
      </c>
      <c r="K101" s="13">
        <v>1121.6400000000001</v>
      </c>
      <c r="L101" s="4">
        <f t="shared" si="9"/>
        <v>-24</v>
      </c>
      <c r="M101" s="13">
        <f t="shared" si="10"/>
        <v>-1009.32</v>
      </c>
      <c r="N101" s="7">
        <f t="shared" si="11"/>
        <v>-0.89986091794158551</v>
      </c>
    </row>
    <row r="102" spans="1:14" x14ac:dyDescent="0.25">
      <c r="A102" s="67" t="s">
        <v>692</v>
      </c>
      <c r="B102" s="68" t="s">
        <v>693</v>
      </c>
      <c r="C102" s="3">
        <v>0</v>
      </c>
      <c r="D102" s="13">
        <v>0</v>
      </c>
      <c r="E102" s="4">
        <v>0</v>
      </c>
      <c r="F102" s="13">
        <v>0</v>
      </c>
      <c r="G102" s="6"/>
      <c r="H102" s="4">
        <f t="shared" si="7"/>
        <v>0</v>
      </c>
      <c r="I102" s="11">
        <f t="shared" si="8"/>
        <v>0</v>
      </c>
      <c r="J102" s="4">
        <v>61</v>
      </c>
      <c r="K102" s="13">
        <v>1009.3499999999999</v>
      </c>
      <c r="L102" s="4">
        <f t="shared" si="9"/>
        <v>-61</v>
      </c>
      <c r="M102" s="13">
        <f t="shared" si="10"/>
        <v>-1009.3499999999999</v>
      </c>
      <c r="N102" s="7">
        <f t="shared" si="11"/>
        <v>-1</v>
      </c>
    </row>
    <row r="103" spans="1:14" x14ac:dyDescent="0.25">
      <c r="A103" s="67" t="s">
        <v>73</v>
      </c>
      <c r="B103" s="68" t="s">
        <v>72</v>
      </c>
      <c r="C103" s="3">
        <v>6</v>
      </c>
      <c r="D103" s="13">
        <v>331.80000000000018</v>
      </c>
      <c r="E103" s="4">
        <v>0</v>
      </c>
      <c r="F103" s="13">
        <v>0</v>
      </c>
      <c r="G103" s="6">
        <f t="shared" si="6"/>
        <v>0</v>
      </c>
      <c r="H103" s="4">
        <f t="shared" si="7"/>
        <v>6</v>
      </c>
      <c r="I103" s="11">
        <f t="shared" si="8"/>
        <v>331.80000000000018</v>
      </c>
      <c r="J103" s="4">
        <v>12</v>
      </c>
      <c r="K103" s="13">
        <v>692.65999999999985</v>
      </c>
      <c r="L103" s="4">
        <f t="shared" si="9"/>
        <v>-6</v>
      </c>
      <c r="M103" s="13">
        <f t="shared" si="10"/>
        <v>-360.85999999999967</v>
      </c>
      <c r="N103" s="7">
        <f t="shared" si="11"/>
        <v>-0.52097710276326015</v>
      </c>
    </row>
    <row r="104" spans="1:14" x14ac:dyDescent="0.25">
      <c r="A104" s="67" t="s">
        <v>69</v>
      </c>
      <c r="B104" s="68" t="s">
        <v>68</v>
      </c>
      <c r="C104" s="3">
        <v>17</v>
      </c>
      <c r="D104" s="13">
        <v>599.7299999999999</v>
      </c>
      <c r="E104" s="4">
        <v>1</v>
      </c>
      <c r="F104" s="13">
        <v>49.900000000000091</v>
      </c>
      <c r="G104" s="6">
        <f t="shared" si="6"/>
        <v>7.6812955066730429E-2</v>
      </c>
      <c r="H104" s="4">
        <f t="shared" si="7"/>
        <v>18</v>
      </c>
      <c r="I104" s="11">
        <f t="shared" si="8"/>
        <v>649.63</v>
      </c>
      <c r="J104" s="4">
        <v>70</v>
      </c>
      <c r="K104" s="13">
        <v>2055.79</v>
      </c>
      <c r="L104" s="4">
        <f t="shared" si="9"/>
        <v>-52</v>
      </c>
      <c r="M104" s="13">
        <f t="shared" si="10"/>
        <v>-1406.1599999999999</v>
      </c>
      <c r="N104" s="7">
        <f t="shared" si="11"/>
        <v>-0.68399982488483735</v>
      </c>
    </row>
    <row r="105" spans="1:14" x14ac:dyDescent="0.25">
      <c r="A105" s="67" t="s">
        <v>560</v>
      </c>
      <c r="B105" s="68" t="s">
        <v>559</v>
      </c>
      <c r="C105" s="3">
        <v>70</v>
      </c>
      <c r="D105" s="13">
        <v>846.42</v>
      </c>
      <c r="E105" s="4">
        <v>0</v>
      </c>
      <c r="F105" s="13">
        <v>0</v>
      </c>
      <c r="G105" s="6">
        <f t="shared" si="6"/>
        <v>0</v>
      </c>
      <c r="H105" s="4">
        <f t="shared" si="7"/>
        <v>70</v>
      </c>
      <c r="I105" s="11">
        <f t="shared" si="8"/>
        <v>846.42</v>
      </c>
      <c r="J105" s="4">
        <v>77</v>
      </c>
      <c r="K105" s="13">
        <v>650.5900000000006</v>
      </c>
      <c r="L105" s="4">
        <f t="shared" si="9"/>
        <v>-7</v>
      </c>
      <c r="M105" s="13">
        <f t="shared" si="10"/>
        <v>195.82999999999936</v>
      </c>
      <c r="N105" s="7">
        <f t="shared" si="11"/>
        <v>0.30100370432991463</v>
      </c>
    </row>
    <row r="106" spans="1:14" x14ac:dyDescent="0.25">
      <c r="A106" s="67" t="s">
        <v>63</v>
      </c>
      <c r="B106" s="68" t="s">
        <v>62</v>
      </c>
      <c r="C106" s="3">
        <v>0</v>
      </c>
      <c r="D106" s="13">
        <v>0</v>
      </c>
      <c r="E106" s="4">
        <v>0</v>
      </c>
      <c r="F106" s="13">
        <v>0</v>
      </c>
      <c r="G106" s="6" t="e">
        <f t="shared" si="6"/>
        <v>#DIV/0!</v>
      </c>
      <c r="H106" s="4">
        <f t="shared" si="7"/>
        <v>0</v>
      </c>
      <c r="I106" s="11">
        <f t="shared" si="8"/>
        <v>0</v>
      </c>
      <c r="J106" s="4">
        <v>9</v>
      </c>
      <c r="K106" s="13">
        <v>150.25</v>
      </c>
      <c r="L106" s="4">
        <f t="shared" si="9"/>
        <v>-9</v>
      </c>
      <c r="M106" s="13">
        <f t="shared" si="10"/>
        <v>-150.25</v>
      </c>
      <c r="N106" s="7">
        <f t="shared" si="11"/>
        <v>-1</v>
      </c>
    </row>
    <row r="107" spans="1:14" x14ac:dyDescent="0.25">
      <c r="A107" s="67" t="s">
        <v>329</v>
      </c>
      <c r="B107" s="68" t="s">
        <v>328</v>
      </c>
      <c r="C107" s="3">
        <v>468</v>
      </c>
      <c r="D107" s="13">
        <v>5803.7699999999986</v>
      </c>
      <c r="E107" s="4">
        <v>0</v>
      </c>
      <c r="F107" s="13">
        <v>0</v>
      </c>
      <c r="G107" s="6">
        <f t="shared" si="6"/>
        <v>0</v>
      </c>
      <c r="H107" s="4">
        <f t="shared" si="7"/>
        <v>468</v>
      </c>
      <c r="I107" s="11">
        <f t="shared" si="8"/>
        <v>5803.7699999999986</v>
      </c>
      <c r="J107" s="4">
        <v>297</v>
      </c>
      <c r="K107" s="13">
        <v>3643.6599999999989</v>
      </c>
      <c r="L107" s="4">
        <f t="shared" si="9"/>
        <v>171</v>
      </c>
      <c r="M107" s="13">
        <f t="shared" si="10"/>
        <v>2160.1099999999997</v>
      </c>
      <c r="N107" s="7">
        <f t="shared" si="11"/>
        <v>0.59284071510514158</v>
      </c>
    </row>
    <row r="108" spans="1:14" x14ac:dyDescent="0.25">
      <c r="A108" s="67" t="s">
        <v>141</v>
      </c>
      <c r="B108" s="68" t="s">
        <v>140</v>
      </c>
      <c r="C108" s="3">
        <v>2</v>
      </c>
      <c r="D108" s="13">
        <v>93.86</v>
      </c>
      <c r="E108" s="4">
        <v>19</v>
      </c>
      <c r="F108" s="13">
        <v>1233.0999999999931</v>
      </c>
      <c r="G108" s="6">
        <f t="shared" si="6"/>
        <v>0.92926689576174082</v>
      </c>
      <c r="H108" s="4">
        <f t="shared" si="7"/>
        <v>21</v>
      </c>
      <c r="I108" s="11">
        <f t="shared" si="8"/>
        <v>1326.959999999993</v>
      </c>
      <c r="J108" s="4">
        <v>238</v>
      </c>
      <c r="K108" s="13">
        <v>12865.279999999999</v>
      </c>
      <c r="L108" s="4">
        <f t="shared" si="9"/>
        <v>-217</v>
      </c>
      <c r="M108" s="13">
        <f t="shared" si="10"/>
        <v>-11538.320000000005</v>
      </c>
      <c r="N108" s="7">
        <f t="shared" si="11"/>
        <v>-0.89685727788279823</v>
      </c>
    </row>
    <row r="109" spans="1:14" x14ac:dyDescent="0.25">
      <c r="A109" s="67" t="s">
        <v>502</v>
      </c>
      <c r="B109" s="68" t="s">
        <v>501</v>
      </c>
      <c r="C109" s="3">
        <v>6</v>
      </c>
      <c r="D109" s="13">
        <v>438.25</v>
      </c>
      <c r="E109" s="4">
        <v>0</v>
      </c>
      <c r="F109" s="13">
        <v>0</v>
      </c>
      <c r="G109" s="6">
        <f t="shared" si="6"/>
        <v>0</v>
      </c>
      <c r="H109" s="4">
        <f t="shared" si="7"/>
        <v>6</v>
      </c>
      <c r="I109" s="11">
        <f t="shared" si="8"/>
        <v>438.25</v>
      </c>
      <c r="J109" s="4">
        <v>3</v>
      </c>
      <c r="K109" s="13">
        <v>349.7399999999999</v>
      </c>
      <c r="L109" s="4">
        <f t="shared" si="9"/>
        <v>3</v>
      </c>
      <c r="M109" s="13">
        <f t="shared" si="10"/>
        <v>88.510000000000105</v>
      </c>
      <c r="N109" s="7">
        <f t="shared" si="11"/>
        <v>0.25307371190026917</v>
      </c>
    </row>
    <row r="110" spans="1:14" x14ac:dyDescent="0.25">
      <c r="A110" s="67" t="s">
        <v>704</v>
      </c>
      <c r="B110" s="68" t="s">
        <v>705</v>
      </c>
      <c r="C110" s="3">
        <v>0</v>
      </c>
      <c r="D110" s="13">
        <v>0</v>
      </c>
      <c r="E110" s="4">
        <v>0</v>
      </c>
      <c r="F110" s="13">
        <v>0</v>
      </c>
      <c r="G110" s="6"/>
      <c r="H110" s="4">
        <f t="shared" si="7"/>
        <v>0</v>
      </c>
      <c r="I110" s="11">
        <f t="shared" si="8"/>
        <v>0</v>
      </c>
      <c r="J110" s="4">
        <v>7</v>
      </c>
      <c r="K110" s="13">
        <v>167.93000000000006</v>
      </c>
      <c r="L110" s="4">
        <f t="shared" si="9"/>
        <v>-7</v>
      </c>
      <c r="M110" s="13">
        <f t="shared" si="10"/>
        <v>-167.93000000000006</v>
      </c>
      <c r="N110" s="7">
        <f t="shared" si="11"/>
        <v>-1</v>
      </c>
    </row>
    <row r="111" spans="1:14" x14ac:dyDescent="0.25">
      <c r="A111" s="67" t="s">
        <v>221</v>
      </c>
      <c r="B111" s="68" t="s">
        <v>220</v>
      </c>
      <c r="C111" s="3">
        <v>5</v>
      </c>
      <c r="D111" s="13">
        <v>61.990000000000009</v>
      </c>
      <c r="E111" s="4">
        <v>0</v>
      </c>
      <c r="F111" s="13">
        <v>0</v>
      </c>
      <c r="G111" s="6">
        <f t="shared" si="6"/>
        <v>0</v>
      </c>
      <c r="H111" s="4">
        <f t="shared" si="7"/>
        <v>5</v>
      </c>
      <c r="I111" s="11">
        <f t="shared" si="8"/>
        <v>61.990000000000009</v>
      </c>
      <c r="J111" s="4">
        <v>35</v>
      </c>
      <c r="K111" s="13">
        <v>431.71000000000004</v>
      </c>
      <c r="L111" s="4">
        <f t="shared" si="9"/>
        <v>-30</v>
      </c>
      <c r="M111" s="13">
        <f t="shared" si="10"/>
        <v>-369.72</v>
      </c>
      <c r="N111" s="7">
        <f t="shared" si="11"/>
        <v>-0.85640823701095647</v>
      </c>
    </row>
    <row r="112" spans="1:14" x14ac:dyDescent="0.25">
      <c r="A112" s="67" t="s">
        <v>283</v>
      </c>
      <c r="B112" s="68" t="s">
        <v>282</v>
      </c>
      <c r="C112" s="3">
        <v>0</v>
      </c>
      <c r="D112" s="13">
        <v>0</v>
      </c>
      <c r="E112" s="4">
        <v>0</v>
      </c>
      <c r="F112" s="13">
        <v>0</v>
      </c>
      <c r="G112" s="6" t="e">
        <f t="shared" si="6"/>
        <v>#DIV/0!</v>
      </c>
      <c r="H112" s="4">
        <f t="shared" si="7"/>
        <v>0</v>
      </c>
      <c r="I112" s="11">
        <f t="shared" si="8"/>
        <v>0</v>
      </c>
      <c r="J112" s="4">
        <v>5</v>
      </c>
      <c r="K112" s="13">
        <v>41.039999999999964</v>
      </c>
      <c r="L112" s="4">
        <f t="shared" si="9"/>
        <v>-5</v>
      </c>
      <c r="M112" s="13">
        <f t="shared" si="10"/>
        <v>-41.039999999999964</v>
      </c>
      <c r="N112" s="7">
        <f t="shared" si="11"/>
        <v>-1</v>
      </c>
    </row>
    <row r="113" spans="1:14" x14ac:dyDescent="0.25">
      <c r="A113" s="67" t="s">
        <v>153</v>
      </c>
      <c r="B113" s="68" t="s">
        <v>152</v>
      </c>
      <c r="C113" s="3">
        <v>140</v>
      </c>
      <c r="D113" s="13">
        <v>929.69</v>
      </c>
      <c r="E113" s="4">
        <v>0</v>
      </c>
      <c r="F113" s="13">
        <v>0</v>
      </c>
      <c r="G113" s="6">
        <f t="shared" si="6"/>
        <v>0</v>
      </c>
      <c r="H113" s="4">
        <f t="shared" si="7"/>
        <v>140</v>
      </c>
      <c r="I113" s="11">
        <f t="shared" si="8"/>
        <v>929.69</v>
      </c>
      <c r="J113" s="4">
        <v>320</v>
      </c>
      <c r="K113" s="13">
        <v>1339.6200000000003</v>
      </c>
      <c r="L113" s="4">
        <f t="shared" si="9"/>
        <v>-180</v>
      </c>
      <c r="M113" s="13">
        <f t="shared" si="10"/>
        <v>-409.93000000000029</v>
      </c>
      <c r="N113" s="7">
        <f t="shared" si="11"/>
        <v>-0.30600468789656782</v>
      </c>
    </row>
    <row r="114" spans="1:14" x14ac:dyDescent="0.25">
      <c r="A114" s="67" t="s">
        <v>399</v>
      </c>
      <c r="B114" s="68" t="s">
        <v>398</v>
      </c>
      <c r="C114" s="3">
        <v>1</v>
      </c>
      <c r="D114" s="13">
        <v>41.930000000000064</v>
      </c>
      <c r="E114" s="4">
        <v>0</v>
      </c>
      <c r="F114" s="13">
        <v>0</v>
      </c>
      <c r="G114" s="6">
        <f t="shared" si="6"/>
        <v>0</v>
      </c>
      <c r="H114" s="4">
        <f t="shared" si="7"/>
        <v>1</v>
      </c>
      <c r="I114" s="11">
        <f t="shared" si="8"/>
        <v>41.930000000000064</v>
      </c>
      <c r="J114" s="4">
        <v>7</v>
      </c>
      <c r="K114" s="13">
        <v>292.45000000000005</v>
      </c>
      <c r="L114" s="4">
        <f t="shared" si="9"/>
        <v>-6</v>
      </c>
      <c r="M114" s="13">
        <f t="shared" si="10"/>
        <v>-250.51999999999998</v>
      </c>
      <c r="N114" s="7">
        <f t="shared" si="11"/>
        <v>-0.85662506411352346</v>
      </c>
    </row>
    <row r="115" spans="1:14" x14ac:dyDescent="0.25">
      <c r="A115" s="67" t="s">
        <v>618</v>
      </c>
      <c r="B115" s="68" t="s">
        <v>619</v>
      </c>
      <c r="C115" s="3">
        <v>0</v>
      </c>
      <c r="D115" s="13">
        <v>0</v>
      </c>
      <c r="E115" s="4">
        <v>0</v>
      </c>
      <c r="F115" s="13">
        <v>0</v>
      </c>
      <c r="G115" s="6"/>
      <c r="H115" s="4">
        <f t="shared" si="7"/>
        <v>0</v>
      </c>
      <c r="I115" s="11">
        <f t="shared" si="8"/>
        <v>0</v>
      </c>
      <c r="J115" s="4">
        <v>22</v>
      </c>
      <c r="K115" s="13">
        <v>657.08</v>
      </c>
      <c r="L115" s="4">
        <f t="shared" si="9"/>
        <v>-22</v>
      </c>
      <c r="M115" s="13">
        <f t="shared" si="10"/>
        <v>-657.08</v>
      </c>
      <c r="N115" s="7">
        <f t="shared" si="11"/>
        <v>-1</v>
      </c>
    </row>
    <row r="116" spans="1:14" x14ac:dyDescent="0.25">
      <c r="A116" s="67" t="s">
        <v>710</v>
      </c>
      <c r="B116" s="68" t="s">
        <v>711</v>
      </c>
      <c r="C116" s="3">
        <v>0</v>
      </c>
      <c r="D116" s="13">
        <v>0</v>
      </c>
      <c r="E116" s="4">
        <v>0</v>
      </c>
      <c r="F116" s="13">
        <v>0</v>
      </c>
      <c r="G116" s="6"/>
      <c r="H116" s="4">
        <f t="shared" si="7"/>
        <v>0</v>
      </c>
      <c r="I116" s="11">
        <f t="shared" si="8"/>
        <v>0</v>
      </c>
      <c r="J116" s="4">
        <v>48</v>
      </c>
      <c r="K116" s="13">
        <v>604.9</v>
      </c>
      <c r="L116" s="4">
        <f t="shared" si="9"/>
        <v>-48</v>
      </c>
      <c r="M116" s="13">
        <f t="shared" si="10"/>
        <v>-604.9</v>
      </c>
      <c r="N116" s="7">
        <f t="shared" si="11"/>
        <v>-1</v>
      </c>
    </row>
    <row r="117" spans="1:14" x14ac:dyDescent="0.25">
      <c r="A117" s="67" t="s">
        <v>203</v>
      </c>
      <c r="B117" s="68" t="s">
        <v>202</v>
      </c>
      <c r="C117" s="3">
        <v>0</v>
      </c>
      <c r="D117" s="13">
        <v>0</v>
      </c>
      <c r="E117" s="4">
        <v>0</v>
      </c>
      <c r="F117" s="13">
        <v>0</v>
      </c>
      <c r="G117" s="6" t="e">
        <f t="shared" si="6"/>
        <v>#DIV/0!</v>
      </c>
      <c r="H117" s="4">
        <f t="shared" si="7"/>
        <v>0</v>
      </c>
      <c r="I117" s="11">
        <f t="shared" si="8"/>
        <v>0</v>
      </c>
      <c r="J117" s="4">
        <v>10</v>
      </c>
      <c r="K117" s="13">
        <v>332.98</v>
      </c>
      <c r="L117" s="4">
        <f t="shared" si="9"/>
        <v>-10</v>
      </c>
      <c r="M117" s="13">
        <f t="shared" si="10"/>
        <v>-332.98</v>
      </c>
      <c r="N117" s="7">
        <f t="shared" si="11"/>
        <v>-1</v>
      </c>
    </row>
    <row r="118" spans="1:14" x14ac:dyDescent="0.25">
      <c r="A118" s="67" t="s">
        <v>524</v>
      </c>
      <c r="B118" s="68" t="s">
        <v>523</v>
      </c>
      <c r="C118" s="3">
        <v>73</v>
      </c>
      <c r="D118" s="13">
        <v>11.020000000000001</v>
      </c>
      <c r="E118" s="4">
        <v>0</v>
      </c>
      <c r="F118" s="13">
        <v>0</v>
      </c>
      <c r="G118" s="6">
        <f t="shared" si="6"/>
        <v>0</v>
      </c>
      <c r="H118" s="4">
        <f t="shared" si="7"/>
        <v>73</v>
      </c>
      <c r="I118" s="11">
        <f t="shared" si="8"/>
        <v>11.020000000000001</v>
      </c>
      <c r="J118" s="4">
        <v>158</v>
      </c>
      <c r="K118" s="13">
        <v>601.68999999999994</v>
      </c>
      <c r="L118" s="4">
        <f t="shared" si="9"/>
        <v>-85</v>
      </c>
      <c r="M118" s="13">
        <f t="shared" si="10"/>
        <v>-590.66999999999996</v>
      </c>
      <c r="N118" s="7">
        <f t="shared" si="11"/>
        <v>-0.98168492080639536</v>
      </c>
    </row>
    <row r="119" spans="1:14" x14ac:dyDescent="0.25">
      <c r="A119" s="67" t="s">
        <v>241</v>
      </c>
      <c r="B119" s="68" t="s">
        <v>240</v>
      </c>
      <c r="C119" s="3">
        <v>12</v>
      </c>
      <c r="D119" s="13">
        <v>237.90000000000003</v>
      </c>
      <c r="E119" s="4">
        <v>0</v>
      </c>
      <c r="F119" s="13">
        <v>0</v>
      </c>
      <c r="G119" s="6">
        <f t="shared" si="6"/>
        <v>0</v>
      </c>
      <c r="H119" s="4">
        <f t="shared" si="7"/>
        <v>12</v>
      </c>
      <c r="I119" s="11">
        <f t="shared" si="8"/>
        <v>237.90000000000003</v>
      </c>
      <c r="J119" s="4">
        <v>12</v>
      </c>
      <c r="K119" s="13">
        <v>336.98999999999978</v>
      </c>
      <c r="L119" s="4">
        <f t="shared" si="9"/>
        <v>0</v>
      </c>
      <c r="M119" s="13">
        <f t="shared" si="10"/>
        <v>-99.089999999999748</v>
      </c>
      <c r="N119" s="7">
        <f t="shared" si="11"/>
        <v>-0.29404433365975197</v>
      </c>
    </row>
    <row r="120" spans="1:14" x14ac:dyDescent="0.25">
      <c r="A120" s="67" t="s">
        <v>624</v>
      </c>
      <c r="B120" s="68" t="s">
        <v>625</v>
      </c>
      <c r="C120" s="3">
        <v>0</v>
      </c>
      <c r="D120" s="13">
        <v>0</v>
      </c>
      <c r="E120" s="4">
        <v>0</v>
      </c>
      <c r="F120" s="13">
        <v>0</v>
      </c>
      <c r="G120" s="6"/>
      <c r="H120" s="4">
        <f t="shared" si="7"/>
        <v>0</v>
      </c>
      <c r="I120" s="11">
        <f t="shared" si="8"/>
        <v>0</v>
      </c>
      <c r="J120" s="4">
        <v>15</v>
      </c>
      <c r="K120" s="13">
        <v>101.88</v>
      </c>
      <c r="L120" s="4">
        <f t="shared" si="9"/>
        <v>-15</v>
      </c>
      <c r="M120" s="13">
        <f t="shared" si="10"/>
        <v>-101.88</v>
      </c>
      <c r="N120" s="7">
        <f t="shared" si="11"/>
        <v>-1</v>
      </c>
    </row>
    <row r="121" spans="1:14" x14ac:dyDescent="0.25">
      <c r="A121" s="67" t="s">
        <v>389</v>
      </c>
      <c r="B121" s="68" t="s">
        <v>388</v>
      </c>
      <c r="C121" s="3">
        <v>4</v>
      </c>
      <c r="D121" s="13">
        <v>32.420000000000016</v>
      </c>
      <c r="E121" s="4">
        <v>0</v>
      </c>
      <c r="F121" s="13">
        <v>0</v>
      </c>
      <c r="G121" s="6">
        <f t="shared" si="6"/>
        <v>0</v>
      </c>
      <c r="H121" s="4">
        <f t="shared" si="7"/>
        <v>4</v>
      </c>
      <c r="I121" s="11">
        <f t="shared" si="8"/>
        <v>32.420000000000016</v>
      </c>
      <c r="J121" s="4">
        <v>19</v>
      </c>
      <c r="K121" s="13">
        <v>156.01</v>
      </c>
      <c r="L121" s="4">
        <f t="shared" si="9"/>
        <v>-15</v>
      </c>
      <c r="M121" s="13">
        <f t="shared" si="10"/>
        <v>-123.58999999999997</v>
      </c>
      <c r="N121" s="7">
        <f t="shared" si="11"/>
        <v>-0.79219280815332338</v>
      </c>
    </row>
    <row r="122" spans="1:14" x14ac:dyDescent="0.25">
      <c r="A122" s="67" t="s">
        <v>269</v>
      </c>
      <c r="B122" s="68" t="s">
        <v>268</v>
      </c>
      <c r="C122" s="3">
        <v>6</v>
      </c>
      <c r="D122" s="13">
        <v>223.68</v>
      </c>
      <c r="E122" s="4">
        <v>0</v>
      </c>
      <c r="F122" s="13">
        <v>0</v>
      </c>
      <c r="G122" s="6">
        <f t="shared" si="6"/>
        <v>0</v>
      </c>
      <c r="H122" s="4">
        <f t="shared" si="7"/>
        <v>6</v>
      </c>
      <c r="I122" s="11">
        <f t="shared" si="8"/>
        <v>223.68</v>
      </c>
      <c r="J122" s="4">
        <v>16</v>
      </c>
      <c r="K122" s="13">
        <v>581.07000000000005</v>
      </c>
      <c r="L122" s="4">
        <f t="shared" si="9"/>
        <v>-10</v>
      </c>
      <c r="M122" s="13">
        <f t="shared" si="10"/>
        <v>-357.39000000000004</v>
      </c>
      <c r="N122" s="7">
        <f t="shared" si="11"/>
        <v>-0.61505498476947706</v>
      </c>
    </row>
    <row r="123" spans="1:14" x14ac:dyDescent="0.25">
      <c r="A123" s="67" t="s">
        <v>610</v>
      </c>
      <c r="B123" s="68" t="s">
        <v>611</v>
      </c>
      <c r="C123" s="3">
        <v>0</v>
      </c>
      <c r="D123" s="13">
        <v>0</v>
      </c>
      <c r="E123" s="4">
        <v>0</v>
      </c>
      <c r="F123" s="13">
        <v>0</v>
      </c>
      <c r="G123" s="6"/>
      <c r="H123" s="4">
        <f t="shared" si="7"/>
        <v>0</v>
      </c>
      <c r="I123" s="11">
        <f t="shared" si="8"/>
        <v>0</v>
      </c>
      <c r="J123" s="4">
        <v>43</v>
      </c>
      <c r="K123" s="13">
        <v>235.28999999999991</v>
      </c>
      <c r="L123" s="4">
        <f t="shared" si="9"/>
        <v>-43</v>
      </c>
      <c r="M123" s="13">
        <f t="shared" si="10"/>
        <v>-235.28999999999991</v>
      </c>
      <c r="N123" s="7">
        <f t="shared" si="11"/>
        <v>-1</v>
      </c>
    </row>
    <row r="124" spans="1:14" x14ac:dyDescent="0.25">
      <c r="A124" s="67" t="s">
        <v>534</v>
      </c>
      <c r="B124" s="68" t="s">
        <v>533</v>
      </c>
      <c r="C124" s="3">
        <v>0</v>
      </c>
      <c r="D124" s="13">
        <v>0</v>
      </c>
      <c r="E124" s="4">
        <v>0</v>
      </c>
      <c r="F124" s="13">
        <v>0</v>
      </c>
      <c r="G124" s="6" t="e">
        <f t="shared" si="6"/>
        <v>#DIV/0!</v>
      </c>
      <c r="H124" s="4">
        <f t="shared" si="7"/>
        <v>0</v>
      </c>
      <c r="I124" s="11">
        <f t="shared" si="8"/>
        <v>0</v>
      </c>
      <c r="J124" s="4">
        <v>2</v>
      </c>
      <c r="K124" s="13">
        <v>111.88999999999999</v>
      </c>
      <c r="L124" s="4">
        <f t="shared" si="9"/>
        <v>-2</v>
      </c>
      <c r="M124" s="13">
        <f t="shared" si="10"/>
        <v>-111.88999999999999</v>
      </c>
      <c r="N124" s="7">
        <f t="shared" si="11"/>
        <v>-1</v>
      </c>
    </row>
    <row r="125" spans="1:14" x14ac:dyDescent="0.25">
      <c r="A125" s="67" t="s">
        <v>249</v>
      </c>
      <c r="B125" s="68" t="s">
        <v>248</v>
      </c>
      <c r="C125" s="3">
        <v>0</v>
      </c>
      <c r="D125" s="13">
        <v>0</v>
      </c>
      <c r="E125" s="4">
        <v>0</v>
      </c>
      <c r="F125" s="13">
        <v>0</v>
      </c>
      <c r="G125" s="6"/>
      <c r="H125" s="4">
        <f t="shared" si="7"/>
        <v>0</v>
      </c>
      <c r="I125" s="11">
        <f t="shared" si="8"/>
        <v>0</v>
      </c>
      <c r="J125" s="4">
        <v>50</v>
      </c>
      <c r="K125" s="13">
        <v>422.41999999999996</v>
      </c>
      <c r="L125" s="4">
        <f t="shared" si="9"/>
        <v>-50</v>
      </c>
      <c r="M125" s="13">
        <f t="shared" si="10"/>
        <v>-422.41999999999996</v>
      </c>
      <c r="N125" s="7">
        <f t="shared" si="11"/>
        <v>-1</v>
      </c>
    </row>
    <row r="126" spans="1:14" x14ac:dyDescent="0.25">
      <c r="A126" s="67" t="s">
        <v>307</v>
      </c>
      <c r="B126" s="68" t="s">
        <v>306</v>
      </c>
      <c r="C126" s="3">
        <v>73</v>
      </c>
      <c r="D126" s="13">
        <v>897.67000000000007</v>
      </c>
      <c r="E126" s="4">
        <v>0</v>
      </c>
      <c r="F126" s="13">
        <v>0</v>
      </c>
      <c r="G126" s="6">
        <f t="shared" si="6"/>
        <v>0</v>
      </c>
      <c r="H126" s="4">
        <f t="shared" si="7"/>
        <v>73</v>
      </c>
      <c r="I126" s="11">
        <f t="shared" si="8"/>
        <v>897.67000000000007</v>
      </c>
      <c r="J126" s="4">
        <v>73</v>
      </c>
      <c r="K126" s="13">
        <v>805.59999999999968</v>
      </c>
      <c r="L126" s="4">
        <f t="shared" si="9"/>
        <v>0</v>
      </c>
      <c r="M126" s="13">
        <f t="shared" si="10"/>
        <v>92.070000000000391</v>
      </c>
      <c r="N126" s="7">
        <f t="shared" si="11"/>
        <v>0.11428748758689229</v>
      </c>
    </row>
    <row r="127" spans="1:14" x14ac:dyDescent="0.25">
      <c r="A127" s="67" t="s">
        <v>191</v>
      </c>
      <c r="B127" s="68" t="s">
        <v>190</v>
      </c>
      <c r="C127" s="3">
        <v>5</v>
      </c>
      <c r="D127" s="13">
        <v>112.29000000000008</v>
      </c>
      <c r="E127" s="4">
        <v>0</v>
      </c>
      <c r="F127" s="13">
        <v>0</v>
      </c>
      <c r="G127" s="6">
        <f t="shared" si="6"/>
        <v>0</v>
      </c>
      <c r="H127" s="4">
        <f t="shared" si="7"/>
        <v>5</v>
      </c>
      <c r="I127" s="11">
        <f t="shared" si="8"/>
        <v>112.29000000000008</v>
      </c>
      <c r="J127" s="4">
        <v>19</v>
      </c>
      <c r="K127" s="13">
        <v>262.16000000000003</v>
      </c>
      <c r="L127" s="4">
        <f t="shared" si="9"/>
        <v>-14</v>
      </c>
      <c r="M127" s="13">
        <f t="shared" si="10"/>
        <v>-149.86999999999995</v>
      </c>
      <c r="N127" s="7">
        <f t="shared" si="11"/>
        <v>-0.57167378700030491</v>
      </c>
    </row>
    <row r="128" spans="1:14" x14ac:dyDescent="0.25">
      <c r="A128" s="67" t="s">
        <v>682</v>
      </c>
      <c r="B128" s="68" t="s">
        <v>683</v>
      </c>
      <c r="C128" s="3">
        <v>0</v>
      </c>
      <c r="D128" s="13">
        <v>0</v>
      </c>
      <c r="E128" s="4">
        <v>0</v>
      </c>
      <c r="F128" s="13">
        <v>0</v>
      </c>
      <c r="G128" s="6"/>
      <c r="H128" s="4">
        <f t="shared" si="7"/>
        <v>0</v>
      </c>
      <c r="I128" s="11">
        <f t="shared" si="8"/>
        <v>0</v>
      </c>
      <c r="J128" s="4">
        <v>4</v>
      </c>
      <c r="K128" s="13">
        <v>404</v>
      </c>
      <c r="L128" s="4">
        <f t="shared" si="9"/>
        <v>-4</v>
      </c>
      <c r="M128" s="13">
        <f t="shared" si="10"/>
        <v>-404</v>
      </c>
      <c r="N128" s="7">
        <f t="shared" si="11"/>
        <v>-1</v>
      </c>
    </row>
    <row r="129" spans="1:14" x14ac:dyDescent="0.25">
      <c r="A129" s="67" t="s">
        <v>662</v>
      </c>
      <c r="B129" s="68" t="s">
        <v>663</v>
      </c>
      <c r="C129" s="3">
        <v>0</v>
      </c>
      <c r="D129" s="13">
        <v>0</v>
      </c>
      <c r="E129" s="4">
        <v>0</v>
      </c>
      <c r="F129" s="13">
        <v>0</v>
      </c>
      <c r="G129" s="6"/>
      <c r="H129" s="4">
        <f t="shared" si="7"/>
        <v>0</v>
      </c>
      <c r="I129" s="11">
        <f t="shared" si="8"/>
        <v>0</v>
      </c>
      <c r="J129" s="4">
        <v>1</v>
      </c>
      <c r="K129" s="13">
        <v>66.70999999999998</v>
      </c>
      <c r="L129" s="4">
        <f t="shared" si="9"/>
        <v>-1</v>
      </c>
      <c r="M129" s="13">
        <f t="shared" si="10"/>
        <v>-66.70999999999998</v>
      </c>
      <c r="N129" s="7">
        <f t="shared" si="11"/>
        <v>-1</v>
      </c>
    </row>
    <row r="130" spans="1:14" x14ac:dyDescent="0.25">
      <c r="A130" s="67" t="s">
        <v>337</v>
      </c>
      <c r="B130" s="68" t="s">
        <v>336</v>
      </c>
      <c r="C130" s="3">
        <v>0</v>
      </c>
      <c r="D130" s="13">
        <v>0</v>
      </c>
      <c r="E130" s="4">
        <v>0</v>
      </c>
      <c r="F130" s="13">
        <v>0</v>
      </c>
      <c r="G130" s="6" t="e">
        <f t="shared" si="6"/>
        <v>#DIV/0!</v>
      </c>
      <c r="H130" s="4">
        <f t="shared" si="7"/>
        <v>0</v>
      </c>
      <c r="I130" s="11">
        <f t="shared" si="8"/>
        <v>0</v>
      </c>
      <c r="J130" s="4">
        <v>0</v>
      </c>
      <c r="K130" s="13">
        <v>0</v>
      </c>
      <c r="L130" s="4">
        <f t="shared" si="9"/>
        <v>0</v>
      </c>
      <c r="M130" s="13">
        <f t="shared" si="10"/>
        <v>0</v>
      </c>
      <c r="N130" s="7"/>
    </row>
    <row r="131" spans="1:14" x14ac:dyDescent="0.25">
      <c r="A131" s="67" t="s">
        <v>251</v>
      </c>
      <c r="B131" s="68" t="s">
        <v>250</v>
      </c>
      <c r="C131" s="3">
        <v>5</v>
      </c>
      <c r="D131" s="13">
        <v>24.100000000000009</v>
      </c>
      <c r="E131" s="4">
        <v>0</v>
      </c>
      <c r="F131" s="13">
        <v>0</v>
      </c>
      <c r="G131" s="6">
        <f t="shared" ref="G131:G194" si="12">F131/I131</f>
        <v>0</v>
      </c>
      <c r="H131" s="4">
        <f t="shared" ref="H131:H194" si="13">C131+E131</f>
        <v>5</v>
      </c>
      <c r="I131" s="11">
        <f t="shared" ref="I131:I194" si="14">D131+F131</f>
        <v>24.100000000000009</v>
      </c>
      <c r="J131" s="4">
        <v>22</v>
      </c>
      <c r="K131" s="13">
        <v>158.32999999999998</v>
      </c>
      <c r="L131" s="4">
        <f t="shared" ref="L131:L194" si="15">H131-J131</f>
        <v>-17</v>
      </c>
      <c r="M131" s="13">
        <f t="shared" ref="M131:M194" si="16">I131-K131</f>
        <v>-134.22999999999996</v>
      </c>
      <c r="N131" s="7">
        <f t="shared" ref="N131:N194" si="17">M131/ABS(K131)</f>
        <v>-0.84778626918461431</v>
      </c>
    </row>
    <row r="132" spans="1:14" x14ac:dyDescent="0.25">
      <c r="A132" s="67" t="s">
        <v>475</v>
      </c>
      <c r="B132" s="68" t="s">
        <v>474</v>
      </c>
      <c r="C132" s="3">
        <v>11</v>
      </c>
      <c r="D132" s="13">
        <v>215.99</v>
      </c>
      <c r="E132" s="4">
        <v>0</v>
      </c>
      <c r="F132" s="13">
        <v>0</v>
      </c>
      <c r="G132" s="6">
        <f t="shared" si="12"/>
        <v>0</v>
      </c>
      <c r="H132" s="4">
        <f t="shared" si="13"/>
        <v>11</v>
      </c>
      <c r="I132" s="11">
        <f t="shared" si="14"/>
        <v>215.99</v>
      </c>
      <c r="J132" s="4">
        <v>4</v>
      </c>
      <c r="K132" s="13">
        <v>63.650000000000091</v>
      </c>
      <c r="L132" s="4">
        <f t="shared" si="15"/>
        <v>7</v>
      </c>
      <c r="M132" s="13">
        <f t="shared" si="16"/>
        <v>152.33999999999992</v>
      </c>
      <c r="N132" s="7">
        <f t="shared" si="17"/>
        <v>2.3934014139827133</v>
      </c>
    </row>
    <row r="133" spans="1:14" x14ac:dyDescent="0.25">
      <c r="A133" s="67" t="s">
        <v>562</v>
      </c>
      <c r="B133" s="68" t="s">
        <v>561</v>
      </c>
      <c r="C133" s="3">
        <v>8</v>
      </c>
      <c r="D133" s="13">
        <v>36.38000000000001</v>
      </c>
      <c r="E133" s="4">
        <v>0</v>
      </c>
      <c r="F133" s="13">
        <v>0</v>
      </c>
      <c r="G133" s="6">
        <f t="shared" si="12"/>
        <v>0</v>
      </c>
      <c r="H133" s="4">
        <f t="shared" si="13"/>
        <v>8</v>
      </c>
      <c r="I133" s="11">
        <f t="shared" si="14"/>
        <v>36.38000000000001</v>
      </c>
      <c r="J133" s="4">
        <v>1</v>
      </c>
      <c r="K133" s="13">
        <v>12.610000000000014</v>
      </c>
      <c r="L133" s="4">
        <f t="shared" si="15"/>
        <v>7</v>
      </c>
      <c r="M133" s="13">
        <f t="shared" si="16"/>
        <v>23.769999999999996</v>
      </c>
      <c r="N133" s="7">
        <f t="shared" si="17"/>
        <v>1.8850118953211714</v>
      </c>
    </row>
    <row r="134" spans="1:14" x14ac:dyDescent="0.25">
      <c r="A134" s="67" t="s">
        <v>253</v>
      </c>
      <c r="B134" s="68" t="s">
        <v>252</v>
      </c>
      <c r="C134" s="3">
        <v>0</v>
      </c>
      <c r="D134" s="13">
        <v>0</v>
      </c>
      <c r="E134" s="4">
        <v>0</v>
      </c>
      <c r="F134" s="13">
        <v>0</v>
      </c>
      <c r="G134" s="6"/>
      <c r="H134" s="4">
        <f t="shared" si="13"/>
        <v>0</v>
      </c>
      <c r="I134" s="11">
        <f t="shared" si="14"/>
        <v>0</v>
      </c>
      <c r="J134" s="4">
        <v>10</v>
      </c>
      <c r="K134" s="13">
        <v>90.1</v>
      </c>
      <c r="L134" s="4">
        <f t="shared" si="15"/>
        <v>-10</v>
      </c>
      <c r="M134" s="13">
        <f t="shared" si="16"/>
        <v>-90.1</v>
      </c>
      <c r="N134" s="7">
        <f t="shared" si="17"/>
        <v>-1</v>
      </c>
    </row>
    <row r="135" spans="1:14" x14ac:dyDescent="0.25">
      <c r="A135" s="67" t="s">
        <v>668</v>
      </c>
      <c r="B135" s="68" t="s">
        <v>669</v>
      </c>
      <c r="C135" s="3">
        <v>0</v>
      </c>
      <c r="D135" s="13">
        <v>0</v>
      </c>
      <c r="E135" s="4">
        <v>0</v>
      </c>
      <c r="F135" s="13">
        <v>0</v>
      </c>
      <c r="G135" s="6"/>
      <c r="H135" s="4">
        <f t="shared" si="13"/>
        <v>0</v>
      </c>
      <c r="I135" s="11">
        <f t="shared" si="14"/>
        <v>0</v>
      </c>
      <c r="J135" s="4">
        <v>-1</v>
      </c>
      <c r="K135" s="13">
        <v>9.8999999999999773</v>
      </c>
      <c r="L135" s="4">
        <f t="shared" si="15"/>
        <v>1</v>
      </c>
      <c r="M135" s="13">
        <f t="shared" si="16"/>
        <v>-9.8999999999999773</v>
      </c>
      <c r="N135" s="7">
        <f>M135/ABS(K135)</f>
        <v>-1</v>
      </c>
    </row>
    <row r="136" spans="1:14" x14ac:dyDescent="0.25">
      <c r="A136" s="67" t="s">
        <v>656</v>
      </c>
      <c r="B136" s="68" t="s">
        <v>657</v>
      </c>
      <c r="C136" s="3">
        <v>0</v>
      </c>
      <c r="D136" s="13">
        <v>0</v>
      </c>
      <c r="E136" s="4">
        <v>0</v>
      </c>
      <c r="F136" s="13">
        <v>0</v>
      </c>
      <c r="G136" s="6"/>
      <c r="H136" s="4">
        <f t="shared" si="13"/>
        <v>0</v>
      </c>
      <c r="I136" s="11">
        <f t="shared" si="14"/>
        <v>0</v>
      </c>
      <c r="J136" s="4">
        <v>4</v>
      </c>
      <c r="K136" s="13">
        <v>279.06</v>
      </c>
      <c r="L136" s="4">
        <f t="shared" si="15"/>
        <v>-4</v>
      </c>
      <c r="M136" s="13">
        <f t="shared" si="16"/>
        <v>-279.06</v>
      </c>
      <c r="N136" s="7">
        <f t="shared" si="17"/>
        <v>-1</v>
      </c>
    </row>
    <row r="137" spans="1:14" x14ac:dyDescent="0.25">
      <c r="A137" s="67" t="s">
        <v>331</v>
      </c>
      <c r="B137" s="68" t="s">
        <v>330</v>
      </c>
      <c r="C137" s="3">
        <v>1</v>
      </c>
      <c r="D137" s="13">
        <v>24.710000000000008</v>
      </c>
      <c r="E137" s="4">
        <v>0</v>
      </c>
      <c r="F137" s="13">
        <v>0</v>
      </c>
      <c r="G137" s="6">
        <f t="shared" si="12"/>
        <v>0</v>
      </c>
      <c r="H137" s="4">
        <f t="shared" si="13"/>
        <v>1</v>
      </c>
      <c r="I137" s="11">
        <f t="shared" si="14"/>
        <v>24.710000000000008</v>
      </c>
      <c r="J137" s="4">
        <v>1</v>
      </c>
      <c r="K137" s="13">
        <v>25.5</v>
      </c>
      <c r="L137" s="4">
        <f t="shared" si="15"/>
        <v>0</v>
      </c>
      <c r="M137" s="13">
        <f t="shared" si="16"/>
        <v>-0.78999999999999204</v>
      </c>
      <c r="N137" s="7">
        <f t="shared" si="17"/>
        <v>-3.0980392156862432E-2</v>
      </c>
    </row>
    <row r="138" spans="1:14" x14ac:dyDescent="0.25">
      <c r="A138" s="67" t="s">
        <v>512</v>
      </c>
      <c r="B138" s="68" t="s">
        <v>511</v>
      </c>
      <c r="C138" s="3">
        <v>84</v>
      </c>
      <c r="D138" s="13">
        <v>1743.8800000000006</v>
      </c>
      <c r="E138" s="4">
        <v>0</v>
      </c>
      <c r="F138" s="13">
        <v>0</v>
      </c>
      <c r="G138" s="6">
        <f t="shared" si="12"/>
        <v>0</v>
      </c>
      <c r="H138" s="4">
        <f t="shared" si="13"/>
        <v>84</v>
      </c>
      <c r="I138" s="11">
        <f t="shared" si="14"/>
        <v>1743.8800000000006</v>
      </c>
      <c r="J138" s="4">
        <v>22</v>
      </c>
      <c r="K138" s="13">
        <v>637.50999999999931</v>
      </c>
      <c r="L138" s="4">
        <f t="shared" si="15"/>
        <v>62</v>
      </c>
      <c r="M138" s="13">
        <f t="shared" si="16"/>
        <v>1106.3700000000013</v>
      </c>
      <c r="N138" s="7">
        <f t="shared" si="17"/>
        <v>1.7354551301156098</v>
      </c>
    </row>
    <row r="139" spans="1:14" x14ac:dyDescent="0.25">
      <c r="A139" s="67" t="s">
        <v>205</v>
      </c>
      <c r="B139" s="68" t="s">
        <v>204</v>
      </c>
      <c r="C139" s="3">
        <v>41</v>
      </c>
      <c r="D139" s="13">
        <v>334.33</v>
      </c>
      <c r="E139" s="4">
        <v>0</v>
      </c>
      <c r="F139" s="13">
        <v>0</v>
      </c>
      <c r="G139" s="6">
        <f t="shared" si="12"/>
        <v>0</v>
      </c>
      <c r="H139" s="4">
        <f t="shared" si="13"/>
        <v>41</v>
      </c>
      <c r="I139" s="11">
        <f t="shared" si="14"/>
        <v>334.33</v>
      </c>
      <c r="J139" s="4">
        <v>1</v>
      </c>
      <c r="K139" s="13">
        <v>12.649999999999977</v>
      </c>
      <c r="L139" s="4">
        <f t="shared" si="15"/>
        <v>40</v>
      </c>
      <c r="M139" s="13">
        <f t="shared" si="16"/>
        <v>321.68</v>
      </c>
      <c r="N139" s="7">
        <f t="shared" si="17"/>
        <v>25.429249011857753</v>
      </c>
    </row>
    <row r="140" spans="1:14" x14ac:dyDescent="0.25">
      <c r="A140" s="67" t="s">
        <v>197</v>
      </c>
      <c r="B140" s="68" t="s">
        <v>196</v>
      </c>
      <c r="C140" s="3">
        <v>2</v>
      </c>
      <c r="D140" s="13">
        <v>20.309999999999999</v>
      </c>
      <c r="E140" s="4">
        <v>0</v>
      </c>
      <c r="F140" s="13">
        <v>0</v>
      </c>
      <c r="G140" s="6">
        <f t="shared" si="12"/>
        <v>0</v>
      </c>
      <c r="H140" s="4">
        <f t="shared" si="13"/>
        <v>2</v>
      </c>
      <c r="I140" s="11">
        <f t="shared" si="14"/>
        <v>20.309999999999999</v>
      </c>
      <c r="J140" s="4">
        <v>19</v>
      </c>
      <c r="K140" s="13">
        <v>222.19999999999996</v>
      </c>
      <c r="L140" s="4">
        <f t="shared" si="15"/>
        <v>-17</v>
      </c>
      <c r="M140" s="13">
        <f t="shared" si="16"/>
        <v>-201.88999999999996</v>
      </c>
      <c r="N140" s="7">
        <f t="shared" si="17"/>
        <v>-0.90859585958595857</v>
      </c>
    </row>
    <row r="141" spans="1:14" x14ac:dyDescent="0.25">
      <c r="A141" s="67" t="s">
        <v>548</v>
      </c>
      <c r="B141" s="68" t="s">
        <v>547</v>
      </c>
      <c r="C141" s="3">
        <v>33</v>
      </c>
      <c r="D141" s="13">
        <v>652.30999999999995</v>
      </c>
      <c r="E141" s="4">
        <v>0</v>
      </c>
      <c r="F141" s="13">
        <v>0</v>
      </c>
      <c r="G141" s="6">
        <f t="shared" si="12"/>
        <v>0</v>
      </c>
      <c r="H141" s="4">
        <f t="shared" si="13"/>
        <v>33</v>
      </c>
      <c r="I141" s="11">
        <f t="shared" si="14"/>
        <v>652.30999999999995</v>
      </c>
      <c r="J141" s="4">
        <v>34</v>
      </c>
      <c r="K141" s="13">
        <v>669.01</v>
      </c>
      <c r="L141" s="4">
        <f t="shared" si="15"/>
        <v>-1</v>
      </c>
      <c r="M141" s="13">
        <f t="shared" si="16"/>
        <v>-16.700000000000045</v>
      </c>
      <c r="N141" s="7">
        <f t="shared" si="17"/>
        <v>-2.4962257664310018E-2</v>
      </c>
    </row>
    <row r="142" spans="1:14" x14ac:dyDescent="0.25">
      <c r="A142" s="67" t="s">
        <v>734</v>
      </c>
      <c r="B142" s="68" t="s">
        <v>735</v>
      </c>
      <c r="C142" s="3">
        <v>0</v>
      </c>
      <c r="D142" s="13">
        <v>0</v>
      </c>
      <c r="E142" s="4">
        <v>0</v>
      </c>
      <c r="F142" s="13">
        <v>0</v>
      </c>
      <c r="G142" s="6"/>
      <c r="H142" s="4">
        <f t="shared" si="13"/>
        <v>0</v>
      </c>
      <c r="I142" s="11">
        <f t="shared" si="14"/>
        <v>0</v>
      </c>
      <c r="J142" s="4">
        <v>-97</v>
      </c>
      <c r="K142" s="13">
        <v>-389.79000000000008</v>
      </c>
      <c r="L142" s="4">
        <f t="shared" si="15"/>
        <v>97</v>
      </c>
      <c r="M142" s="13">
        <f t="shared" si="16"/>
        <v>389.79000000000008</v>
      </c>
      <c r="N142" s="7">
        <f t="shared" si="17"/>
        <v>1</v>
      </c>
    </row>
    <row r="143" spans="1:14" x14ac:dyDescent="0.25">
      <c r="A143" s="67" t="s">
        <v>588</v>
      </c>
      <c r="B143" s="68" t="s">
        <v>589</v>
      </c>
      <c r="C143" s="3">
        <v>0</v>
      </c>
      <c r="D143" s="13">
        <v>0</v>
      </c>
      <c r="E143" s="4">
        <v>0</v>
      </c>
      <c r="F143" s="13">
        <v>0</v>
      </c>
      <c r="G143" s="6"/>
      <c r="H143" s="4">
        <f t="shared" si="13"/>
        <v>0</v>
      </c>
      <c r="I143" s="11">
        <f t="shared" si="14"/>
        <v>0</v>
      </c>
      <c r="J143" s="4">
        <v>-34</v>
      </c>
      <c r="K143" s="13">
        <v>-192.44</v>
      </c>
      <c r="L143" s="4">
        <f t="shared" si="15"/>
        <v>34</v>
      </c>
      <c r="M143" s="13">
        <f t="shared" si="16"/>
        <v>192.44</v>
      </c>
      <c r="N143" s="7">
        <f t="shared" si="17"/>
        <v>1</v>
      </c>
    </row>
    <row r="144" spans="1:14" x14ac:dyDescent="0.25">
      <c r="A144" s="67" t="s">
        <v>594</v>
      </c>
      <c r="B144" s="68" t="s">
        <v>595</v>
      </c>
      <c r="C144" s="3">
        <v>0</v>
      </c>
      <c r="D144" s="13">
        <v>0</v>
      </c>
      <c r="E144" s="4">
        <v>0</v>
      </c>
      <c r="F144" s="13">
        <v>0</v>
      </c>
      <c r="G144" s="6"/>
      <c r="H144" s="4">
        <f t="shared" si="13"/>
        <v>0</v>
      </c>
      <c r="I144" s="11">
        <f t="shared" si="14"/>
        <v>0</v>
      </c>
      <c r="J144" s="4">
        <v>2</v>
      </c>
      <c r="K144" s="13">
        <v>216.5</v>
      </c>
      <c r="L144" s="4">
        <f t="shared" si="15"/>
        <v>-2</v>
      </c>
      <c r="M144" s="13">
        <f t="shared" si="16"/>
        <v>-216.5</v>
      </c>
      <c r="N144" s="7">
        <f t="shared" si="17"/>
        <v>-1</v>
      </c>
    </row>
    <row r="145" spans="1:14" x14ac:dyDescent="0.25">
      <c r="A145" s="67" t="s">
        <v>49</v>
      </c>
      <c r="B145" s="68" t="s">
        <v>48</v>
      </c>
      <c r="C145" s="3">
        <v>2</v>
      </c>
      <c r="D145" s="13">
        <v>25.039999999999992</v>
      </c>
      <c r="E145" s="4">
        <v>0</v>
      </c>
      <c r="F145" s="13">
        <v>0</v>
      </c>
      <c r="G145" s="6">
        <f t="shared" si="12"/>
        <v>0</v>
      </c>
      <c r="H145" s="4">
        <f t="shared" si="13"/>
        <v>2</v>
      </c>
      <c r="I145" s="11">
        <f t="shared" si="14"/>
        <v>25.039999999999992</v>
      </c>
      <c r="J145" s="4">
        <v>3</v>
      </c>
      <c r="K145" s="13">
        <v>34.740000000000038</v>
      </c>
      <c r="L145" s="4">
        <f t="shared" si="15"/>
        <v>-1</v>
      </c>
      <c r="M145" s="13">
        <f t="shared" si="16"/>
        <v>-9.7000000000000455</v>
      </c>
      <c r="N145" s="7">
        <f t="shared" si="17"/>
        <v>-0.27921704087507299</v>
      </c>
    </row>
    <row r="146" spans="1:14" x14ac:dyDescent="0.25">
      <c r="A146" s="67" t="s">
        <v>275</v>
      </c>
      <c r="B146" s="68" t="s">
        <v>274</v>
      </c>
      <c r="C146" s="3">
        <v>8</v>
      </c>
      <c r="D146" s="13">
        <v>129.76</v>
      </c>
      <c r="E146" s="4">
        <v>0</v>
      </c>
      <c r="F146" s="13">
        <v>0</v>
      </c>
      <c r="G146" s="6">
        <f t="shared" si="12"/>
        <v>0</v>
      </c>
      <c r="H146" s="4">
        <f t="shared" si="13"/>
        <v>8</v>
      </c>
      <c r="I146" s="11">
        <f t="shared" si="14"/>
        <v>129.76</v>
      </c>
      <c r="J146" s="4">
        <v>13</v>
      </c>
      <c r="K146" s="13">
        <v>214.11000000000004</v>
      </c>
      <c r="L146" s="4">
        <f t="shared" si="15"/>
        <v>-5</v>
      </c>
      <c r="M146" s="13">
        <f t="shared" si="16"/>
        <v>-84.350000000000051</v>
      </c>
      <c r="N146" s="7">
        <f t="shared" si="17"/>
        <v>-0.39395637756293511</v>
      </c>
    </row>
    <row r="147" spans="1:14" x14ac:dyDescent="0.25">
      <c r="A147" s="67" t="s">
        <v>213</v>
      </c>
      <c r="B147" s="68" t="s">
        <v>212</v>
      </c>
      <c r="C147" s="3">
        <v>0</v>
      </c>
      <c r="D147" s="13">
        <v>0</v>
      </c>
      <c r="E147" s="4">
        <v>0</v>
      </c>
      <c r="F147" s="13">
        <v>0</v>
      </c>
      <c r="G147" s="6"/>
      <c r="H147" s="4">
        <f t="shared" si="13"/>
        <v>0</v>
      </c>
      <c r="I147" s="11">
        <f t="shared" si="14"/>
        <v>0</v>
      </c>
      <c r="J147" s="4">
        <v>12</v>
      </c>
      <c r="K147" s="13">
        <v>199.66000000000003</v>
      </c>
      <c r="L147" s="4">
        <f t="shared" si="15"/>
        <v>-12</v>
      </c>
      <c r="M147" s="13">
        <f t="shared" si="16"/>
        <v>-199.66000000000003</v>
      </c>
      <c r="N147" s="7">
        <f t="shared" si="17"/>
        <v>-1</v>
      </c>
    </row>
    <row r="148" spans="1:14" x14ac:dyDescent="0.25">
      <c r="A148" s="67" t="s">
        <v>291</v>
      </c>
      <c r="B148" s="68" t="s">
        <v>290</v>
      </c>
      <c r="C148" s="3">
        <v>11</v>
      </c>
      <c r="D148" s="13">
        <v>249.45000000000002</v>
      </c>
      <c r="E148" s="4">
        <v>0</v>
      </c>
      <c r="F148" s="13">
        <v>0</v>
      </c>
      <c r="G148" s="6">
        <f t="shared" si="12"/>
        <v>0</v>
      </c>
      <c r="H148" s="4">
        <f t="shared" si="13"/>
        <v>11</v>
      </c>
      <c r="I148" s="11">
        <f t="shared" si="14"/>
        <v>249.45000000000002</v>
      </c>
      <c r="J148" s="4">
        <v>18</v>
      </c>
      <c r="K148" s="13">
        <v>442.16</v>
      </c>
      <c r="L148" s="4">
        <f t="shared" si="15"/>
        <v>-7</v>
      </c>
      <c r="M148" s="13">
        <f t="shared" si="16"/>
        <v>-192.71</v>
      </c>
      <c r="N148" s="7">
        <f t="shared" si="17"/>
        <v>-0.43583770580785236</v>
      </c>
    </row>
    <row r="149" spans="1:14" x14ac:dyDescent="0.25">
      <c r="A149" s="67" t="s">
        <v>187</v>
      </c>
      <c r="B149" s="68" t="s">
        <v>186</v>
      </c>
      <c r="C149" s="3">
        <v>6</v>
      </c>
      <c r="D149" s="13">
        <v>187.90000000000009</v>
      </c>
      <c r="E149" s="4">
        <v>0</v>
      </c>
      <c r="F149" s="13">
        <v>0</v>
      </c>
      <c r="G149" s="6">
        <f t="shared" si="12"/>
        <v>0</v>
      </c>
      <c r="H149" s="4">
        <f t="shared" si="13"/>
        <v>6</v>
      </c>
      <c r="I149" s="11">
        <f t="shared" si="14"/>
        <v>187.90000000000009</v>
      </c>
      <c r="J149" s="4">
        <v>27</v>
      </c>
      <c r="K149" s="13">
        <v>918.99999999999989</v>
      </c>
      <c r="L149" s="4">
        <f t="shared" si="15"/>
        <v>-21</v>
      </c>
      <c r="M149" s="13">
        <f t="shared" si="16"/>
        <v>-731.0999999999998</v>
      </c>
      <c r="N149" s="7">
        <f t="shared" si="17"/>
        <v>-0.79553862894450478</v>
      </c>
    </row>
    <row r="150" spans="1:14" x14ac:dyDescent="0.25">
      <c r="A150" s="67" t="s">
        <v>19</v>
      </c>
      <c r="B150" s="68" t="s">
        <v>18</v>
      </c>
      <c r="C150" s="3">
        <v>0</v>
      </c>
      <c r="D150" s="13">
        <v>0</v>
      </c>
      <c r="E150" s="4">
        <v>0</v>
      </c>
      <c r="F150" s="13">
        <v>0</v>
      </c>
      <c r="G150" s="6"/>
      <c r="H150" s="4">
        <f t="shared" si="13"/>
        <v>0</v>
      </c>
      <c r="I150" s="11">
        <f t="shared" si="14"/>
        <v>0</v>
      </c>
      <c r="J150" s="4">
        <v>6</v>
      </c>
      <c r="K150" s="13">
        <v>46.009999999999991</v>
      </c>
      <c r="L150" s="4">
        <f t="shared" si="15"/>
        <v>-6</v>
      </c>
      <c r="M150" s="13">
        <f t="shared" si="16"/>
        <v>-46.009999999999991</v>
      </c>
      <c r="N150" s="7">
        <f t="shared" si="17"/>
        <v>-1</v>
      </c>
    </row>
    <row r="151" spans="1:14" x14ac:dyDescent="0.25">
      <c r="A151" s="67" t="s">
        <v>473</v>
      </c>
      <c r="B151" s="68" t="s">
        <v>472</v>
      </c>
      <c r="C151" s="3">
        <v>0</v>
      </c>
      <c r="D151" s="13">
        <v>0</v>
      </c>
      <c r="E151" s="4">
        <v>0</v>
      </c>
      <c r="F151" s="13">
        <v>0</v>
      </c>
      <c r="G151" s="6"/>
      <c r="H151" s="4">
        <f t="shared" si="13"/>
        <v>0</v>
      </c>
      <c r="I151" s="11">
        <f t="shared" si="14"/>
        <v>0</v>
      </c>
      <c r="J151" s="4">
        <v>13</v>
      </c>
      <c r="K151" s="13">
        <v>175.98000000000002</v>
      </c>
      <c r="L151" s="4">
        <f t="shared" si="15"/>
        <v>-13</v>
      </c>
      <c r="M151" s="13">
        <f t="shared" si="16"/>
        <v>-175.98000000000002</v>
      </c>
      <c r="N151" s="7">
        <f t="shared" si="17"/>
        <v>-1</v>
      </c>
    </row>
    <row r="152" spans="1:14" x14ac:dyDescent="0.25">
      <c r="A152" s="67" t="s">
        <v>147</v>
      </c>
      <c r="B152" s="68" t="s">
        <v>146</v>
      </c>
      <c r="C152" s="3">
        <v>2</v>
      </c>
      <c r="D152" s="13">
        <v>12.900000000000006</v>
      </c>
      <c r="E152" s="4">
        <v>0</v>
      </c>
      <c r="F152" s="13">
        <v>0</v>
      </c>
      <c r="G152" s="6">
        <f t="shared" si="12"/>
        <v>0</v>
      </c>
      <c r="H152" s="4">
        <f t="shared" si="13"/>
        <v>2</v>
      </c>
      <c r="I152" s="11">
        <f t="shared" si="14"/>
        <v>12.900000000000006</v>
      </c>
      <c r="J152" s="4">
        <v>0</v>
      </c>
      <c r="K152" s="13">
        <v>0</v>
      </c>
      <c r="L152" s="4">
        <f t="shared" si="15"/>
        <v>2</v>
      </c>
      <c r="M152" s="13">
        <f t="shared" si="16"/>
        <v>12.900000000000006</v>
      </c>
      <c r="N152" s="7"/>
    </row>
    <row r="153" spans="1:14" x14ac:dyDescent="0.25">
      <c r="A153" s="67" t="s">
        <v>484</v>
      </c>
      <c r="B153" s="68" t="s">
        <v>483</v>
      </c>
      <c r="C153" s="3">
        <v>5</v>
      </c>
      <c r="D153" s="13">
        <v>89.15</v>
      </c>
      <c r="E153" s="4">
        <v>0</v>
      </c>
      <c r="F153" s="13">
        <v>0</v>
      </c>
      <c r="G153" s="6">
        <f t="shared" si="12"/>
        <v>0</v>
      </c>
      <c r="H153" s="4">
        <f t="shared" si="13"/>
        <v>5</v>
      </c>
      <c r="I153" s="11">
        <f t="shared" si="14"/>
        <v>89.15</v>
      </c>
      <c r="J153" s="4">
        <v>6</v>
      </c>
      <c r="K153" s="13">
        <v>123.06</v>
      </c>
      <c r="L153" s="4">
        <f t="shared" si="15"/>
        <v>-1</v>
      </c>
      <c r="M153" s="13">
        <f t="shared" si="16"/>
        <v>-33.909999999999997</v>
      </c>
      <c r="N153" s="7">
        <f t="shared" si="17"/>
        <v>-0.2755566390378677</v>
      </c>
    </row>
    <row r="154" spans="1:14" x14ac:dyDescent="0.25">
      <c r="A154" s="67" t="s">
        <v>51</v>
      </c>
      <c r="B154" s="68" t="s">
        <v>50</v>
      </c>
      <c r="C154" s="3">
        <v>10</v>
      </c>
      <c r="D154" s="13">
        <v>116.10999999999999</v>
      </c>
      <c r="E154" s="4">
        <v>0</v>
      </c>
      <c r="F154" s="13">
        <v>0</v>
      </c>
      <c r="G154" s="6">
        <f t="shared" si="12"/>
        <v>0</v>
      </c>
      <c r="H154" s="4">
        <f t="shared" si="13"/>
        <v>10</v>
      </c>
      <c r="I154" s="11">
        <f t="shared" si="14"/>
        <v>116.10999999999999</v>
      </c>
      <c r="J154" s="4">
        <v>6</v>
      </c>
      <c r="K154" s="13">
        <v>95.109999999999957</v>
      </c>
      <c r="L154" s="4">
        <f t="shared" si="15"/>
        <v>4</v>
      </c>
      <c r="M154" s="13">
        <f t="shared" si="16"/>
        <v>21.000000000000028</v>
      </c>
      <c r="N154" s="7">
        <f t="shared" si="17"/>
        <v>0.22079697192724254</v>
      </c>
    </row>
    <row r="155" spans="1:14" x14ac:dyDescent="0.25">
      <c r="A155" s="67" t="s">
        <v>644</v>
      </c>
      <c r="B155" s="68" t="s">
        <v>645</v>
      </c>
      <c r="C155" s="3">
        <v>0</v>
      </c>
      <c r="D155" s="13">
        <v>0</v>
      </c>
      <c r="E155" s="4">
        <v>0</v>
      </c>
      <c r="F155" s="13">
        <v>0</v>
      </c>
      <c r="G155" s="6"/>
      <c r="H155" s="4">
        <f t="shared" si="13"/>
        <v>0</v>
      </c>
      <c r="I155" s="11">
        <f t="shared" si="14"/>
        <v>0</v>
      </c>
      <c r="J155" s="4">
        <v>-4</v>
      </c>
      <c r="K155" s="13">
        <v>-20.47999999999999</v>
      </c>
      <c r="L155" s="4">
        <f t="shared" si="15"/>
        <v>4</v>
      </c>
      <c r="M155" s="13">
        <f t="shared" si="16"/>
        <v>20.47999999999999</v>
      </c>
      <c r="N155" s="7">
        <f t="shared" si="17"/>
        <v>1</v>
      </c>
    </row>
    <row r="156" spans="1:14" x14ac:dyDescent="0.25">
      <c r="A156" s="67" t="s">
        <v>650</v>
      </c>
      <c r="B156" s="68" t="s">
        <v>651</v>
      </c>
      <c r="C156" s="3">
        <v>0</v>
      </c>
      <c r="D156" s="13">
        <v>0</v>
      </c>
      <c r="E156" s="4">
        <v>0</v>
      </c>
      <c r="F156" s="13">
        <v>0</v>
      </c>
      <c r="G156" s="6"/>
      <c r="H156" s="4">
        <f t="shared" si="13"/>
        <v>0</v>
      </c>
      <c r="I156" s="11">
        <f t="shared" si="14"/>
        <v>0</v>
      </c>
      <c r="J156" s="4">
        <v>2</v>
      </c>
      <c r="K156" s="13">
        <v>143.11000000000001</v>
      </c>
      <c r="L156" s="4">
        <f t="shared" si="15"/>
        <v>-2</v>
      </c>
      <c r="M156" s="13">
        <f t="shared" si="16"/>
        <v>-143.11000000000001</v>
      </c>
      <c r="N156" s="7">
        <f t="shared" si="17"/>
        <v>-1</v>
      </c>
    </row>
    <row r="157" spans="1:14" x14ac:dyDescent="0.25">
      <c r="A157" s="67" t="s">
        <v>101</v>
      </c>
      <c r="B157" s="68" t="s">
        <v>100</v>
      </c>
      <c r="C157" s="3">
        <v>0</v>
      </c>
      <c r="D157" s="13">
        <v>0</v>
      </c>
      <c r="E157" s="4">
        <v>0</v>
      </c>
      <c r="F157" s="13">
        <v>0</v>
      </c>
      <c r="G157" s="6"/>
      <c r="H157" s="4">
        <f t="shared" si="13"/>
        <v>0</v>
      </c>
      <c r="I157" s="11">
        <f t="shared" si="14"/>
        <v>0</v>
      </c>
      <c r="J157" s="4">
        <v>4</v>
      </c>
      <c r="K157" s="13">
        <v>33</v>
      </c>
      <c r="L157" s="4">
        <f t="shared" si="15"/>
        <v>-4</v>
      </c>
      <c r="M157" s="13">
        <f t="shared" si="16"/>
        <v>-33</v>
      </c>
      <c r="N157" s="7">
        <f t="shared" si="17"/>
        <v>-1</v>
      </c>
    </row>
    <row r="158" spans="1:14" x14ac:dyDescent="0.25">
      <c r="A158" s="67" t="s">
        <v>353</v>
      </c>
      <c r="B158" s="68" t="s">
        <v>352</v>
      </c>
      <c r="C158" s="3">
        <v>0</v>
      </c>
      <c r="D158" s="13">
        <v>0</v>
      </c>
      <c r="E158" s="4">
        <v>0</v>
      </c>
      <c r="F158" s="13">
        <v>0</v>
      </c>
      <c r="G158" s="6"/>
      <c r="H158" s="4">
        <f t="shared" si="13"/>
        <v>0</v>
      </c>
      <c r="I158" s="11">
        <f t="shared" si="14"/>
        <v>0</v>
      </c>
      <c r="J158" s="4">
        <v>1</v>
      </c>
      <c r="K158" s="13">
        <v>60.97</v>
      </c>
      <c r="L158" s="4">
        <f t="shared" si="15"/>
        <v>-1</v>
      </c>
      <c r="M158" s="13">
        <f t="shared" si="16"/>
        <v>-60.97</v>
      </c>
      <c r="N158" s="7">
        <f t="shared" si="17"/>
        <v>-1</v>
      </c>
    </row>
    <row r="159" spans="1:14" x14ac:dyDescent="0.25">
      <c r="A159" s="67" t="s">
        <v>109</v>
      </c>
      <c r="B159" s="68" t="s">
        <v>108</v>
      </c>
      <c r="C159" s="3">
        <v>2</v>
      </c>
      <c r="D159" s="13">
        <v>183.2</v>
      </c>
      <c r="E159" s="4">
        <v>0</v>
      </c>
      <c r="F159" s="13">
        <v>0</v>
      </c>
      <c r="G159" s="6">
        <f t="shared" si="12"/>
        <v>0</v>
      </c>
      <c r="H159" s="4">
        <f t="shared" si="13"/>
        <v>2</v>
      </c>
      <c r="I159" s="11">
        <f t="shared" si="14"/>
        <v>183.2</v>
      </c>
      <c r="J159" s="4">
        <v>5</v>
      </c>
      <c r="K159" s="13">
        <v>307.46000000000004</v>
      </c>
      <c r="L159" s="4">
        <f t="shared" si="15"/>
        <v>-3</v>
      </c>
      <c r="M159" s="13">
        <f t="shared" si="16"/>
        <v>-124.26000000000005</v>
      </c>
      <c r="N159" s="7">
        <f t="shared" si="17"/>
        <v>-0.4041501333506799</v>
      </c>
    </row>
    <row r="160" spans="1:14" x14ac:dyDescent="0.25">
      <c r="A160" s="67" t="s">
        <v>546</v>
      </c>
      <c r="B160" s="68" t="s">
        <v>545</v>
      </c>
      <c r="C160" s="3">
        <v>211</v>
      </c>
      <c r="D160" s="13">
        <v>1582.1000000000001</v>
      </c>
      <c r="E160" s="4">
        <v>0</v>
      </c>
      <c r="F160" s="13">
        <v>0</v>
      </c>
      <c r="G160" s="6">
        <f t="shared" si="12"/>
        <v>0</v>
      </c>
      <c r="H160" s="4">
        <f t="shared" si="13"/>
        <v>211</v>
      </c>
      <c r="I160" s="11">
        <f t="shared" si="14"/>
        <v>1582.1000000000001</v>
      </c>
      <c r="J160" s="4">
        <v>207</v>
      </c>
      <c r="K160" s="13">
        <v>1703.6000000000001</v>
      </c>
      <c r="L160" s="4">
        <f t="shared" si="15"/>
        <v>4</v>
      </c>
      <c r="M160" s="13">
        <f t="shared" si="16"/>
        <v>-121.5</v>
      </c>
      <c r="N160" s="7">
        <f t="shared" si="17"/>
        <v>-7.1319558581826717E-2</v>
      </c>
    </row>
    <row r="161" spans="1:14" x14ac:dyDescent="0.25">
      <c r="A161" s="67" t="s">
        <v>572</v>
      </c>
      <c r="B161" s="68" t="s">
        <v>573</v>
      </c>
      <c r="C161" s="3">
        <v>0</v>
      </c>
      <c r="D161" s="13">
        <v>0</v>
      </c>
      <c r="E161" s="4">
        <v>0</v>
      </c>
      <c r="F161" s="13">
        <v>0</v>
      </c>
      <c r="G161" s="6"/>
      <c r="H161" s="4">
        <f t="shared" si="13"/>
        <v>0</v>
      </c>
      <c r="I161" s="11">
        <f t="shared" si="14"/>
        <v>0</v>
      </c>
      <c r="J161" s="4">
        <v>1</v>
      </c>
      <c r="K161" s="13">
        <v>119.51</v>
      </c>
      <c r="L161" s="4">
        <f t="shared" si="15"/>
        <v>-1</v>
      </c>
      <c r="M161" s="13">
        <f t="shared" si="16"/>
        <v>-119.51</v>
      </c>
      <c r="N161" s="7">
        <f t="shared" si="17"/>
        <v>-1</v>
      </c>
    </row>
    <row r="162" spans="1:14" x14ac:dyDescent="0.25">
      <c r="A162" s="67" t="s">
        <v>345</v>
      </c>
      <c r="B162" s="68" t="s">
        <v>344</v>
      </c>
      <c r="C162" s="3">
        <v>1</v>
      </c>
      <c r="D162" s="13">
        <v>50.34</v>
      </c>
      <c r="E162" s="4">
        <v>0</v>
      </c>
      <c r="F162" s="13">
        <v>0</v>
      </c>
      <c r="G162" s="6">
        <f t="shared" si="12"/>
        <v>0</v>
      </c>
      <c r="H162" s="4">
        <f t="shared" si="13"/>
        <v>1</v>
      </c>
      <c r="I162" s="11">
        <f t="shared" si="14"/>
        <v>50.34</v>
      </c>
      <c r="J162" s="4">
        <v>2</v>
      </c>
      <c r="K162" s="13">
        <v>112.12000000000003</v>
      </c>
      <c r="L162" s="4">
        <f t="shared" si="15"/>
        <v>-1</v>
      </c>
      <c r="M162" s="13">
        <f t="shared" si="16"/>
        <v>-61.78000000000003</v>
      </c>
      <c r="N162" s="7">
        <f t="shared" si="17"/>
        <v>-0.55101676774884067</v>
      </c>
    </row>
    <row r="163" spans="1:14" x14ac:dyDescent="0.25">
      <c r="A163" s="67" t="s">
        <v>169</v>
      </c>
      <c r="B163" s="68" t="s">
        <v>168</v>
      </c>
      <c r="C163" s="3">
        <v>24</v>
      </c>
      <c r="D163" s="13">
        <v>136.53000000000003</v>
      </c>
      <c r="E163" s="4">
        <v>0</v>
      </c>
      <c r="F163" s="13">
        <v>0</v>
      </c>
      <c r="G163" s="6">
        <f t="shared" si="12"/>
        <v>0</v>
      </c>
      <c r="H163" s="4">
        <f t="shared" si="13"/>
        <v>24</v>
      </c>
      <c r="I163" s="11">
        <f t="shared" si="14"/>
        <v>136.53000000000003</v>
      </c>
      <c r="J163" s="4">
        <v>6</v>
      </c>
      <c r="K163" s="13">
        <v>60.269999999999982</v>
      </c>
      <c r="L163" s="4">
        <f t="shared" si="15"/>
        <v>18</v>
      </c>
      <c r="M163" s="13">
        <f t="shared" si="16"/>
        <v>76.260000000000048</v>
      </c>
      <c r="N163" s="7">
        <f t="shared" si="17"/>
        <v>1.2653061224489808</v>
      </c>
    </row>
    <row r="164" spans="1:14" x14ac:dyDescent="0.25">
      <c r="A164" s="67" t="s">
        <v>550</v>
      </c>
      <c r="B164" s="68" t="s">
        <v>549</v>
      </c>
      <c r="C164" s="3">
        <v>51</v>
      </c>
      <c r="D164" s="13">
        <v>338.82000000000016</v>
      </c>
      <c r="E164" s="4">
        <v>0</v>
      </c>
      <c r="F164" s="13">
        <v>0</v>
      </c>
      <c r="G164" s="6">
        <f t="shared" si="12"/>
        <v>0</v>
      </c>
      <c r="H164" s="4">
        <f t="shared" si="13"/>
        <v>51</v>
      </c>
      <c r="I164" s="11">
        <f t="shared" si="14"/>
        <v>338.82000000000016</v>
      </c>
      <c r="J164" s="4">
        <v>104</v>
      </c>
      <c r="K164" s="13">
        <v>437.76</v>
      </c>
      <c r="L164" s="4">
        <f t="shared" si="15"/>
        <v>-53</v>
      </c>
      <c r="M164" s="13">
        <f t="shared" si="16"/>
        <v>-98.939999999999827</v>
      </c>
      <c r="N164" s="7">
        <f t="shared" si="17"/>
        <v>-0.22601425438596454</v>
      </c>
    </row>
    <row r="165" spans="1:14" x14ac:dyDescent="0.25">
      <c r="A165" s="67" t="s">
        <v>676</v>
      </c>
      <c r="B165" s="68" t="s">
        <v>677</v>
      </c>
      <c r="C165" s="3">
        <v>0</v>
      </c>
      <c r="D165" s="13">
        <v>0</v>
      </c>
      <c r="E165" s="4">
        <v>0</v>
      </c>
      <c r="F165" s="13">
        <v>0</v>
      </c>
      <c r="G165" s="6"/>
      <c r="H165" s="4">
        <f t="shared" si="13"/>
        <v>0</v>
      </c>
      <c r="I165" s="11">
        <f t="shared" si="14"/>
        <v>0</v>
      </c>
      <c r="J165" s="4">
        <v>-2</v>
      </c>
      <c r="K165" s="13">
        <v>-13.860000000000014</v>
      </c>
      <c r="L165" s="4">
        <f t="shared" si="15"/>
        <v>2</v>
      </c>
      <c r="M165" s="13">
        <f t="shared" si="16"/>
        <v>13.860000000000014</v>
      </c>
      <c r="N165" s="7">
        <f t="shared" si="17"/>
        <v>1</v>
      </c>
    </row>
    <row r="166" spans="1:14" x14ac:dyDescent="0.25">
      <c r="A166" s="67" t="s">
        <v>21</v>
      </c>
      <c r="B166" s="68" t="s">
        <v>20</v>
      </c>
      <c r="C166" s="3">
        <v>0</v>
      </c>
      <c r="D166" s="13">
        <v>0</v>
      </c>
      <c r="E166" s="4">
        <v>0</v>
      </c>
      <c r="F166" s="13">
        <v>0</v>
      </c>
      <c r="G166" s="6" t="e">
        <f t="shared" si="12"/>
        <v>#DIV/0!</v>
      </c>
      <c r="H166" s="4">
        <f t="shared" si="13"/>
        <v>0</v>
      </c>
      <c r="I166" s="11">
        <f t="shared" si="14"/>
        <v>0</v>
      </c>
      <c r="J166" s="4">
        <v>0</v>
      </c>
      <c r="K166" s="13">
        <v>0</v>
      </c>
      <c r="L166" s="4">
        <f t="shared" si="15"/>
        <v>0</v>
      </c>
      <c r="M166" s="13">
        <f t="shared" si="16"/>
        <v>0</v>
      </c>
      <c r="N166" s="7"/>
    </row>
    <row r="167" spans="1:14" x14ac:dyDescent="0.25">
      <c r="A167" s="67" t="s">
        <v>622</v>
      </c>
      <c r="B167" s="68" t="s">
        <v>623</v>
      </c>
      <c r="C167" s="3">
        <v>1</v>
      </c>
      <c r="D167" s="13">
        <v>20.92</v>
      </c>
      <c r="E167" s="4">
        <v>0</v>
      </c>
      <c r="F167" s="13">
        <v>0</v>
      </c>
      <c r="G167" s="6">
        <f t="shared" si="12"/>
        <v>0</v>
      </c>
      <c r="H167" s="4">
        <f t="shared" si="13"/>
        <v>1</v>
      </c>
      <c r="I167" s="11">
        <f t="shared" si="14"/>
        <v>20.92</v>
      </c>
      <c r="J167" s="4">
        <v>7</v>
      </c>
      <c r="K167" s="13">
        <v>121.98000000000002</v>
      </c>
      <c r="L167" s="4">
        <f t="shared" si="15"/>
        <v>-6</v>
      </c>
      <c r="M167" s="13">
        <f t="shared" si="16"/>
        <v>-101.06000000000002</v>
      </c>
      <c r="N167" s="7">
        <f t="shared" si="17"/>
        <v>-0.82849647483193967</v>
      </c>
    </row>
    <row r="168" spans="1:14" x14ac:dyDescent="0.25">
      <c r="A168" s="67" t="s">
        <v>775</v>
      </c>
      <c r="B168" s="68" t="s">
        <v>776</v>
      </c>
      <c r="C168" s="3">
        <v>0</v>
      </c>
      <c r="D168" s="13">
        <v>0</v>
      </c>
      <c r="E168" s="4">
        <v>0</v>
      </c>
      <c r="F168" s="13">
        <v>0</v>
      </c>
      <c r="G168" s="6"/>
      <c r="H168" s="4">
        <f t="shared" si="13"/>
        <v>0</v>
      </c>
      <c r="I168" s="11">
        <f t="shared" si="14"/>
        <v>0</v>
      </c>
      <c r="J168" s="4">
        <v>0</v>
      </c>
      <c r="K168" s="13">
        <v>0</v>
      </c>
      <c r="L168" s="4">
        <f t="shared" si="15"/>
        <v>0</v>
      </c>
      <c r="M168" s="13">
        <f t="shared" si="16"/>
        <v>0</v>
      </c>
      <c r="N168" s="7"/>
    </row>
    <row r="169" spans="1:14" x14ac:dyDescent="0.25">
      <c r="A169" s="67" t="s">
        <v>355</v>
      </c>
      <c r="B169" s="68" t="s">
        <v>354</v>
      </c>
      <c r="C169" s="3">
        <v>0</v>
      </c>
      <c r="D169" s="13">
        <v>0</v>
      </c>
      <c r="E169" s="4">
        <v>0</v>
      </c>
      <c r="F169" s="13">
        <v>0</v>
      </c>
      <c r="G169" s="6"/>
      <c r="H169" s="4">
        <f t="shared" si="13"/>
        <v>0</v>
      </c>
      <c r="I169" s="11">
        <f t="shared" si="14"/>
        <v>0</v>
      </c>
      <c r="J169" s="4">
        <v>0</v>
      </c>
      <c r="K169" s="13">
        <v>0</v>
      </c>
      <c r="L169" s="4">
        <f t="shared" si="15"/>
        <v>0</v>
      </c>
      <c r="M169" s="13">
        <f t="shared" si="16"/>
        <v>0</v>
      </c>
      <c r="N169" s="7"/>
    </row>
    <row r="170" spans="1:14" x14ac:dyDescent="0.25">
      <c r="A170" s="67" t="s">
        <v>580</v>
      </c>
      <c r="B170" s="68" t="s">
        <v>581</v>
      </c>
      <c r="C170" s="3">
        <v>0</v>
      </c>
      <c r="D170" s="13">
        <v>0</v>
      </c>
      <c r="E170" s="4">
        <v>0</v>
      </c>
      <c r="F170" s="13">
        <v>0</v>
      </c>
      <c r="G170" s="6" t="e">
        <f t="shared" si="12"/>
        <v>#DIV/0!</v>
      </c>
      <c r="H170" s="4">
        <f t="shared" si="13"/>
        <v>0</v>
      </c>
      <c r="I170" s="11">
        <f t="shared" si="14"/>
        <v>0</v>
      </c>
      <c r="J170" s="4">
        <v>-1</v>
      </c>
      <c r="K170" s="13">
        <v>-10.569999999999993</v>
      </c>
      <c r="L170" s="4">
        <f t="shared" si="15"/>
        <v>1</v>
      </c>
      <c r="M170" s="13">
        <f t="shared" si="16"/>
        <v>10.569999999999993</v>
      </c>
      <c r="N170" s="7">
        <f t="shared" si="17"/>
        <v>1</v>
      </c>
    </row>
    <row r="171" spans="1:14" x14ac:dyDescent="0.25">
      <c r="A171" s="67" t="s">
        <v>235</v>
      </c>
      <c r="B171" s="68" t="s">
        <v>234</v>
      </c>
      <c r="C171" s="3">
        <v>3</v>
      </c>
      <c r="D171" s="13">
        <v>15.09</v>
      </c>
      <c r="E171" s="4">
        <v>0</v>
      </c>
      <c r="F171" s="13">
        <v>0</v>
      </c>
      <c r="G171" s="6">
        <f t="shared" si="12"/>
        <v>0</v>
      </c>
      <c r="H171" s="4">
        <f t="shared" si="13"/>
        <v>3</v>
      </c>
      <c r="I171" s="11">
        <f t="shared" si="14"/>
        <v>15.09</v>
      </c>
      <c r="J171" s="4">
        <v>0</v>
      </c>
      <c r="K171" s="13">
        <v>0</v>
      </c>
      <c r="L171" s="4">
        <f t="shared" si="15"/>
        <v>3</v>
      </c>
      <c r="M171" s="13">
        <f t="shared" si="16"/>
        <v>15.09</v>
      </c>
      <c r="N171" s="7"/>
    </row>
    <row r="172" spans="1:14" x14ac:dyDescent="0.25">
      <c r="A172" s="67" t="s">
        <v>508</v>
      </c>
      <c r="B172" s="68" t="s">
        <v>507</v>
      </c>
      <c r="C172" s="3">
        <v>3</v>
      </c>
      <c r="D172" s="13">
        <v>9.7200000000000024</v>
      </c>
      <c r="E172" s="4">
        <v>0</v>
      </c>
      <c r="F172" s="13">
        <v>0</v>
      </c>
      <c r="G172" s="6">
        <f t="shared" si="12"/>
        <v>0</v>
      </c>
      <c r="H172" s="4">
        <f t="shared" si="13"/>
        <v>3</v>
      </c>
      <c r="I172" s="11">
        <f t="shared" si="14"/>
        <v>9.7200000000000024</v>
      </c>
      <c r="J172" s="4">
        <v>1</v>
      </c>
      <c r="K172" s="13">
        <v>4.9399999999999977</v>
      </c>
      <c r="L172" s="4">
        <f t="shared" si="15"/>
        <v>2</v>
      </c>
      <c r="M172" s="13">
        <f t="shared" si="16"/>
        <v>4.7800000000000047</v>
      </c>
      <c r="N172" s="7">
        <f t="shared" si="17"/>
        <v>0.96761133603239002</v>
      </c>
    </row>
    <row r="173" spans="1:14" x14ac:dyDescent="0.25">
      <c r="A173" s="67" t="s">
        <v>39</v>
      </c>
      <c r="B173" s="68" t="s">
        <v>38</v>
      </c>
      <c r="C173" s="3">
        <v>3</v>
      </c>
      <c r="D173" s="13">
        <v>67.2</v>
      </c>
      <c r="E173" s="4">
        <v>0</v>
      </c>
      <c r="F173" s="13">
        <v>0</v>
      </c>
      <c r="G173" s="6">
        <f t="shared" si="12"/>
        <v>0</v>
      </c>
      <c r="H173" s="4">
        <f t="shared" si="13"/>
        <v>3</v>
      </c>
      <c r="I173" s="11">
        <f t="shared" si="14"/>
        <v>67.2</v>
      </c>
      <c r="J173" s="4">
        <v>18</v>
      </c>
      <c r="K173" s="13">
        <v>706.79</v>
      </c>
      <c r="L173" s="4">
        <f t="shared" si="15"/>
        <v>-15</v>
      </c>
      <c r="M173" s="13">
        <f t="shared" si="16"/>
        <v>-639.58999999999992</v>
      </c>
      <c r="N173" s="7">
        <f t="shared" si="17"/>
        <v>-0.90492225413489147</v>
      </c>
    </row>
    <row r="174" spans="1:14" x14ac:dyDescent="0.25">
      <c r="A174" s="67" t="s">
        <v>65</v>
      </c>
      <c r="B174" s="68" t="s">
        <v>64</v>
      </c>
      <c r="C174" s="3">
        <v>0</v>
      </c>
      <c r="D174" s="13">
        <v>0</v>
      </c>
      <c r="E174" s="4">
        <v>0</v>
      </c>
      <c r="F174" s="13">
        <v>0</v>
      </c>
      <c r="G174" s="6"/>
      <c r="H174" s="4">
        <f t="shared" si="13"/>
        <v>0</v>
      </c>
      <c r="I174" s="11">
        <f t="shared" si="14"/>
        <v>0</v>
      </c>
      <c r="J174" s="4">
        <v>0</v>
      </c>
      <c r="K174" s="13">
        <v>0</v>
      </c>
      <c r="L174" s="4">
        <f t="shared" si="15"/>
        <v>0</v>
      </c>
      <c r="M174" s="13">
        <f t="shared" si="16"/>
        <v>0</v>
      </c>
      <c r="N174" s="7"/>
    </row>
    <row r="175" spans="1:14" x14ac:dyDescent="0.25">
      <c r="A175" s="67" t="s">
        <v>586</v>
      </c>
      <c r="B175" s="68" t="s">
        <v>587</v>
      </c>
      <c r="C175" s="3">
        <v>0</v>
      </c>
      <c r="D175" s="13">
        <v>0</v>
      </c>
      <c r="E175" s="4">
        <v>0</v>
      </c>
      <c r="F175" s="13">
        <v>0</v>
      </c>
      <c r="G175" s="6"/>
      <c r="H175" s="4">
        <f t="shared" si="13"/>
        <v>0</v>
      </c>
      <c r="I175" s="11">
        <f t="shared" si="14"/>
        <v>0</v>
      </c>
      <c r="J175" s="4">
        <v>2</v>
      </c>
      <c r="K175" s="13">
        <v>55.14</v>
      </c>
      <c r="L175" s="4">
        <f t="shared" si="15"/>
        <v>-2</v>
      </c>
      <c r="M175" s="13">
        <f t="shared" si="16"/>
        <v>-55.14</v>
      </c>
      <c r="N175" s="7">
        <f t="shared" si="17"/>
        <v>-1</v>
      </c>
    </row>
    <row r="176" spans="1:14" x14ac:dyDescent="0.25">
      <c r="A176" s="67" t="s">
        <v>17</v>
      </c>
      <c r="B176" s="68" t="s">
        <v>16</v>
      </c>
      <c r="C176" s="3">
        <v>2</v>
      </c>
      <c r="D176" s="13">
        <v>30.36</v>
      </c>
      <c r="E176" s="4">
        <v>0</v>
      </c>
      <c r="F176" s="13">
        <v>0</v>
      </c>
      <c r="G176" s="6">
        <f t="shared" si="12"/>
        <v>0</v>
      </c>
      <c r="H176" s="4">
        <f t="shared" si="13"/>
        <v>2</v>
      </c>
      <c r="I176" s="11">
        <f t="shared" si="14"/>
        <v>30.36</v>
      </c>
      <c r="J176" s="4">
        <v>3</v>
      </c>
      <c r="K176" s="13">
        <v>40.36999999999999</v>
      </c>
      <c r="L176" s="4">
        <f t="shared" si="15"/>
        <v>-1</v>
      </c>
      <c r="M176" s="13">
        <f t="shared" si="16"/>
        <v>-10.009999999999991</v>
      </c>
      <c r="N176" s="7">
        <f t="shared" si="17"/>
        <v>-0.2479564032697546</v>
      </c>
    </row>
    <row r="177" spans="1:14" x14ac:dyDescent="0.25">
      <c r="A177" s="67" t="s">
        <v>646</v>
      </c>
      <c r="B177" s="68" t="s">
        <v>647</v>
      </c>
      <c r="C177" s="3">
        <v>0</v>
      </c>
      <c r="D177" s="13">
        <v>0</v>
      </c>
      <c r="E177" s="4">
        <v>0</v>
      </c>
      <c r="F177" s="13">
        <v>0</v>
      </c>
      <c r="G177" s="6"/>
      <c r="H177" s="4">
        <f t="shared" si="13"/>
        <v>0</v>
      </c>
      <c r="I177" s="11">
        <f t="shared" si="14"/>
        <v>0</v>
      </c>
      <c r="J177" s="4">
        <v>2</v>
      </c>
      <c r="K177" s="13">
        <v>129.22</v>
      </c>
      <c r="L177" s="4">
        <f t="shared" si="15"/>
        <v>-2</v>
      </c>
      <c r="M177" s="13">
        <f t="shared" si="16"/>
        <v>-129.22</v>
      </c>
      <c r="N177" s="7">
        <f t="shared" si="17"/>
        <v>-1</v>
      </c>
    </row>
    <row r="178" spans="1:14" x14ac:dyDescent="0.25">
      <c r="A178" s="67" t="s">
        <v>257</v>
      </c>
      <c r="B178" s="68" t="s">
        <v>256</v>
      </c>
      <c r="C178" s="3">
        <v>5</v>
      </c>
      <c r="D178" s="13">
        <v>74.91</v>
      </c>
      <c r="E178" s="4">
        <v>0</v>
      </c>
      <c r="F178" s="13">
        <v>0</v>
      </c>
      <c r="G178" s="6">
        <f t="shared" si="12"/>
        <v>0</v>
      </c>
      <c r="H178" s="4">
        <f t="shared" si="13"/>
        <v>5</v>
      </c>
      <c r="I178" s="11">
        <f t="shared" si="14"/>
        <v>74.91</v>
      </c>
      <c r="J178" s="4">
        <v>8</v>
      </c>
      <c r="K178" s="13">
        <v>92.649999999999991</v>
      </c>
      <c r="L178" s="4">
        <f t="shared" si="15"/>
        <v>-3</v>
      </c>
      <c r="M178" s="13">
        <f t="shared" si="16"/>
        <v>-17.739999999999995</v>
      </c>
      <c r="N178" s="7">
        <f t="shared" si="17"/>
        <v>-0.19147328656233131</v>
      </c>
    </row>
    <row r="179" spans="1:14" x14ac:dyDescent="0.25">
      <c r="A179" s="67" t="s">
        <v>570</v>
      </c>
      <c r="B179" s="68" t="s">
        <v>569</v>
      </c>
      <c r="C179" s="3">
        <v>12</v>
      </c>
      <c r="D179" s="13">
        <v>508.32</v>
      </c>
      <c r="E179" s="4">
        <v>0</v>
      </c>
      <c r="F179" s="13">
        <v>0</v>
      </c>
      <c r="G179" s="6">
        <f t="shared" si="12"/>
        <v>0</v>
      </c>
      <c r="H179" s="4">
        <f t="shared" si="13"/>
        <v>12</v>
      </c>
      <c r="I179" s="11">
        <f t="shared" si="14"/>
        <v>508.32</v>
      </c>
      <c r="J179" s="4">
        <v>13</v>
      </c>
      <c r="K179" s="13">
        <v>563.81999999999994</v>
      </c>
      <c r="L179" s="4">
        <f t="shared" si="15"/>
        <v>-1</v>
      </c>
      <c r="M179" s="13">
        <f t="shared" si="16"/>
        <v>-55.499999999999943</v>
      </c>
      <c r="N179" s="7">
        <f t="shared" si="17"/>
        <v>-9.8435670958816557E-2</v>
      </c>
    </row>
    <row r="180" spans="1:14" x14ac:dyDescent="0.25">
      <c r="A180" s="67" t="s">
        <v>767</v>
      </c>
      <c r="B180" s="68" t="s">
        <v>768</v>
      </c>
      <c r="C180" s="3">
        <v>0</v>
      </c>
      <c r="D180" s="13">
        <v>0</v>
      </c>
      <c r="E180" s="4">
        <v>0</v>
      </c>
      <c r="F180" s="13">
        <v>0</v>
      </c>
      <c r="G180" s="6"/>
      <c r="H180" s="4">
        <f t="shared" si="13"/>
        <v>0</v>
      </c>
      <c r="I180" s="11">
        <f t="shared" si="14"/>
        <v>0</v>
      </c>
      <c r="J180" s="4">
        <v>0</v>
      </c>
      <c r="K180" s="13">
        <v>0</v>
      </c>
      <c r="L180" s="4">
        <f t="shared" si="15"/>
        <v>0</v>
      </c>
      <c r="M180" s="13">
        <f t="shared" si="16"/>
        <v>0</v>
      </c>
      <c r="N180" s="7"/>
    </row>
    <row r="181" spans="1:14" x14ac:dyDescent="0.25">
      <c r="A181" s="67" t="s">
        <v>684</v>
      </c>
      <c r="B181" s="68" t="s">
        <v>685</v>
      </c>
      <c r="C181" s="3">
        <v>0</v>
      </c>
      <c r="D181" s="13">
        <v>0</v>
      </c>
      <c r="E181" s="4">
        <v>0</v>
      </c>
      <c r="F181" s="13">
        <v>0</v>
      </c>
      <c r="G181" s="6"/>
      <c r="H181" s="4">
        <f t="shared" si="13"/>
        <v>0</v>
      </c>
      <c r="I181" s="11">
        <f t="shared" si="14"/>
        <v>0</v>
      </c>
      <c r="J181" s="4">
        <v>0</v>
      </c>
      <c r="K181" s="13">
        <v>0</v>
      </c>
      <c r="L181" s="4">
        <f t="shared" si="15"/>
        <v>0</v>
      </c>
      <c r="M181" s="13">
        <f t="shared" si="16"/>
        <v>0</v>
      </c>
      <c r="N181" s="7"/>
    </row>
    <row r="182" spans="1:14" x14ac:dyDescent="0.25">
      <c r="A182" s="67" t="s">
        <v>666</v>
      </c>
      <c r="B182" s="68" t="s">
        <v>667</v>
      </c>
      <c r="C182" s="3">
        <v>0</v>
      </c>
      <c r="D182" s="13">
        <v>0</v>
      </c>
      <c r="E182" s="4">
        <v>0</v>
      </c>
      <c r="F182" s="13">
        <v>0</v>
      </c>
      <c r="G182" s="6"/>
      <c r="H182" s="4">
        <f t="shared" si="13"/>
        <v>0</v>
      </c>
      <c r="I182" s="11">
        <f t="shared" si="14"/>
        <v>0</v>
      </c>
      <c r="J182" s="4">
        <v>0</v>
      </c>
      <c r="K182" s="13">
        <v>0</v>
      </c>
      <c r="L182" s="4">
        <f t="shared" si="15"/>
        <v>0</v>
      </c>
      <c r="M182" s="13">
        <f t="shared" si="16"/>
        <v>0</v>
      </c>
      <c r="N182" s="7"/>
    </row>
    <row r="183" spans="1:14" x14ac:dyDescent="0.25">
      <c r="A183" s="67" t="s">
        <v>612</v>
      </c>
      <c r="B183" s="68" t="s">
        <v>613</v>
      </c>
      <c r="C183" s="3">
        <v>0</v>
      </c>
      <c r="D183" s="13">
        <v>0</v>
      </c>
      <c r="E183" s="4">
        <v>0</v>
      </c>
      <c r="F183" s="13">
        <v>0</v>
      </c>
      <c r="G183" s="6"/>
      <c r="H183" s="4">
        <f t="shared" si="13"/>
        <v>0</v>
      </c>
      <c r="I183" s="11">
        <f t="shared" si="14"/>
        <v>0</v>
      </c>
      <c r="J183" s="4">
        <v>-1</v>
      </c>
      <c r="K183" s="13">
        <v>-25.859999999999992</v>
      </c>
      <c r="L183" s="4">
        <f t="shared" si="15"/>
        <v>1</v>
      </c>
      <c r="M183" s="13">
        <f t="shared" si="16"/>
        <v>25.859999999999992</v>
      </c>
      <c r="N183" s="7">
        <f t="shared" si="17"/>
        <v>1</v>
      </c>
    </row>
    <row r="184" spans="1:14" x14ac:dyDescent="0.25">
      <c r="A184" s="67" t="s">
        <v>131</v>
      </c>
      <c r="B184" s="68" t="s">
        <v>130</v>
      </c>
      <c r="C184" s="3">
        <v>1</v>
      </c>
      <c r="D184" s="13">
        <v>37.729999999999997</v>
      </c>
      <c r="E184" s="4">
        <v>0</v>
      </c>
      <c r="F184" s="13">
        <v>0</v>
      </c>
      <c r="G184" s="6">
        <f t="shared" si="12"/>
        <v>0</v>
      </c>
      <c r="H184" s="4">
        <f t="shared" si="13"/>
        <v>1</v>
      </c>
      <c r="I184" s="11">
        <f t="shared" si="14"/>
        <v>37.729999999999997</v>
      </c>
      <c r="J184" s="4">
        <v>3</v>
      </c>
      <c r="K184" s="13">
        <v>80.52</v>
      </c>
      <c r="L184" s="4">
        <f t="shared" si="15"/>
        <v>-2</v>
      </c>
      <c r="M184" s="13">
        <f t="shared" si="16"/>
        <v>-42.79</v>
      </c>
      <c r="N184" s="7">
        <f t="shared" si="17"/>
        <v>-0.53142076502732238</v>
      </c>
    </row>
    <row r="185" spans="1:14" x14ac:dyDescent="0.25">
      <c r="A185" s="67" t="s">
        <v>411</v>
      </c>
      <c r="B185" s="68" t="s">
        <v>410</v>
      </c>
      <c r="C185" s="3">
        <v>0</v>
      </c>
      <c r="D185" s="13">
        <v>0</v>
      </c>
      <c r="E185" s="4">
        <v>0</v>
      </c>
      <c r="F185" s="13">
        <v>0</v>
      </c>
      <c r="G185" s="6" t="e">
        <f t="shared" si="12"/>
        <v>#DIV/0!</v>
      </c>
      <c r="H185" s="4">
        <f t="shared" si="13"/>
        <v>0</v>
      </c>
      <c r="I185" s="11">
        <f t="shared" si="14"/>
        <v>0</v>
      </c>
      <c r="J185" s="4">
        <v>4</v>
      </c>
      <c r="K185" s="13">
        <v>32.860000000000014</v>
      </c>
      <c r="L185" s="4">
        <f t="shared" si="15"/>
        <v>-4</v>
      </c>
      <c r="M185" s="13">
        <f t="shared" si="16"/>
        <v>-32.860000000000014</v>
      </c>
      <c r="N185" s="7">
        <f t="shared" si="17"/>
        <v>-1</v>
      </c>
    </row>
    <row r="186" spans="1:14" x14ac:dyDescent="0.25">
      <c r="A186" s="67" t="s">
        <v>724</v>
      </c>
      <c r="B186" s="68" t="s">
        <v>725</v>
      </c>
      <c r="C186" s="3">
        <v>0</v>
      </c>
      <c r="D186" s="13">
        <v>0</v>
      </c>
      <c r="E186" s="4">
        <v>0</v>
      </c>
      <c r="F186" s="13">
        <v>0</v>
      </c>
      <c r="G186" s="6"/>
      <c r="H186" s="4">
        <f t="shared" si="13"/>
        <v>0</v>
      </c>
      <c r="I186" s="11">
        <f t="shared" si="14"/>
        <v>0</v>
      </c>
      <c r="J186" s="4">
        <v>1</v>
      </c>
      <c r="K186" s="13">
        <v>40.94</v>
      </c>
      <c r="L186" s="4">
        <f t="shared" si="15"/>
        <v>-1</v>
      </c>
      <c r="M186" s="13">
        <f t="shared" si="16"/>
        <v>-40.94</v>
      </c>
      <c r="N186" s="7">
        <f t="shared" si="17"/>
        <v>-1</v>
      </c>
    </row>
    <row r="187" spans="1:14" x14ac:dyDescent="0.25">
      <c r="A187" s="67" t="s">
        <v>672</v>
      </c>
      <c r="B187" s="68" t="s">
        <v>673</v>
      </c>
      <c r="C187" s="3">
        <v>0</v>
      </c>
      <c r="D187" s="13">
        <v>0</v>
      </c>
      <c r="E187" s="4">
        <v>0</v>
      </c>
      <c r="F187" s="13">
        <v>0</v>
      </c>
      <c r="G187" s="6"/>
      <c r="H187" s="4">
        <f t="shared" si="13"/>
        <v>0</v>
      </c>
      <c r="I187" s="11">
        <f t="shared" si="14"/>
        <v>0</v>
      </c>
      <c r="J187" s="4">
        <v>-4</v>
      </c>
      <c r="K187" s="13">
        <v>-64.919999999999987</v>
      </c>
      <c r="L187" s="4">
        <f t="shared" si="15"/>
        <v>4</v>
      </c>
      <c r="M187" s="13">
        <f t="shared" si="16"/>
        <v>64.919999999999987</v>
      </c>
      <c r="N187" s="7">
        <f t="shared" si="17"/>
        <v>1</v>
      </c>
    </row>
    <row r="188" spans="1:14" x14ac:dyDescent="0.25">
      <c r="A188" s="67" t="s">
        <v>658</v>
      </c>
      <c r="B188" s="68" t="s">
        <v>659</v>
      </c>
      <c r="C188" s="3">
        <v>0</v>
      </c>
      <c r="D188" s="13">
        <v>0</v>
      </c>
      <c r="E188" s="4">
        <v>0</v>
      </c>
      <c r="F188" s="13">
        <v>0</v>
      </c>
      <c r="G188" s="6"/>
      <c r="H188" s="4">
        <f t="shared" si="13"/>
        <v>0</v>
      </c>
      <c r="I188" s="11">
        <f t="shared" si="14"/>
        <v>0</v>
      </c>
      <c r="J188" s="4">
        <v>1</v>
      </c>
      <c r="K188" s="13">
        <v>32.979999999999997</v>
      </c>
      <c r="L188" s="4">
        <f t="shared" si="15"/>
        <v>-1</v>
      </c>
      <c r="M188" s="13">
        <f t="shared" si="16"/>
        <v>-32.979999999999997</v>
      </c>
      <c r="N188" s="7">
        <f t="shared" si="17"/>
        <v>-1</v>
      </c>
    </row>
    <row r="189" spans="1:14" x14ac:dyDescent="0.25">
      <c r="A189" s="67" t="s">
        <v>700</v>
      </c>
      <c r="B189" s="68" t="s">
        <v>701</v>
      </c>
      <c r="C189" s="3">
        <v>0</v>
      </c>
      <c r="D189" s="13">
        <v>0</v>
      </c>
      <c r="E189" s="4">
        <v>0</v>
      </c>
      <c r="F189" s="13">
        <v>0</v>
      </c>
      <c r="G189" s="6" t="e">
        <f t="shared" si="12"/>
        <v>#DIV/0!</v>
      </c>
      <c r="H189" s="4">
        <f t="shared" si="13"/>
        <v>0</v>
      </c>
      <c r="I189" s="11">
        <f t="shared" si="14"/>
        <v>0</v>
      </c>
      <c r="J189" s="4">
        <v>-1</v>
      </c>
      <c r="K189" s="13">
        <v>-31.89</v>
      </c>
      <c r="L189" s="4">
        <f t="shared" si="15"/>
        <v>1</v>
      </c>
      <c r="M189" s="13">
        <f t="shared" si="16"/>
        <v>31.89</v>
      </c>
      <c r="N189" s="7">
        <f t="shared" si="17"/>
        <v>1</v>
      </c>
    </row>
    <row r="190" spans="1:14" x14ac:dyDescent="0.25">
      <c r="A190" s="67" t="s">
        <v>751</v>
      </c>
      <c r="B190" s="68" t="s">
        <v>752</v>
      </c>
      <c r="C190" s="3">
        <v>0</v>
      </c>
      <c r="D190" s="13">
        <v>0</v>
      </c>
      <c r="E190" s="4">
        <v>0</v>
      </c>
      <c r="F190" s="13">
        <v>0</v>
      </c>
      <c r="G190" s="6"/>
      <c r="H190" s="4">
        <f t="shared" si="13"/>
        <v>0</v>
      </c>
      <c r="I190" s="11">
        <f t="shared" si="14"/>
        <v>0</v>
      </c>
      <c r="J190" s="4">
        <v>1</v>
      </c>
      <c r="K190" s="13">
        <v>31.23</v>
      </c>
      <c r="L190" s="4">
        <f t="shared" si="15"/>
        <v>-1</v>
      </c>
      <c r="M190" s="13">
        <f t="shared" si="16"/>
        <v>-31.23</v>
      </c>
      <c r="N190" s="7">
        <f t="shared" si="17"/>
        <v>-1</v>
      </c>
    </row>
    <row r="191" spans="1:14" x14ac:dyDescent="0.25">
      <c r="A191" s="67" t="s">
        <v>664</v>
      </c>
      <c r="B191" s="68" t="s">
        <v>665</v>
      </c>
      <c r="C191" s="3">
        <v>0</v>
      </c>
      <c r="D191" s="13">
        <v>0</v>
      </c>
      <c r="E191" s="4">
        <v>0</v>
      </c>
      <c r="F191" s="13">
        <v>0</v>
      </c>
      <c r="G191" s="6"/>
      <c r="H191" s="4">
        <f t="shared" si="13"/>
        <v>0</v>
      </c>
      <c r="I191" s="11">
        <f t="shared" si="14"/>
        <v>0</v>
      </c>
      <c r="J191" s="4">
        <v>1</v>
      </c>
      <c r="K191" s="13">
        <v>28.84</v>
      </c>
      <c r="L191" s="4">
        <f t="shared" si="15"/>
        <v>-1</v>
      </c>
      <c r="M191" s="13">
        <f t="shared" si="16"/>
        <v>-28.84</v>
      </c>
      <c r="N191" s="7">
        <f t="shared" si="17"/>
        <v>-1</v>
      </c>
    </row>
    <row r="192" spans="1:14" x14ac:dyDescent="0.25">
      <c r="A192" s="67" t="s">
        <v>706</v>
      </c>
      <c r="B192" s="68" t="s">
        <v>707</v>
      </c>
      <c r="C192" s="3">
        <v>0</v>
      </c>
      <c r="D192" s="13">
        <v>0</v>
      </c>
      <c r="E192" s="4">
        <v>0</v>
      </c>
      <c r="F192" s="13">
        <v>0</v>
      </c>
      <c r="G192" s="6"/>
      <c r="H192" s="4">
        <f t="shared" si="13"/>
        <v>0</v>
      </c>
      <c r="I192" s="11">
        <f t="shared" si="14"/>
        <v>0</v>
      </c>
      <c r="J192" s="4">
        <v>7</v>
      </c>
      <c r="K192" s="13">
        <v>28.66</v>
      </c>
      <c r="L192" s="4">
        <f t="shared" si="15"/>
        <v>-7</v>
      </c>
      <c r="M192" s="13">
        <f t="shared" si="16"/>
        <v>-28.66</v>
      </c>
      <c r="N192" s="7">
        <f t="shared" si="17"/>
        <v>-1</v>
      </c>
    </row>
    <row r="193" spans="1:14" x14ac:dyDescent="0.25">
      <c r="A193" s="67" t="s">
        <v>598</v>
      </c>
      <c r="B193" s="68" t="s">
        <v>599</v>
      </c>
      <c r="C193" s="3">
        <v>0</v>
      </c>
      <c r="D193" s="13">
        <v>0</v>
      </c>
      <c r="E193" s="4">
        <v>0</v>
      </c>
      <c r="F193" s="13">
        <v>0</v>
      </c>
      <c r="G193" s="6"/>
      <c r="H193" s="4">
        <f t="shared" si="13"/>
        <v>0</v>
      </c>
      <c r="I193" s="11">
        <f t="shared" si="14"/>
        <v>0</v>
      </c>
      <c r="J193" s="4">
        <v>0</v>
      </c>
      <c r="K193" s="13">
        <v>0</v>
      </c>
      <c r="L193" s="4">
        <f t="shared" si="15"/>
        <v>0</v>
      </c>
      <c r="M193" s="13">
        <f t="shared" si="16"/>
        <v>0</v>
      </c>
      <c r="N193" s="7"/>
    </row>
    <row r="194" spans="1:14" x14ac:dyDescent="0.25">
      <c r="A194" s="67" t="s">
        <v>281</v>
      </c>
      <c r="B194" s="68" t="s">
        <v>280</v>
      </c>
      <c r="C194" s="3">
        <v>7</v>
      </c>
      <c r="D194" s="13">
        <v>40.69</v>
      </c>
      <c r="E194" s="4">
        <v>0</v>
      </c>
      <c r="F194" s="13">
        <v>0</v>
      </c>
      <c r="G194" s="6">
        <f t="shared" si="12"/>
        <v>0</v>
      </c>
      <c r="H194" s="4">
        <f t="shared" si="13"/>
        <v>7</v>
      </c>
      <c r="I194" s="11">
        <f t="shared" si="14"/>
        <v>40.69</v>
      </c>
      <c r="J194" s="4">
        <v>9</v>
      </c>
      <c r="K194" s="13">
        <v>74.25</v>
      </c>
      <c r="L194" s="4">
        <f t="shared" si="15"/>
        <v>-2</v>
      </c>
      <c r="M194" s="13">
        <f t="shared" si="16"/>
        <v>-33.56</v>
      </c>
      <c r="N194" s="7">
        <f t="shared" si="17"/>
        <v>-0.45198653198653199</v>
      </c>
    </row>
    <row r="195" spans="1:14" x14ac:dyDescent="0.25">
      <c r="A195" s="67" t="s">
        <v>686</v>
      </c>
      <c r="B195" s="68" t="s">
        <v>687</v>
      </c>
      <c r="C195" s="3">
        <v>0</v>
      </c>
      <c r="D195" s="13">
        <v>0</v>
      </c>
      <c r="E195" s="4">
        <v>0</v>
      </c>
      <c r="F195" s="13">
        <v>0</v>
      </c>
      <c r="G195" s="6"/>
      <c r="H195" s="4">
        <f t="shared" ref="H195:H258" si="18">C195+E195</f>
        <v>0</v>
      </c>
      <c r="I195" s="11">
        <f t="shared" ref="I195:I258" si="19">D195+F195</f>
        <v>0</v>
      </c>
      <c r="J195" s="4">
        <v>1</v>
      </c>
      <c r="K195" s="13">
        <v>25.13</v>
      </c>
      <c r="L195" s="4">
        <f t="shared" ref="L195:L258" si="20">H195-J195</f>
        <v>-1</v>
      </c>
      <c r="M195" s="13">
        <f t="shared" ref="M195:M258" si="21">I195-K195</f>
        <v>-25.13</v>
      </c>
      <c r="N195" s="7">
        <f t="shared" ref="N195:N256" si="22">M195/ABS(K195)</f>
        <v>-1</v>
      </c>
    </row>
    <row r="196" spans="1:14" x14ac:dyDescent="0.25">
      <c r="A196" s="67" t="s">
        <v>777</v>
      </c>
      <c r="B196" s="68" t="s">
        <v>778</v>
      </c>
      <c r="C196" s="3">
        <v>0</v>
      </c>
      <c r="D196" s="13">
        <v>0</v>
      </c>
      <c r="E196" s="4">
        <v>0</v>
      </c>
      <c r="F196" s="13">
        <v>0</v>
      </c>
      <c r="G196" s="6"/>
      <c r="H196" s="4">
        <f t="shared" si="18"/>
        <v>0</v>
      </c>
      <c r="I196" s="11">
        <f t="shared" si="19"/>
        <v>0</v>
      </c>
      <c r="J196" s="4">
        <v>1</v>
      </c>
      <c r="K196" s="13">
        <v>24.92</v>
      </c>
      <c r="L196" s="4">
        <f t="shared" si="20"/>
        <v>-1</v>
      </c>
      <c r="M196" s="13">
        <f t="shared" si="21"/>
        <v>-24.92</v>
      </c>
      <c r="N196" s="7">
        <f t="shared" si="22"/>
        <v>-1</v>
      </c>
    </row>
    <row r="197" spans="1:14" x14ac:dyDescent="0.25">
      <c r="A197" s="67" t="s">
        <v>730</v>
      </c>
      <c r="B197" s="68" t="s">
        <v>731</v>
      </c>
      <c r="C197" s="3">
        <v>1</v>
      </c>
      <c r="D197" s="13">
        <v>24.71</v>
      </c>
      <c r="E197" s="4">
        <v>0</v>
      </c>
      <c r="F197" s="13">
        <v>0</v>
      </c>
      <c r="G197" s="6">
        <f t="shared" ref="G197:G258" si="23">F197/I197</f>
        <v>0</v>
      </c>
      <c r="H197" s="4">
        <f t="shared" si="18"/>
        <v>1</v>
      </c>
      <c r="I197" s="11">
        <f t="shared" si="19"/>
        <v>24.71</v>
      </c>
      <c r="J197" s="4">
        <v>2</v>
      </c>
      <c r="K197" s="13">
        <v>49.63</v>
      </c>
      <c r="L197" s="4">
        <f t="shared" si="20"/>
        <v>-1</v>
      </c>
      <c r="M197" s="13">
        <f t="shared" si="21"/>
        <v>-24.92</v>
      </c>
      <c r="N197" s="7">
        <f t="shared" si="22"/>
        <v>-0.50211565585331452</v>
      </c>
    </row>
    <row r="198" spans="1:14" x14ac:dyDescent="0.25">
      <c r="A198" s="67" t="s">
        <v>542</v>
      </c>
      <c r="B198" s="68" t="s">
        <v>541</v>
      </c>
      <c r="C198" s="3">
        <v>0</v>
      </c>
      <c r="D198" s="13">
        <v>0</v>
      </c>
      <c r="E198" s="4">
        <v>0</v>
      </c>
      <c r="F198" s="13">
        <v>0</v>
      </c>
      <c r="G198" s="6" t="e">
        <f t="shared" si="23"/>
        <v>#DIV/0!</v>
      </c>
      <c r="H198" s="4">
        <f t="shared" si="18"/>
        <v>0</v>
      </c>
      <c r="I198" s="11">
        <f t="shared" si="19"/>
        <v>0</v>
      </c>
      <c r="J198" s="4">
        <v>0</v>
      </c>
      <c r="K198" s="13">
        <v>0</v>
      </c>
      <c r="L198" s="4">
        <f t="shared" si="20"/>
        <v>0</v>
      </c>
      <c r="M198" s="13">
        <f t="shared" si="21"/>
        <v>0</v>
      </c>
      <c r="N198" s="7"/>
    </row>
    <row r="199" spans="1:14" x14ac:dyDescent="0.25">
      <c r="A199" s="67" t="s">
        <v>763</v>
      </c>
      <c r="B199" s="68" t="s">
        <v>764</v>
      </c>
      <c r="C199" s="3">
        <v>0</v>
      </c>
      <c r="D199" s="13">
        <v>0</v>
      </c>
      <c r="E199" s="4">
        <v>0</v>
      </c>
      <c r="F199" s="13">
        <v>0</v>
      </c>
      <c r="G199" s="6"/>
      <c r="H199" s="4">
        <f t="shared" si="18"/>
        <v>0</v>
      </c>
      <c r="I199" s="11">
        <f t="shared" si="19"/>
        <v>0</v>
      </c>
      <c r="J199" s="4">
        <v>0</v>
      </c>
      <c r="K199" s="13">
        <v>0</v>
      </c>
      <c r="L199" s="4">
        <f t="shared" si="20"/>
        <v>0</v>
      </c>
      <c r="M199" s="13">
        <f t="shared" si="21"/>
        <v>0</v>
      </c>
      <c r="N199" s="7"/>
    </row>
    <row r="200" spans="1:14" x14ac:dyDescent="0.25">
      <c r="A200" s="67" t="s">
        <v>13</v>
      </c>
      <c r="B200" s="68" t="s">
        <v>12</v>
      </c>
      <c r="C200" s="3">
        <v>2</v>
      </c>
      <c r="D200" s="13">
        <v>10.06</v>
      </c>
      <c r="E200" s="4">
        <v>0</v>
      </c>
      <c r="F200" s="13">
        <v>0</v>
      </c>
      <c r="G200" s="6">
        <f t="shared" si="23"/>
        <v>0</v>
      </c>
      <c r="H200" s="4">
        <f t="shared" si="18"/>
        <v>2</v>
      </c>
      <c r="I200" s="11">
        <f t="shared" si="19"/>
        <v>10.06</v>
      </c>
      <c r="J200" s="4">
        <v>4</v>
      </c>
      <c r="K200" s="13">
        <v>33.15</v>
      </c>
      <c r="L200" s="4">
        <f t="shared" si="20"/>
        <v>-2</v>
      </c>
      <c r="M200" s="13">
        <f t="shared" si="21"/>
        <v>-23.089999999999996</v>
      </c>
      <c r="N200" s="7">
        <f t="shared" si="22"/>
        <v>-0.69653092006033179</v>
      </c>
    </row>
    <row r="201" spans="1:14" x14ac:dyDescent="0.25">
      <c r="A201" s="67" t="s">
        <v>634</v>
      </c>
      <c r="B201" s="68" t="s">
        <v>635</v>
      </c>
      <c r="C201" s="3">
        <v>0</v>
      </c>
      <c r="D201" s="13">
        <v>0</v>
      </c>
      <c r="E201" s="4">
        <v>0</v>
      </c>
      <c r="F201" s="13">
        <v>0</v>
      </c>
      <c r="G201" s="6"/>
      <c r="H201" s="4">
        <f t="shared" si="18"/>
        <v>0</v>
      </c>
      <c r="I201" s="11">
        <f t="shared" si="19"/>
        <v>0</v>
      </c>
      <c r="J201" s="4">
        <v>1</v>
      </c>
      <c r="K201" s="13">
        <v>22.42</v>
      </c>
      <c r="L201" s="4">
        <f t="shared" si="20"/>
        <v>-1</v>
      </c>
      <c r="M201" s="13">
        <f t="shared" si="21"/>
        <v>-22.42</v>
      </c>
      <c r="N201" s="7">
        <f t="shared" si="22"/>
        <v>-1</v>
      </c>
    </row>
    <row r="202" spans="1:14" x14ac:dyDescent="0.25">
      <c r="A202" s="67" t="s">
        <v>638</v>
      </c>
      <c r="B202" s="68" t="s">
        <v>639</v>
      </c>
      <c r="C202" s="3">
        <v>0</v>
      </c>
      <c r="D202" s="13">
        <v>0</v>
      </c>
      <c r="E202" s="4">
        <v>0</v>
      </c>
      <c r="F202" s="13">
        <v>0</v>
      </c>
      <c r="G202" s="6"/>
      <c r="H202" s="4">
        <f t="shared" si="18"/>
        <v>0</v>
      </c>
      <c r="I202" s="11">
        <f t="shared" si="19"/>
        <v>0</v>
      </c>
      <c r="J202" s="4">
        <v>-1</v>
      </c>
      <c r="K202" s="13">
        <v>-19.34</v>
      </c>
      <c r="L202" s="4">
        <f t="shared" si="20"/>
        <v>1</v>
      </c>
      <c r="M202" s="13">
        <f t="shared" si="21"/>
        <v>19.34</v>
      </c>
      <c r="N202" s="7">
        <f t="shared" si="22"/>
        <v>1</v>
      </c>
    </row>
    <row r="203" spans="1:14" x14ac:dyDescent="0.25">
      <c r="A203" s="67" t="s">
        <v>514</v>
      </c>
      <c r="B203" s="68" t="s">
        <v>513</v>
      </c>
      <c r="C203" s="3">
        <v>1</v>
      </c>
      <c r="D203" s="13">
        <v>24.41</v>
      </c>
      <c r="E203" s="4">
        <v>0</v>
      </c>
      <c r="F203" s="13">
        <v>0</v>
      </c>
      <c r="G203" s="6">
        <f t="shared" si="23"/>
        <v>0</v>
      </c>
      <c r="H203" s="4">
        <f t="shared" si="18"/>
        <v>1</v>
      </c>
      <c r="I203" s="11">
        <f t="shared" si="19"/>
        <v>24.41</v>
      </c>
      <c r="J203" s="4">
        <v>3</v>
      </c>
      <c r="K203" s="13">
        <v>74.5</v>
      </c>
      <c r="L203" s="4">
        <f t="shared" si="20"/>
        <v>-2</v>
      </c>
      <c r="M203" s="13">
        <f t="shared" si="21"/>
        <v>-50.09</v>
      </c>
      <c r="N203" s="7">
        <f t="shared" si="22"/>
        <v>-0.67234899328859066</v>
      </c>
    </row>
    <row r="204" spans="1:14" x14ac:dyDescent="0.25">
      <c r="A204" s="67" t="s">
        <v>652</v>
      </c>
      <c r="B204" s="68" t="s">
        <v>653</v>
      </c>
      <c r="C204" s="3">
        <v>0</v>
      </c>
      <c r="D204" s="13">
        <v>0</v>
      </c>
      <c r="E204" s="4">
        <v>0</v>
      </c>
      <c r="F204" s="13">
        <v>0</v>
      </c>
      <c r="G204" s="6"/>
      <c r="H204" s="4">
        <f t="shared" si="18"/>
        <v>0</v>
      </c>
      <c r="I204" s="11">
        <f t="shared" si="19"/>
        <v>0</v>
      </c>
      <c r="J204" s="4">
        <v>0</v>
      </c>
      <c r="K204" s="13">
        <v>0</v>
      </c>
      <c r="L204" s="4">
        <f t="shared" si="20"/>
        <v>0</v>
      </c>
      <c r="M204" s="13">
        <f t="shared" si="21"/>
        <v>0</v>
      </c>
      <c r="N204" s="7"/>
    </row>
    <row r="205" spans="1:14" x14ac:dyDescent="0.25">
      <c r="A205" s="67" t="s">
        <v>614</v>
      </c>
      <c r="B205" s="68" t="s">
        <v>615</v>
      </c>
      <c r="C205" s="3">
        <v>0</v>
      </c>
      <c r="D205" s="13">
        <v>0</v>
      </c>
      <c r="E205" s="4">
        <v>0</v>
      </c>
      <c r="F205" s="13">
        <v>0</v>
      </c>
      <c r="G205" s="6"/>
      <c r="H205" s="4">
        <f t="shared" si="18"/>
        <v>0</v>
      </c>
      <c r="I205" s="11">
        <f t="shared" si="19"/>
        <v>0</v>
      </c>
      <c r="J205" s="4">
        <v>1</v>
      </c>
      <c r="K205" s="13">
        <v>18.93</v>
      </c>
      <c r="L205" s="4">
        <f t="shared" si="20"/>
        <v>-1</v>
      </c>
      <c r="M205" s="13">
        <f t="shared" si="21"/>
        <v>-18.93</v>
      </c>
      <c r="N205" s="7">
        <f t="shared" si="22"/>
        <v>-1</v>
      </c>
    </row>
    <row r="206" spans="1:14" x14ac:dyDescent="0.25">
      <c r="A206" s="67" t="s">
        <v>620</v>
      </c>
      <c r="B206" s="68" t="s">
        <v>621</v>
      </c>
      <c r="C206" s="3">
        <v>0</v>
      </c>
      <c r="D206" s="13">
        <v>0</v>
      </c>
      <c r="E206" s="4">
        <v>0</v>
      </c>
      <c r="F206" s="13">
        <v>0</v>
      </c>
      <c r="G206" s="6"/>
      <c r="H206" s="4">
        <f t="shared" si="18"/>
        <v>0</v>
      </c>
      <c r="I206" s="11">
        <f t="shared" si="19"/>
        <v>0</v>
      </c>
      <c r="J206" s="4">
        <v>1</v>
      </c>
      <c r="K206" s="13">
        <v>18.489999999999998</v>
      </c>
      <c r="L206" s="4">
        <f t="shared" si="20"/>
        <v>-1</v>
      </c>
      <c r="M206" s="13">
        <f t="shared" si="21"/>
        <v>-18.489999999999998</v>
      </c>
      <c r="N206" s="7">
        <f t="shared" si="22"/>
        <v>-1</v>
      </c>
    </row>
    <row r="207" spans="1:14" x14ac:dyDescent="0.25">
      <c r="A207" s="67" t="s">
        <v>582</v>
      </c>
      <c r="B207" s="68" t="s">
        <v>583</v>
      </c>
      <c r="C207" s="3">
        <v>0</v>
      </c>
      <c r="D207" s="13">
        <v>0</v>
      </c>
      <c r="E207" s="4">
        <v>0</v>
      </c>
      <c r="F207" s="13">
        <v>0</v>
      </c>
      <c r="G207" s="6"/>
      <c r="H207" s="4">
        <f t="shared" si="18"/>
        <v>0</v>
      </c>
      <c r="I207" s="11">
        <f t="shared" si="19"/>
        <v>0</v>
      </c>
      <c r="J207" s="4">
        <v>1</v>
      </c>
      <c r="K207" s="13">
        <v>17.07</v>
      </c>
      <c r="L207" s="4">
        <f t="shared" si="20"/>
        <v>-1</v>
      </c>
      <c r="M207" s="13">
        <f t="shared" si="21"/>
        <v>-17.07</v>
      </c>
      <c r="N207" s="7">
        <f t="shared" si="22"/>
        <v>-1</v>
      </c>
    </row>
    <row r="208" spans="1:14" x14ac:dyDescent="0.25">
      <c r="A208" s="67" t="s">
        <v>600</v>
      </c>
      <c r="B208" s="68" t="s">
        <v>601</v>
      </c>
      <c r="C208" s="3">
        <v>0</v>
      </c>
      <c r="D208" s="13">
        <v>0</v>
      </c>
      <c r="E208" s="4">
        <v>0</v>
      </c>
      <c r="F208" s="13">
        <v>0</v>
      </c>
      <c r="G208" s="6"/>
      <c r="H208" s="4">
        <f t="shared" si="18"/>
        <v>0</v>
      </c>
      <c r="I208" s="11">
        <f t="shared" si="19"/>
        <v>0</v>
      </c>
      <c r="J208" s="4">
        <v>1</v>
      </c>
      <c r="K208" s="13">
        <v>16.72</v>
      </c>
      <c r="L208" s="4">
        <f t="shared" si="20"/>
        <v>-1</v>
      </c>
      <c r="M208" s="13">
        <f t="shared" si="21"/>
        <v>-16.72</v>
      </c>
      <c r="N208" s="7">
        <f t="shared" si="22"/>
        <v>-1</v>
      </c>
    </row>
    <row r="209" spans="1:14" x14ac:dyDescent="0.25">
      <c r="A209" s="67" t="s">
        <v>363</v>
      </c>
      <c r="B209" s="68" t="s">
        <v>362</v>
      </c>
      <c r="C209" s="3">
        <v>7</v>
      </c>
      <c r="D209" s="13">
        <v>76.239999999999995</v>
      </c>
      <c r="E209" s="4">
        <v>0</v>
      </c>
      <c r="F209" s="13">
        <v>0</v>
      </c>
      <c r="G209" s="6">
        <f t="shared" si="23"/>
        <v>0</v>
      </c>
      <c r="H209" s="4">
        <f t="shared" si="18"/>
        <v>7</v>
      </c>
      <c r="I209" s="11">
        <f t="shared" si="19"/>
        <v>76.239999999999995</v>
      </c>
      <c r="J209" s="4">
        <v>7</v>
      </c>
      <c r="K209" s="13">
        <v>88.56</v>
      </c>
      <c r="L209" s="4">
        <f t="shared" si="20"/>
        <v>0</v>
      </c>
      <c r="M209" s="13">
        <f t="shared" si="21"/>
        <v>-12.320000000000007</v>
      </c>
      <c r="N209" s="7">
        <f t="shared" si="22"/>
        <v>-0.13911472448057821</v>
      </c>
    </row>
    <row r="210" spans="1:14" x14ac:dyDescent="0.25">
      <c r="A210" s="67" t="s">
        <v>628</v>
      </c>
      <c r="B210" s="68" t="s">
        <v>629</v>
      </c>
      <c r="C210" s="3">
        <v>0</v>
      </c>
      <c r="D210" s="13">
        <v>0</v>
      </c>
      <c r="E210" s="4">
        <v>0</v>
      </c>
      <c r="F210" s="13">
        <v>0</v>
      </c>
      <c r="G210" s="6"/>
      <c r="H210" s="4">
        <f t="shared" si="18"/>
        <v>0</v>
      </c>
      <c r="I210" s="11">
        <f t="shared" si="19"/>
        <v>0</v>
      </c>
      <c r="J210" s="4">
        <v>1</v>
      </c>
      <c r="K210" s="13">
        <v>13.06</v>
      </c>
      <c r="L210" s="4">
        <f t="shared" si="20"/>
        <v>-1</v>
      </c>
      <c r="M210" s="13">
        <f t="shared" si="21"/>
        <v>-13.06</v>
      </c>
      <c r="N210" s="7">
        <f t="shared" si="22"/>
        <v>-1</v>
      </c>
    </row>
    <row r="211" spans="1:14" x14ac:dyDescent="0.25">
      <c r="A211" s="67" t="s">
        <v>486</v>
      </c>
      <c r="B211" s="68" t="s">
        <v>485</v>
      </c>
      <c r="C211" s="3">
        <v>0</v>
      </c>
      <c r="D211" s="13">
        <v>0</v>
      </c>
      <c r="E211" s="4">
        <v>0</v>
      </c>
      <c r="F211" s="13">
        <v>0</v>
      </c>
      <c r="G211" s="6"/>
      <c r="H211" s="4">
        <f t="shared" si="18"/>
        <v>0</v>
      </c>
      <c r="I211" s="11">
        <f t="shared" si="19"/>
        <v>0</v>
      </c>
      <c r="J211" s="4">
        <v>1</v>
      </c>
      <c r="K211" s="13">
        <v>9.86</v>
      </c>
      <c r="L211" s="4">
        <f t="shared" si="20"/>
        <v>-1</v>
      </c>
      <c r="M211" s="13">
        <f t="shared" si="21"/>
        <v>-9.86</v>
      </c>
      <c r="N211" s="7">
        <f t="shared" si="22"/>
        <v>-1</v>
      </c>
    </row>
    <row r="212" spans="1:14" x14ac:dyDescent="0.25">
      <c r="A212" s="67" t="s">
        <v>578</v>
      </c>
      <c r="B212" s="68" t="s">
        <v>579</v>
      </c>
      <c r="C212" s="3">
        <v>0</v>
      </c>
      <c r="D212" s="13">
        <v>0</v>
      </c>
      <c r="E212" s="4">
        <v>0</v>
      </c>
      <c r="F212" s="13">
        <v>0</v>
      </c>
      <c r="G212" s="6" t="e">
        <f t="shared" si="23"/>
        <v>#DIV/0!</v>
      </c>
      <c r="H212" s="4">
        <f t="shared" si="18"/>
        <v>0</v>
      </c>
      <c r="I212" s="11">
        <f t="shared" si="19"/>
        <v>0</v>
      </c>
      <c r="J212" s="4">
        <v>-5</v>
      </c>
      <c r="K212" s="13">
        <v>-92.589999999999989</v>
      </c>
      <c r="L212" s="4">
        <f t="shared" si="20"/>
        <v>5</v>
      </c>
      <c r="M212" s="13">
        <f t="shared" si="21"/>
        <v>92.589999999999989</v>
      </c>
      <c r="N212" s="7">
        <f t="shared" si="22"/>
        <v>1</v>
      </c>
    </row>
    <row r="213" spans="1:14" x14ac:dyDescent="0.25">
      <c r="A213" s="67" t="s">
        <v>714</v>
      </c>
      <c r="B213" s="68" t="s">
        <v>715</v>
      </c>
      <c r="C213" s="3">
        <v>0</v>
      </c>
      <c r="D213" s="13">
        <v>0</v>
      </c>
      <c r="E213" s="4">
        <v>0</v>
      </c>
      <c r="F213" s="13">
        <v>0</v>
      </c>
      <c r="G213" s="6"/>
      <c r="H213" s="4">
        <f t="shared" si="18"/>
        <v>0</v>
      </c>
      <c r="I213" s="11">
        <f t="shared" si="19"/>
        <v>0</v>
      </c>
      <c r="J213" s="4">
        <v>-1</v>
      </c>
      <c r="K213" s="13">
        <v>-8.11</v>
      </c>
      <c r="L213" s="4">
        <f t="shared" si="20"/>
        <v>1</v>
      </c>
      <c r="M213" s="13">
        <f t="shared" si="21"/>
        <v>8.11</v>
      </c>
      <c r="N213" s="7">
        <f t="shared" si="22"/>
        <v>1</v>
      </c>
    </row>
    <row r="214" spans="1:14" x14ac:dyDescent="0.25">
      <c r="A214" s="67" t="s">
        <v>718</v>
      </c>
      <c r="B214" s="68" t="s">
        <v>719</v>
      </c>
      <c r="C214" s="3">
        <v>0</v>
      </c>
      <c r="D214" s="13">
        <v>0</v>
      </c>
      <c r="E214" s="4">
        <v>0</v>
      </c>
      <c r="F214" s="13">
        <v>0</v>
      </c>
      <c r="G214" s="6"/>
      <c r="H214" s="4">
        <f t="shared" si="18"/>
        <v>0</v>
      </c>
      <c r="I214" s="11">
        <f t="shared" si="19"/>
        <v>0</v>
      </c>
      <c r="J214" s="4">
        <v>1</v>
      </c>
      <c r="K214" s="13">
        <v>7.86</v>
      </c>
      <c r="L214" s="4">
        <f t="shared" si="20"/>
        <v>-1</v>
      </c>
      <c r="M214" s="13">
        <f t="shared" si="21"/>
        <v>-7.86</v>
      </c>
      <c r="N214" s="7">
        <f t="shared" si="22"/>
        <v>-1</v>
      </c>
    </row>
    <row r="215" spans="1:14" x14ac:dyDescent="0.25">
      <c r="A215" s="67" t="s">
        <v>199</v>
      </c>
      <c r="B215" s="68" t="s">
        <v>198</v>
      </c>
      <c r="C215" s="3">
        <v>2</v>
      </c>
      <c r="D215" s="13">
        <v>148.86000000000001</v>
      </c>
      <c r="E215" s="4">
        <v>0</v>
      </c>
      <c r="F215" s="13">
        <v>0</v>
      </c>
      <c r="G215" s="6">
        <f t="shared" si="23"/>
        <v>0</v>
      </c>
      <c r="H215" s="4">
        <f t="shared" si="18"/>
        <v>2</v>
      </c>
      <c r="I215" s="11">
        <f t="shared" si="19"/>
        <v>148.86000000000001</v>
      </c>
      <c r="J215" s="4">
        <v>2</v>
      </c>
      <c r="K215" s="13">
        <v>155.96</v>
      </c>
      <c r="L215" s="4">
        <f t="shared" si="20"/>
        <v>0</v>
      </c>
      <c r="M215" s="13">
        <f t="shared" si="21"/>
        <v>-7.0999999999999943</v>
      </c>
      <c r="N215" s="7">
        <f t="shared" si="22"/>
        <v>-4.5524493459861468E-2</v>
      </c>
    </row>
    <row r="216" spans="1:14" x14ac:dyDescent="0.25">
      <c r="A216" s="67" t="s">
        <v>753</v>
      </c>
      <c r="B216" s="68" t="s">
        <v>754</v>
      </c>
      <c r="C216" s="3">
        <v>0</v>
      </c>
      <c r="D216" s="13">
        <v>0</v>
      </c>
      <c r="E216" s="4">
        <v>0</v>
      </c>
      <c r="F216" s="13">
        <v>0</v>
      </c>
      <c r="G216" s="6"/>
      <c r="H216" s="4">
        <f t="shared" si="18"/>
        <v>0</v>
      </c>
      <c r="I216" s="11">
        <f t="shared" si="19"/>
        <v>0</v>
      </c>
      <c r="J216" s="4">
        <v>1</v>
      </c>
      <c r="K216" s="13">
        <v>5.54</v>
      </c>
      <c r="L216" s="4">
        <f t="shared" si="20"/>
        <v>-1</v>
      </c>
      <c r="M216" s="13">
        <f t="shared" si="21"/>
        <v>-5.54</v>
      </c>
      <c r="N216" s="7">
        <f t="shared" si="22"/>
        <v>-1</v>
      </c>
    </row>
    <row r="217" spans="1:14" x14ac:dyDescent="0.25">
      <c r="A217" s="67" t="s">
        <v>117</v>
      </c>
      <c r="B217" s="68" t="s">
        <v>116</v>
      </c>
      <c r="C217" s="3">
        <v>2</v>
      </c>
      <c r="D217" s="13">
        <v>109.8</v>
      </c>
      <c r="E217" s="4">
        <v>0</v>
      </c>
      <c r="F217" s="13">
        <v>0</v>
      </c>
      <c r="G217" s="6">
        <f t="shared" si="23"/>
        <v>0</v>
      </c>
      <c r="H217" s="4">
        <f t="shared" si="18"/>
        <v>2</v>
      </c>
      <c r="I217" s="11">
        <f t="shared" si="19"/>
        <v>109.8</v>
      </c>
      <c r="J217" s="4">
        <v>2</v>
      </c>
      <c r="K217" s="13">
        <v>115.25</v>
      </c>
      <c r="L217" s="4">
        <f t="shared" si="20"/>
        <v>0</v>
      </c>
      <c r="M217" s="13">
        <f t="shared" si="21"/>
        <v>-5.4500000000000028</v>
      </c>
      <c r="N217" s="7">
        <f t="shared" si="22"/>
        <v>-4.7288503253796119E-2</v>
      </c>
    </row>
    <row r="218" spans="1:14" x14ac:dyDescent="0.25">
      <c r="A218" s="67" t="s">
        <v>115</v>
      </c>
      <c r="B218" s="68" t="s">
        <v>114</v>
      </c>
      <c r="C218" s="3">
        <v>2</v>
      </c>
      <c r="D218" s="13">
        <v>66.5</v>
      </c>
      <c r="E218" s="4">
        <v>0</v>
      </c>
      <c r="F218" s="13">
        <v>0</v>
      </c>
      <c r="G218" s="6">
        <f t="shared" si="23"/>
        <v>0</v>
      </c>
      <c r="H218" s="4">
        <f t="shared" si="18"/>
        <v>2</v>
      </c>
      <c r="I218" s="11">
        <f t="shared" si="19"/>
        <v>66.5</v>
      </c>
      <c r="J218" s="4">
        <v>2</v>
      </c>
      <c r="K218" s="13">
        <v>71.099999999999994</v>
      </c>
      <c r="L218" s="4">
        <f t="shared" si="20"/>
        <v>0</v>
      </c>
      <c r="M218" s="13">
        <f t="shared" si="21"/>
        <v>-4.5999999999999943</v>
      </c>
      <c r="N218" s="7">
        <f t="shared" si="22"/>
        <v>-6.4697609001406392E-2</v>
      </c>
    </row>
    <row r="219" spans="1:14" x14ac:dyDescent="0.25">
      <c r="A219" s="67" t="s">
        <v>678</v>
      </c>
      <c r="B219" s="68" t="s">
        <v>679</v>
      </c>
      <c r="C219" s="3">
        <v>-1</v>
      </c>
      <c r="D219" s="13">
        <v>-4.3600000000000003</v>
      </c>
      <c r="E219" s="4">
        <v>0</v>
      </c>
      <c r="F219" s="13">
        <v>0</v>
      </c>
      <c r="G219" s="6">
        <f t="shared" si="23"/>
        <v>0</v>
      </c>
      <c r="H219" s="4">
        <f t="shared" si="18"/>
        <v>-1</v>
      </c>
      <c r="I219" s="11">
        <f t="shared" si="19"/>
        <v>-4.3600000000000003</v>
      </c>
      <c r="J219" s="4">
        <v>0</v>
      </c>
      <c r="K219" s="13">
        <v>0</v>
      </c>
      <c r="L219" s="4">
        <f t="shared" si="20"/>
        <v>-1</v>
      </c>
      <c r="M219" s="13">
        <f t="shared" si="21"/>
        <v>-4.3600000000000003</v>
      </c>
      <c r="N219" s="7"/>
    </row>
    <row r="220" spans="1:14" x14ac:dyDescent="0.25">
      <c r="A220" s="67" t="s">
        <v>315</v>
      </c>
      <c r="B220" s="68" t="s">
        <v>314</v>
      </c>
      <c r="C220" s="3">
        <v>40</v>
      </c>
      <c r="D220" s="13">
        <v>0</v>
      </c>
      <c r="E220" s="4">
        <v>0</v>
      </c>
      <c r="F220" s="13">
        <v>0</v>
      </c>
      <c r="G220" s="6" t="e">
        <f t="shared" si="23"/>
        <v>#DIV/0!</v>
      </c>
      <c r="H220" s="4">
        <f t="shared" si="18"/>
        <v>40</v>
      </c>
      <c r="I220" s="11">
        <f t="shared" si="19"/>
        <v>0</v>
      </c>
      <c r="J220" s="4">
        <v>0</v>
      </c>
      <c r="K220" s="13">
        <v>0</v>
      </c>
      <c r="L220" s="4">
        <f t="shared" si="20"/>
        <v>40</v>
      </c>
      <c r="M220" s="13">
        <f t="shared" si="21"/>
        <v>0</v>
      </c>
      <c r="N220" s="7"/>
    </row>
    <row r="221" spans="1:14" x14ac:dyDescent="0.25">
      <c r="A221" s="67" t="s">
        <v>670</v>
      </c>
      <c r="B221" s="68" t="s">
        <v>671</v>
      </c>
      <c r="C221" s="3">
        <v>0</v>
      </c>
      <c r="D221" s="13">
        <v>0</v>
      </c>
      <c r="E221" s="4">
        <v>0</v>
      </c>
      <c r="F221" s="13">
        <v>0</v>
      </c>
      <c r="G221" s="6"/>
      <c r="H221" s="4">
        <f t="shared" si="18"/>
        <v>0</v>
      </c>
      <c r="I221" s="11">
        <f t="shared" si="19"/>
        <v>0</v>
      </c>
      <c r="J221" s="4">
        <v>0</v>
      </c>
      <c r="K221" s="13">
        <v>7.0000000000000284E-2</v>
      </c>
      <c r="L221" s="4">
        <f t="shared" si="20"/>
        <v>0</v>
      </c>
      <c r="M221" s="13">
        <f t="shared" si="21"/>
        <v>-7.0000000000000284E-2</v>
      </c>
      <c r="N221" s="7">
        <f t="shared" si="22"/>
        <v>-1</v>
      </c>
    </row>
    <row r="222" spans="1:14" x14ac:dyDescent="0.25">
      <c r="A222" s="67" t="s">
        <v>747</v>
      </c>
      <c r="B222" s="68" t="s">
        <v>748</v>
      </c>
      <c r="C222" s="3">
        <v>0</v>
      </c>
      <c r="D222" s="13">
        <v>0</v>
      </c>
      <c r="E222" s="4">
        <v>0</v>
      </c>
      <c r="F222" s="13">
        <v>0</v>
      </c>
      <c r="G222" s="6"/>
      <c r="H222" s="4">
        <f t="shared" si="18"/>
        <v>0</v>
      </c>
      <c r="I222" s="11">
        <f t="shared" si="19"/>
        <v>0</v>
      </c>
      <c r="J222" s="4">
        <v>0</v>
      </c>
      <c r="K222" s="13">
        <v>0</v>
      </c>
      <c r="L222" s="4">
        <f t="shared" si="20"/>
        <v>0</v>
      </c>
      <c r="M222" s="13">
        <f t="shared" si="21"/>
        <v>0</v>
      </c>
      <c r="N222" s="7"/>
    </row>
    <row r="223" spans="1:14" x14ac:dyDescent="0.25">
      <c r="A223" s="67" t="s">
        <v>554</v>
      </c>
      <c r="B223" s="68" t="s">
        <v>553</v>
      </c>
      <c r="C223" s="3">
        <v>0</v>
      </c>
      <c r="D223" s="13">
        <v>0</v>
      </c>
      <c r="E223" s="4">
        <v>0</v>
      </c>
      <c r="F223" s="13">
        <v>0</v>
      </c>
      <c r="G223" s="6"/>
      <c r="H223" s="4">
        <f t="shared" si="18"/>
        <v>0</v>
      </c>
      <c r="I223" s="11">
        <f t="shared" si="19"/>
        <v>0</v>
      </c>
      <c r="J223" s="4">
        <v>0</v>
      </c>
      <c r="K223" s="13">
        <v>0</v>
      </c>
      <c r="L223" s="4">
        <f t="shared" si="20"/>
        <v>0</v>
      </c>
      <c r="M223" s="13">
        <f t="shared" si="21"/>
        <v>0</v>
      </c>
      <c r="N223" s="7"/>
    </row>
    <row r="224" spans="1:14" x14ac:dyDescent="0.25">
      <c r="A224" s="67" t="s">
        <v>616</v>
      </c>
      <c r="B224" s="68" t="s">
        <v>617</v>
      </c>
      <c r="C224" s="3">
        <v>0</v>
      </c>
      <c r="D224" s="13">
        <v>0</v>
      </c>
      <c r="E224" s="4">
        <v>0</v>
      </c>
      <c r="F224" s="13">
        <v>0</v>
      </c>
      <c r="G224" s="6"/>
      <c r="H224" s="4">
        <f t="shared" si="18"/>
        <v>0</v>
      </c>
      <c r="I224" s="11">
        <f t="shared" si="19"/>
        <v>0</v>
      </c>
      <c r="J224" s="4">
        <v>0</v>
      </c>
      <c r="K224" s="13">
        <v>0</v>
      </c>
      <c r="L224" s="4">
        <f t="shared" si="20"/>
        <v>0</v>
      </c>
      <c r="M224" s="13">
        <f t="shared" si="21"/>
        <v>0</v>
      </c>
      <c r="N224" s="7"/>
    </row>
    <row r="225" spans="1:14" x14ac:dyDescent="0.25">
      <c r="A225" s="67" t="s">
        <v>757</v>
      </c>
      <c r="B225" s="68" t="s">
        <v>758</v>
      </c>
      <c r="C225" s="3">
        <v>0</v>
      </c>
      <c r="D225" s="13">
        <v>0</v>
      </c>
      <c r="E225" s="4">
        <v>0</v>
      </c>
      <c r="F225" s="13">
        <v>0</v>
      </c>
      <c r="G225" s="6"/>
      <c r="H225" s="4">
        <f t="shared" si="18"/>
        <v>0</v>
      </c>
      <c r="I225" s="11">
        <f t="shared" si="19"/>
        <v>0</v>
      </c>
      <c r="J225" s="4">
        <v>0</v>
      </c>
      <c r="K225" s="13">
        <v>0</v>
      </c>
      <c r="L225" s="4">
        <f t="shared" si="20"/>
        <v>0</v>
      </c>
      <c r="M225" s="13">
        <f t="shared" si="21"/>
        <v>0</v>
      </c>
      <c r="N225" s="7"/>
    </row>
    <row r="226" spans="1:14" x14ac:dyDescent="0.25">
      <c r="A226" s="67" t="s">
        <v>498</v>
      </c>
      <c r="B226" s="68" t="s">
        <v>497</v>
      </c>
      <c r="C226" s="3">
        <v>0</v>
      </c>
      <c r="D226" s="13">
        <v>0</v>
      </c>
      <c r="E226" s="4">
        <v>0</v>
      </c>
      <c r="F226" s="13">
        <v>0</v>
      </c>
      <c r="G226" s="6"/>
      <c r="H226" s="4">
        <f t="shared" si="18"/>
        <v>0</v>
      </c>
      <c r="I226" s="11">
        <f t="shared" si="19"/>
        <v>0</v>
      </c>
      <c r="J226" s="4">
        <v>0</v>
      </c>
      <c r="K226" s="13">
        <v>0</v>
      </c>
      <c r="L226" s="4">
        <f t="shared" si="20"/>
        <v>0</v>
      </c>
      <c r="M226" s="13">
        <f t="shared" si="21"/>
        <v>0</v>
      </c>
      <c r="N226" s="7"/>
    </row>
    <row r="227" spans="1:14" x14ac:dyDescent="0.25">
      <c r="A227" s="67" t="s">
        <v>558</v>
      </c>
      <c r="B227" s="68" t="s">
        <v>557</v>
      </c>
      <c r="C227" s="3">
        <v>0</v>
      </c>
      <c r="D227" s="13">
        <v>0</v>
      </c>
      <c r="E227" s="4">
        <v>0</v>
      </c>
      <c r="F227" s="13">
        <v>0</v>
      </c>
      <c r="G227" s="6"/>
      <c r="H227" s="4">
        <f t="shared" si="18"/>
        <v>0</v>
      </c>
      <c r="I227" s="11">
        <f t="shared" si="19"/>
        <v>0</v>
      </c>
      <c r="J227" s="4">
        <v>0</v>
      </c>
      <c r="K227" s="13">
        <v>0</v>
      </c>
      <c r="L227" s="4">
        <f t="shared" si="20"/>
        <v>0</v>
      </c>
      <c r="M227" s="13">
        <f t="shared" si="21"/>
        <v>0</v>
      </c>
      <c r="N227" s="7"/>
    </row>
    <row r="228" spans="1:14" x14ac:dyDescent="0.25">
      <c r="A228" s="67" t="s">
        <v>53</v>
      </c>
      <c r="B228" s="68" t="s">
        <v>52</v>
      </c>
      <c r="C228" s="3">
        <v>0</v>
      </c>
      <c r="D228" s="13">
        <v>0</v>
      </c>
      <c r="E228" s="4">
        <v>0</v>
      </c>
      <c r="F228" s="13">
        <v>0</v>
      </c>
      <c r="G228" s="6"/>
      <c r="H228" s="4">
        <f t="shared" si="18"/>
        <v>0</v>
      </c>
      <c r="I228" s="11">
        <f t="shared" si="19"/>
        <v>0</v>
      </c>
      <c r="J228" s="4">
        <v>0</v>
      </c>
      <c r="K228" s="13">
        <v>0</v>
      </c>
      <c r="L228" s="4">
        <f t="shared" si="20"/>
        <v>0</v>
      </c>
      <c r="M228" s="13">
        <f t="shared" si="21"/>
        <v>0</v>
      </c>
      <c r="N228" s="7"/>
    </row>
    <row r="229" spans="1:14" x14ac:dyDescent="0.25">
      <c r="A229" s="67" t="s">
        <v>761</v>
      </c>
      <c r="B229" s="68" t="s">
        <v>762</v>
      </c>
      <c r="C229" s="3">
        <v>0</v>
      </c>
      <c r="D229" s="13">
        <v>0</v>
      </c>
      <c r="E229" s="4">
        <v>0</v>
      </c>
      <c r="F229" s="13">
        <v>0</v>
      </c>
      <c r="G229" s="6"/>
      <c r="H229" s="4">
        <f t="shared" si="18"/>
        <v>0</v>
      </c>
      <c r="I229" s="11">
        <f t="shared" si="19"/>
        <v>0</v>
      </c>
      <c r="J229" s="4">
        <v>0</v>
      </c>
      <c r="K229" s="13">
        <v>0</v>
      </c>
      <c r="L229" s="4">
        <f t="shared" si="20"/>
        <v>0</v>
      </c>
      <c r="M229" s="13">
        <f t="shared" si="21"/>
        <v>0</v>
      </c>
      <c r="N229" s="7"/>
    </row>
    <row r="230" spans="1:14" x14ac:dyDescent="0.25">
      <c r="A230" s="67" t="s">
        <v>642</v>
      </c>
      <c r="B230" s="68" t="s">
        <v>643</v>
      </c>
      <c r="C230" s="3">
        <v>0</v>
      </c>
      <c r="D230" s="13">
        <v>0</v>
      </c>
      <c r="E230" s="4">
        <v>0</v>
      </c>
      <c r="F230" s="13">
        <v>0</v>
      </c>
      <c r="G230" s="6"/>
      <c r="H230" s="4">
        <f t="shared" si="18"/>
        <v>0</v>
      </c>
      <c r="I230" s="11">
        <f t="shared" si="19"/>
        <v>0</v>
      </c>
      <c r="J230" s="4">
        <v>0</v>
      </c>
      <c r="K230" s="13">
        <v>0</v>
      </c>
      <c r="L230" s="4">
        <f t="shared" si="20"/>
        <v>0</v>
      </c>
      <c r="M230" s="13">
        <f t="shared" si="21"/>
        <v>0</v>
      </c>
      <c r="N230" s="7"/>
    </row>
    <row r="231" spans="1:14" x14ac:dyDescent="0.25">
      <c r="A231" s="67" t="s">
        <v>654</v>
      </c>
      <c r="B231" s="68" t="s">
        <v>655</v>
      </c>
      <c r="C231" s="3">
        <v>0</v>
      </c>
      <c r="D231" s="13">
        <v>0</v>
      </c>
      <c r="E231" s="4">
        <v>0</v>
      </c>
      <c r="F231" s="13">
        <v>0</v>
      </c>
      <c r="G231" s="6"/>
      <c r="H231" s="4">
        <f t="shared" si="18"/>
        <v>0</v>
      </c>
      <c r="I231" s="11">
        <f t="shared" si="19"/>
        <v>0</v>
      </c>
      <c r="J231" s="4">
        <v>0</v>
      </c>
      <c r="K231" s="13">
        <v>0</v>
      </c>
      <c r="L231" s="4">
        <f t="shared" si="20"/>
        <v>0</v>
      </c>
      <c r="M231" s="13">
        <f t="shared" si="21"/>
        <v>0</v>
      </c>
      <c r="N231" s="7"/>
    </row>
    <row r="232" spans="1:14" x14ac:dyDescent="0.25">
      <c r="A232" s="67" t="s">
        <v>769</v>
      </c>
      <c r="B232" s="68" t="s">
        <v>770</v>
      </c>
      <c r="C232" s="3">
        <v>0</v>
      </c>
      <c r="D232" s="13">
        <v>0</v>
      </c>
      <c r="E232" s="4">
        <v>0</v>
      </c>
      <c r="F232" s="13">
        <v>0</v>
      </c>
      <c r="G232" s="6"/>
      <c r="H232" s="4">
        <f t="shared" si="18"/>
        <v>0</v>
      </c>
      <c r="I232" s="11">
        <f t="shared" si="19"/>
        <v>0</v>
      </c>
      <c r="J232" s="4">
        <v>0</v>
      </c>
      <c r="K232" s="13">
        <v>0</v>
      </c>
      <c r="L232" s="4">
        <f t="shared" si="20"/>
        <v>0</v>
      </c>
      <c r="M232" s="13">
        <f t="shared" si="21"/>
        <v>0</v>
      </c>
      <c r="N232" s="7"/>
    </row>
    <row r="233" spans="1:14" x14ac:dyDescent="0.25">
      <c r="A233" s="67" t="s">
        <v>660</v>
      </c>
      <c r="B233" s="68" t="s">
        <v>661</v>
      </c>
      <c r="C233" s="3">
        <v>0</v>
      </c>
      <c r="D233" s="13">
        <v>0</v>
      </c>
      <c r="E233" s="4">
        <v>0</v>
      </c>
      <c r="F233" s="13">
        <v>0</v>
      </c>
      <c r="G233" s="6"/>
      <c r="H233" s="4">
        <f t="shared" si="18"/>
        <v>0</v>
      </c>
      <c r="I233" s="11">
        <f t="shared" si="19"/>
        <v>0</v>
      </c>
      <c r="J233" s="4">
        <v>1</v>
      </c>
      <c r="K233" s="13">
        <v>65.489999999999995</v>
      </c>
      <c r="L233" s="4">
        <f t="shared" si="20"/>
        <v>-1</v>
      </c>
      <c r="M233" s="13">
        <f t="shared" si="21"/>
        <v>-65.489999999999995</v>
      </c>
      <c r="N233" s="7">
        <f t="shared" si="22"/>
        <v>-1</v>
      </c>
    </row>
    <row r="234" spans="1:14" x14ac:dyDescent="0.25">
      <c r="A234" s="67" t="s">
        <v>771</v>
      </c>
      <c r="B234" s="68" t="s">
        <v>772</v>
      </c>
      <c r="C234" s="3">
        <v>0</v>
      </c>
      <c r="D234" s="13">
        <v>0</v>
      </c>
      <c r="E234" s="4">
        <v>0</v>
      </c>
      <c r="F234" s="13">
        <v>0</v>
      </c>
      <c r="G234" s="6"/>
      <c r="H234" s="4">
        <f t="shared" si="18"/>
        <v>0</v>
      </c>
      <c r="I234" s="11">
        <f t="shared" si="19"/>
        <v>0</v>
      </c>
      <c r="J234" s="4">
        <v>0</v>
      </c>
      <c r="K234" s="13">
        <v>0</v>
      </c>
      <c r="L234" s="4">
        <f t="shared" si="20"/>
        <v>0</v>
      </c>
      <c r="M234" s="13">
        <f t="shared" si="21"/>
        <v>0</v>
      </c>
      <c r="N234" s="7"/>
    </row>
    <row r="235" spans="1:14" x14ac:dyDescent="0.25">
      <c r="A235" s="67" t="s">
        <v>773</v>
      </c>
      <c r="B235" s="68" t="s">
        <v>774</v>
      </c>
      <c r="C235" s="3">
        <v>0</v>
      </c>
      <c r="D235" s="13">
        <v>0</v>
      </c>
      <c r="E235" s="4">
        <v>0</v>
      </c>
      <c r="F235" s="13">
        <v>0</v>
      </c>
      <c r="G235" s="6"/>
      <c r="H235" s="4">
        <f t="shared" si="18"/>
        <v>0</v>
      </c>
      <c r="I235" s="11">
        <f t="shared" si="19"/>
        <v>0</v>
      </c>
      <c r="J235" s="4">
        <v>0</v>
      </c>
      <c r="K235" s="13">
        <v>0</v>
      </c>
      <c r="L235" s="4">
        <f t="shared" si="20"/>
        <v>0</v>
      </c>
      <c r="M235" s="13">
        <f t="shared" si="21"/>
        <v>0</v>
      </c>
      <c r="N235" s="7"/>
    </row>
    <row r="236" spans="1:14" x14ac:dyDescent="0.25">
      <c r="A236" s="67" t="s">
        <v>564</v>
      </c>
      <c r="B236" s="68" t="s">
        <v>563</v>
      </c>
      <c r="C236" s="3">
        <v>0</v>
      </c>
      <c r="D236" s="13">
        <v>0</v>
      </c>
      <c r="E236" s="4">
        <v>0</v>
      </c>
      <c r="F236" s="13">
        <v>0</v>
      </c>
      <c r="G236" s="6"/>
      <c r="H236" s="4">
        <f t="shared" si="18"/>
        <v>0</v>
      </c>
      <c r="I236" s="11">
        <f t="shared" si="19"/>
        <v>0</v>
      </c>
      <c r="J236" s="4">
        <v>0</v>
      </c>
      <c r="K236" s="13">
        <v>0</v>
      </c>
      <c r="L236" s="4">
        <f t="shared" si="20"/>
        <v>0</v>
      </c>
      <c r="M236" s="13">
        <f t="shared" si="21"/>
        <v>0</v>
      </c>
      <c r="N236" s="7"/>
    </row>
    <row r="237" spans="1:14" x14ac:dyDescent="0.25">
      <c r="A237" s="67" t="s">
        <v>159</v>
      </c>
      <c r="B237" s="68" t="s">
        <v>158</v>
      </c>
      <c r="C237" s="3">
        <v>0</v>
      </c>
      <c r="D237" s="13">
        <v>0</v>
      </c>
      <c r="E237" s="4">
        <v>0</v>
      </c>
      <c r="F237" s="13">
        <v>0</v>
      </c>
      <c r="G237" s="6"/>
      <c r="H237" s="4">
        <f t="shared" si="18"/>
        <v>0</v>
      </c>
      <c r="I237" s="11">
        <f t="shared" si="19"/>
        <v>0</v>
      </c>
      <c r="J237" s="4">
        <v>0</v>
      </c>
      <c r="K237" s="13">
        <v>0</v>
      </c>
      <c r="L237" s="4">
        <f t="shared" si="20"/>
        <v>0</v>
      </c>
      <c r="M237" s="13">
        <f t="shared" si="21"/>
        <v>0</v>
      </c>
      <c r="N237" s="7"/>
    </row>
    <row r="238" spans="1:14" x14ac:dyDescent="0.25">
      <c r="A238" s="67" t="s">
        <v>708</v>
      </c>
      <c r="B238" s="68" t="s">
        <v>709</v>
      </c>
      <c r="C238" s="3">
        <v>0</v>
      </c>
      <c r="D238" s="13">
        <v>0</v>
      </c>
      <c r="E238" s="4">
        <v>0</v>
      </c>
      <c r="F238" s="13">
        <v>0</v>
      </c>
      <c r="G238" s="6"/>
      <c r="H238" s="4">
        <f t="shared" si="18"/>
        <v>0</v>
      </c>
      <c r="I238" s="11">
        <f t="shared" si="19"/>
        <v>0</v>
      </c>
      <c r="J238" s="4">
        <v>0</v>
      </c>
      <c r="K238" s="13">
        <v>0</v>
      </c>
      <c r="L238" s="4">
        <f t="shared" si="20"/>
        <v>0</v>
      </c>
      <c r="M238" s="13">
        <f t="shared" si="21"/>
        <v>0</v>
      </c>
      <c r="N238" s="7"/>
    </row>
    <row r="239" spans="1:14" x14ac:dyDescent="0.25">
      <c r="A239" s="67" t="s">
        <v>259</v>
      </c>
      <c r="B239" s="68" t="s">
        <v>258</v>
      </c>
      <c r="C239" s="3">
        <v>0</v>
      </c>
      <c r="D239" s="13">
        <v>0</v>
      </c>
      <c r="E239" s="4">
        <v>0</v>
      </c>
      <c r="F239" s="13">
        <v>0</v>
      </c>
      <c r="G239" s="6"/>
      <c r="H239" s="4">
        <f t="shared" si="18"/>
        <v>0</v>
      </c>
      <c r="I239" s="11">
        <f t="shared" si="19"/>
        <v>0</v>
      </c>
      <c r="J239" s="4">
        <v>0</v>
      </c>
      <c r="K239" s="13">
        <v>0</v>
      </c>
      <c r="L239" s="4">
        <f t="shared" si="20"/>
        <v>0</v>
      </c>
      <c r="M239" s="13">
        <f t="shared" si="21"/>
        <v>0</v>
      </c>
      <c r="N239" s="7"/>
    </row>
    <row r="240" spans="1:14" x14ac:dyDescent="0.25">
      <c r="A240" s="67" t="s">
        <v>265</v>
      </c>
      <c r="B240" s="68" t="s">
        <v>264</v>
      </c>
      <c r="C240" s="3">
        <v>0</v>
      </c>
      <c r="D240" s="13">
        <v>0</v>
      </c>
      <c r="E240" s="4">
        <v>0</v>
      </c>
      <c r="F240" s="13">
        <v>0</v>
      </c>
      <c r="G240" s="6"/>
      <c r="H240" s="4">
        <f t="shared" si="18"/>
        <v>0</v>
      </c>
      <c r="I240" s="11">
        <f t="shared" si="19"/>
        <v>0</v>
      </c>
      <c r="J240" s="4">
        <v>0</v>
      </c>
      <c r="K240" s="13">
        <v>0</v>
      </c>
      <c r="L240" s="4">
        <f t="shared" si="20"/>
        <v>0</v>
      </c>
      <c r="M240" s="13">
        <f t="shared" si="21"/>
        <v>0</v>
      </c>
      <c r="N240" s="7"/>
    </row>
    <row r="241" spans="1:14" x14ac:dyDescent="0.25">
      <c r="A241" s="67" t="s">
        <v>716</v>
      </c>
      <c r="B241" s="68" t="s">
        <v>717</v>
      </c>
      <c r="C241" s="3">
        <v>0</v>
      </c>
      <c r="D241" s="13">
        <v>0</v>
      </c>
      <c r="E241" s="4">
        <v>0</v>
      </c>
      <c r="F241" s="13">
        <v>0</v>
      </c>
      <c r="G241" s="6"/>
      <c r="H241" s="4">
        <f t="shared" si="18"/>
        <v>0</v>
      </c>
      <c r="I241" s="11">
        <f t="shared" si="19"/>
        <v>0</v>
      </c>
      <c r="J241" s="4">
        <v>0</v>
      </c>
      <c r="K241" s="13">
        <v>0</v>
      </c>
      <c r="L241" s="4">
        <f t="shared" si="20"/>
        <v>0</v>
      </c>
      <c r="M241" s="13">
        <f t="shared" si="21"/>
        <v>0</v>
      </c>
      <c r="N241" s="7"/>
    </row>
    <row r="242" spans="1:14" x14ac:dyDescent="0.25">
      <c r="A242" s="67" t="s">
        <v>779</v>
      </c>
      <c r="B242" s="68" t="s">
        <v>780</v>
      </c>
      <c r="C242" s="3">
        <v>0</v>
      </c>
      <c r="D242" s="13">
        <v>0</v>
      </c>
      <c r="E242" s="4">
        <v>0</v>
      </c>
      <c r="F242" s="13">
        <v>0</v>
      </c>
      <c r="G242" s="6"/>
      <c r="H242" s="4">
        <f t="shared" si="18"/>
        <v>0</v>
      </c>
      <c r="I242" s="11">
        <f t="shared" si="19"/>
        <v>0</v>
      </c>
      <c r="J242" s="4">
        <v>0</v>
      </c>
      <c r="K242" s="13">
        <v>0</v>
      </c>
      <c r="L242" s="4">
        <f t="shared" si="20"/>
        <v>0</v>
      </c>
      <c r="M242" s="13">
        <f t="shared" si="21"/>
        <v>0</v>
      </c>
      <c r="N242" s="7"/>
    </row>
    <row r="243" spans="1:14" x14ac:dyDescent="0.25">
      <c r="A243" s="67" t="s">
        <v>732</v>
      </c>
      <c r="B243" s="68" t="s">
        <v>733</v>
      </c>
      <c r="C243" s="3">
        <v>0</v>
      </c>
      <c r="D243" s="13">
        <v>0</v>
      </c>
      <c r="E243" s="4">
        <v>0</v>
      </c>
      <c r="F243" s="13">
        <v>0</v>
      </c>
      <c r="G243" s="6"/>
      <c r="H243" s="4">
        <f t="shared" si="18"/>
        <v>0</v>
      </c>
      <c r="I243" s="11">
        <f t="shared" si="19"/>
        <v>0</v>
      </c>
      <c r="J243" s="4">
        <v>0</v>
      </c>
      <c r="K243" s="13">
        <v>0</v>
      </c>
      <c r="L243" s="4">
        <f t="shared" si="20"/>
        <v>0</v>
      </c>
      <c r="M243" s="13">
        <f t="shared" si="21"/>
        <v>0</v>
      </c>
      <c r="N243" s="7"/>
    </row>
    <row r="244" spans="1:14" x14ac:dyDescent="0.25">
      <c r="A244" s="67" t="s">
        <v>738</v>
      </c>
      <c r="B244" s="68" t="s">
        <v>739</v>
      </c>
      <c r="C244" s="3">
        <v>0</v>
      </c>
      <c r="D244" s="13">
        <v>0</v>
      </c>
      <c r="E244" s="4">
        <v>0</v>
      </c>
      <c r="F244" s="13">
        <v>0</v>
      </c>
      <c r="G244" s="6"/>
      <c r="H244" s="4">
        <f t="shared" si="18"/>
        <v>0</v>
      </c>
      <c r="I244" s="11">
        <f t="shared" si="19"/>
        <v>0</v>
      </c>
      <c r="J244" s="4">
        <v>0</v>
      </c>
      <c r="K244" s="13">
        <v>0</v>
      </c>
      <c r="L244" s="4">
        <f t="shared" si="20"/>
        <v>0</v>
      </c>
      <c r="M244" s="13">
        <f t="shared" si="21"/>
        <v>0</v>
      </c>
      <c r="N244" s="7"/>
    </row>
    <row r="245" spans="1:14" x14ac:dyDescent="0.25">
      <c r="A245" s="67" t="s">
        <v>397</v>
      </c>
      <c r="B245" s="68" t="s">
        <v>396</v>
      </c>
      <c r="C245" s="3">
        <v>2</v>
      </c>
      <c r="D245" s="13">
        <v>117.48</v>
      </c>
      <c r="E245" s="4">
        <v>0</v>
      </c>
      <c r="F245" s="13">
        <v>0</v>
      </c>
      <c r="G245" s="6">
        <f t="shared" si="23"/>
        <v>0</v>
      </c>
      <c r="H245" s="4">
        <f t="shared" si="18"/>
        <v>2</v>
      </c>
      <c r="I245" s="11">
        <f t="shared" si="19"/>
        <v>117.48</v>
      </c>
      <c r="J245" s="4">
        <v>0</v>
      </c>
      <c r="K245" s="13">
        <v>0</v>
      </c>
      <c r="L245" s="4">
        <f t="shared" si="20"/>
        <v>2</v>
      </c>
      <c r="M245" s="13">
        <f t="shared" si="21"/>
        <v>117.48</v>
      </c>
      <c r="N245" s="7"/>
    </row>
    <row r="246" spans="1:14" x14ac:dyDescent="0.25">
      <c r="A246" s="67" t="s">
        <v>273</v>
      </c>
      <c r="B246" s="68" t="s">
        <v>272</v>
      </c>
      <c r="C246" s="3">
        <v>7</v>
      </c>
      <c r="D246" s="13">
        <v>69.489999999999995</v>
      </c>
      <c r="E246" s="4">
        <v>0</v>
      </c>
      <c r="F246" s="13">
        <v>0</v>
      </c>
      <c r="G246" s="6">
        <f t="shared" si="23"/>
        <v>0</v>
      </c>
      <c r="H246" s="4">
        <f t="shared" si="18"/>
        <v>7</v>
      </c>
      <c r="I246" s="11">
        <f t="shared" si="19"/>
        <v>69.489999999999995</v>
      </c>
      <c r="J246" s="4">
        <v>2</v>
      </c>
      <c r="K246" s="13">
        <v>32.899999999999991</v>
      </c>
      <c r="L246" s="4">
        <f t="shared" si="20"/>
        <v>5</v>
      </c>
      <c r="M246" s="13">
        <f t="shared" si="21"/>
        <v>36.590000000000003</v>
      </c>
      <c r="N246" s="7">
        <f t="shared" si="22"/>
        <v>1.1121580547112466</v>
      </c>
    </row>
    <row r="247" spans="1:14" x14ac:dyDescent="0.25">
      <c r="A247" s="67" t="s">
        <v>119</v>
      </c>
      <c r="B247" s="68" t="s">
        <v>118</v>
      </c>
      <c r="C247" s="3">
        <v>4</v>
      </c>
      <c r="D247" s="13">
        <v>79.259999999999934</v>
      </c>
      <c r="E247" s="4">
        <v>0</v>
      </c>
      <c r="F247" s="13">
        <v>0</v>
      </c>
      <c r="G247" s="6">
        <f t="shared" si="23"/>
        <v>0</v>
      </c>
      <c r="H247" s="4">
        <f t="shared" si="18"/>
        <v>4</v>
      </c>
      <c r="I247" s="11">
        <f t="shared" si="19"/>
        <v>79.259999999999934</v>
      </c>
      <c r="J247" s="4">
        <v>3</v>
      </c>
      <c r="K247" s="13">
        <v>66.099999999999994</v>
      </c>
      <c r="L247" s="4">
        <f t="shared" si="20"/>
        <v>1</v>
      </c>
      <c r="M247" s="13">
        <f t="shared" si="21"/>
        <v>13.15999999999994</v>
      </c>
      <c r="N247" s="7">
        <f t="shared" si="22"/>
        <v>0.19909228441754828</v>
      </c>
    </row>
    <row r="248" spans="1:14" x14ac:dyDescent="0.25">
      <c r="A248" s="67" t="s">
        <v>728</v>
      </c>
      <c r="B248" s="68" t="s">
        <v>729</v>
      </c>
      <c r="C248" s="3">
        <v>0</v>
      </c>
      <c r="D248" s="13">
        <v>0</v>
      </c>
      <c r="E248" s="4">
        <v>0</v>
      </c>
      <c r="F248" s="13">
        <v>0</v>
      </c>
      <c r="G248" s="6"/>
      <c r="H248" s="4">
        <f t="shared" si="18"/>
        <v>0</v>
      </c>
      <c r="I248" s="11">
        <f t="shared" si="19"/>
        <v>0</v>
      </c>
      <c r="J248" s="4">
        <v>0</v>
      </c>
      <c r="K248" s="13">
        <v>0</v>
      </c>
      <c r="L248" s="4">
        <f t="shared" si="20"/>
        <v>0</v>
      </c>
      <c r="M248" s="13">
        <f t="shared" si="21"/>
        <v>0</v>
      </c>
      <c r="N248" s="7"/>
    </row>
    <row r="249" spans="1:14" x14ac:dyDescent="0.25">
      <c r="A249" s="67" t="s">
        <v>596</v>
      </c>
      <c r="B249" s="68" t="s">
        <v>597</v>
      </c>
      <c r="C249" s="3">
        <v>0</v>
      </c>
      <c r="D249" s="13">
        <v>0</v>
      </c>
      <c r="E249" s="4">
        <v>0</v>
      </c>
      <c r="F249" s="13">
        <v>0</v>
      </c>
      <c r="G249" s="6" t="e">
        <f t="shared" si="23"/>
        <v>#DIV/0!</v>
      </c>
      <c r="H249" s="4">
        <f t="shared" si="18"/>
        <v>0</v>
      </c>
      <c r="I249" s="11">
        <f t="shared" si="19"/>
        <v>0</v>
      </c>
      <c r="J249" s="4">
        <v>-1</v>
      </c>
      <c r="K249" s="13">
        <v>-11.649999999999999</v>
      </c>
      <c r="L249" s="4">
        <f t="shared" si="20"/>
        <v>1</v>
      </c>
      <c r="M249" s="13">
        <f t="shared" si="21"/>
        <v>11.649999999999999</v>
      </c>
      <c r="N249" s="7">
        <f t="shared" si="22"/>
        <v>1</v>
      </c>
    </row>
    <row r="250" spans="1:14" x14ac:dyDescent="0.25">
      <c r="A250" s="67" t="s">
        <v>592</v>
      </c>
      <c r="B250" s="68" t="s">
        <v>593</v>
      </c>
      <c r="C250" s="3">
        <v>1</v>
      </c>
      <c r="D250" s="13">
        <v>4.83</v>
      </c>
      <c r="E250" s="4">
        <v>0</v>
      </c>
      <c r="F250" s="13">
        <v>0</v>
      </c>
      <c r="G250" s="6">
        <f t="shared" si="23"/>
        <v>0</v>
      </c>
      <c r="H250" s="4">
        <f t="shared" si="18"/>
        <v>1</v>
      </c>
      <c r="I250" s="11">
        <f t="shared" si="19"/>
        <v>4.83</v>
      </c>
      <c r="J250" s="4">
        <v>0</v>
      </c>
      <c r="K250" s="13">
        <v>0</v>
      </c>
      <c r="L250" s="4">
        <f t="shared" si="20"/>
        <v>1</v>
      </c>
      <c r="M250" s="13">
        <f t="shared" si="21"/>
        <v>4.83</v>
      </c>
      <c r="N250" s="7"/>
    </row>
    <row r="251" spans="1:14" x14ac:dyDescent="0.25">
      <c r="A251" s="67" t="s">
        <v>590</v>
      </c>
      <c r="B251" s="68" t="s">
        <v>591</v>
      </c>
      <c r="C251" s="3">
        <v>0</v>
      </c>
      <c r="D251" s="13">
        <v>0</v>
      </c>
      <c r="E251" s="4">
        <v>0</v>
      </c>
      <c r="F251" s="13">
        <v>0</v>
      </c>
      <c r="G251" s="6" t="e">
        <f t="shared" si="23"/>
        <v>#DIV/0!</v>
      </c>
      <c r="H251" s="4">
        <f t="shared" si="18"/>
        <v>0</v>
      </c>
      <c r="I251" s="11">
        <f t="shared" si="19"/>
        <v>0</v>
      </c>
      <c r="J251" s="4">
        <v>0</v>
      </c>
      <c r="K251" s="13">
        <v>0</v>
      </c>
      <c r="L251" s="4">
        <f t="shared" si="20"/>
        <v>0</v>
      </c>
      <c r="M251" s="13">
        <f t="shared" si="21"/>
        <v>0</v>
      </c>
      <c r="N251" s="7"/>
    </row>
    <row r="252" spans="1:14" x14ac:dyDescent="0.25">
      <c r="A252" s="67" t="s">
        <v>351</v>
      </c>
      <c r="B252" s="68" t="s">
        <v>350</v>
      </c>
      <c r="C252" s="3">
        <v>0</v>
      </c>
      <c r="D252" s="13">
        <v>0</v>
      </c>
      <c r="E252" s="4">
        <v>0</v>
      </c>
      <c r="F252" s="13">
        <v>0</v>
      </c>
      <c r="G252" s="6" t="e">
        <f t="shared" si="23"/>
        <v>#DIV/0!</v>
      </c>
      <c r="H252" s="4">
        <f t="shared" si="18"/>
        <v>0</v>
      </c>
      <c r="I252" s="11">
        <f t="shared" si="19"/>
        <v>0</v>
      </c>
      <c r="J252" s="4">
        <v>3</v>
      </c>
      <c r="K252" s="13">
        <v>58.169999999999987</v>
      </c>
      <c r="L252" s="4">
        <f t="shared" si="20"/>
        <v>-3</v>
      </c>
      <c r="M252" s="13">
        <f t="shared" si="21"/>
        <v>-58.169999999999987</v>
      </c>
      <c r="N252" s="7">
        <f t="shared" si="22"/>
        <v>-1</v>
      </c>
    </row>
    <row r="253" spans="1:14" x14ac:dyDescent="0.25">
      <c r="A253" s="67" t="s">
        <v>606</v>
      </c>
      <c r="B253" s="68" t="s">
        <v>607</v>
      </c>
      <c r="C253" s="3">
        <v>1</v>
      </c>
      <c r="D253" s="13">
        <v>9.1300000000000008</v>
      </c>
      <c r="E253" s="4">
        <v>0</v>
      </c>
      <c r="F253" s="13">
        <v>0</v>
      </c>
      <c r="G253" s="6">
        <f t="shared" si="23"/>
        <v>0</v>
      </c>
      <c r="H253" s="4">
        <f t="shared" si="18"/>
        <v>1</v>
      </c>
      <c r="I253" s="11">
        <f t="shared" si="19"/>
        <v>9.1300000000000008</v>
      </c>
      <c r="J253" s="4">
        <v>0</v>
      </c>
      <c r="K253" s="13">
        <v>0</v>
      </c>
      <c r="L253" s="4">
        <f t="shared" si="20"/>
        <v>1</v>
      </c>
      <c r="M253" s="13">
        <f t="shared" si="21"/>
        <v>9.1300000000000008</v>
      </c>
      <c r="N253" s="7"/>
    </row>
    <row r="254" spans="1:14" x14ac:dyDescent="0.25">
      <c r="A254" s="67" t="s">
        <v>255</v>
      </c>
      <c r="B254" s="68" t="s">
        <v>254</v>
      </c>
      <c r="C254" s="3">
        <v>7</v>
      </c>
      <c r="D254" s="13">
        <v>332.12</v>
      </c>
      <c r="E254" s="4">
        <v>0</v>
      </c>
      <c r="F254" s="13">
        <v>0</v>
      </c>
      <c r="G254" s="6">
        <f t="shared" si="23"/>
        <v>0</v>
      </c>
      <c r="H254" s="4">
        <f t="shared" si="18"/>
        <v>7</v>
      </c>
      <c r="I254" s="11">
        <f t="shared" si="19"/>
        <v>332.12</v>
      </c>
      <c r="J254" s="4">
        <v>8</v>
      </c>
      <c r="K254" s="13">
        <v>321.81</v>
      </c>
      <c r="L254" s="4">
        <f t="shared" si="20"/>
        <v>-1</v>
      </c>
      <c r="M254" s="13">
        <f t="shared" si="21"/>
        <v>10.310000000000002</v>
      </c>
      <c r="N254" s="7">
        <f t="shared" si="22"/>
        <v>3.2037537677511579E-2</v>
      </c>
    </row>
    <row r="255" spans="1:14" x14ac:dyDescent="0.25">
      <c r="A255" s="67" t="s">
        <v>765</v>
      </c>
      <c r="B255" s="68" t="s">
        <v>766</v>
      </c>
      <c r="C255" s="3">
        <v>0</v>
      </c>
      <c r="D255" s="13">
        <v>0</v>
      </c>
      <c r="E255" s="4">
        <v>0</v>
      </c>
      <c r="F255" s="13">
        <v>0</v>
      </c>
      <c r="G255" s="6"/>
      <c r="H255" s="4">
        <f t="shared" si="18"/>
        <v>0</v>
      </c>
      <c r="I255" s="11">
        <f t="shared" si="19"/>
        <v>0</v>
      </c>
      <c r="J255" s="4">
        <v>-1</v>
      </c>
      <c r="K255" s="13">
        <v>-10.75</v>
      </c>
      <c r="L255" s="4">
        <f t="shared" si="20"/>
        <v>1</v>
      </c>
      <c r="M255" s="13">
        <f t="shared" si="21"/>
        <v>10.75</v>
      </c>
      <c r="N255" s="7">
        <f t="shared" si="22"/>
        <v>1</v>
      </c>
    </row>
    <row r="256" spans="1:14" x14ac:dyDescent="0.25">
      <c r="A256" s="67" t="s">
        <v>632</v>
      </c>
      <c r="B256" s="68" t="s">
        <v>633</v>
      </c>
      <c r="C256" s="3">
        <v>0</v>
      </c>
      <c r="D256" s="13">
        <v>0</v>
      </c>
      <c r="E256" s="4">
        <v>0</v>
      </c>
      <c r="F256" s="13">
        <v>0</v>
      </c>
      <c r="G256" s="6"/>
      <c r="H256" s="4">
        <f t="shared" si="18"/>
        <v>0</v>
      </c>
      <c r="I256" s="11">
        <f t="shared" si="19"/>
        <v>0</v>
      </c>
      <c r="J256" s="4">
        <v>-1</v>
      </c>
      <c r="K256" s="13">
        <v>-10.84</v>
      </c>
      <c r="L256" s="4">
        <f t="shared" si="20"/>
        <v>1</v>
      </c>
      <c r="M256" s="13">
        <f t="shared" si="21"/>
        <v>10.84</v>
      </c>
      <c r="N256" s="7">
        <f t="shared" si="22"/>
        <v>1</v>
      </c>
    </row>
    <row r="257" spans="1:14" x14ac:dyDescent="0.25">
      <c r="A257" s="67" t="s">
        <v>759</v>
      </c>
      <c r="B257" s="68" t="s">
        <v>760</v>
      </c>
      <c r="C257" s="3">
        <v>0</v>
      </c>
      <c r="D257" s="13">
        <v>0</v>
      </c>
      <c r="E257" s="4">
        <v>0</v>
      </c>
      <c r="F257" s="13">
        <v>0</v>
      </c>
      <c r="G257" s="6"/>
      <c r="H257" s="4">
        <f t="shared" si="18"/>
        <v>0</v>
      </c>
      <c r="I257" s="11">
        <f t="shared" si="19"/>
        <v>0</v>
      </c>
      <c r="J257" s="4">
        <v>0</v>
      </c>
      <c r="K257" s="13">
        <v>0</v>
      </c>
      <c r="L257" s="4">
        <f t="shared" si="20"/>
        <v>0</v>
      </c>
      <c r="M257" s="13">
        <f t="shared" si="21"/>
        <v>0</v>
      </c>
      <c r="N257" s="7"/>
    </row>
    <row r="258" spans="1:14" x14ac:dyDescent="0.25">
      <c r="A258" s="67" t="s">
        <v>604</v>
      </c>
      <c r="B258" s="68" t="s">
        <v>605</v>
      </c>
      <c r="C258" s="3">
        <v>1</v>
      </c>
      <c r="D258" s="13">
        <v>11.39</v>
      </c>
      <c r="E258" s="4">
        <v>0</v>
      </c>
      <c r="F258" s="13">
        <v>0</v>
      </c>
      <c r="G258" s="6">
        <f t="shared" si="23"/>
        <v>0</v>
      </c>
      <c r="H258" s="4">
        <f t="shared" si="18"/>
        <v>1</v>
      </c>
      <c r="I258" s="11">
        <f t="shared" si="19"/>
        <v>11.39</v>
      </c>
      <c r="J258" s="4">
        <v>0</v>
      </c>
      <c r="K258" s="13">
        <v>0</v>
      </c>
      <c r="L258" s="4">
        <f t="shared" si="20"/>
        <v>1</v>
      </c>
      <c r="M258" s="13">
        <f t="shared" si="21"/>
        <v>11.39</v>
      </c>
      <c r="N258" s="7"/>
    </row>
    <row r="259" spans="1:14" x14ac:dyDescent="0.25">
      <c r="A259" s="67" t="s">
        <v>193</v>
      </c>
      <c r="B259" s="68" t="s">
        <v>192</v>
      </c>
      <c r="C259" s="3">
        <v>3</v>
      </c>
      <c r="D259" s="13">
        <v>29.58</v>
      </c>
      <c r="E259" s="4">
        <v>0</v>
      </c>
      <c r="F259" s="13">
        <v>0</v>
      </c>
      <c r="G259" s="6">
        <f t="shared" ref="G259:G322" si="24">F259/I259</f>
        <v>0</v>
      </c>
      <c r="H259" s="4">
        <f t="shared" ref="H259:H322" si="25">C259+E259</f>
        <v>3</v>
      </c>
      <c r="I259" s="11">
        <f t="shared" ref="I259:I322" si="26">D259+F259</f>
        <v>29.58</v>
      </c>
      <c r="J259" s="4">
        <v>1</v>
      </c>
      <c r="K259" s="13">
        <v>8.3199999999999932</v>
      </c>
      <c r="L259" s="4">
        <f t="shared" ref="L259:L322" si="27">H259-J259</f>
        <v>2</v>
      </c>
      <c r="M259" s="13">
        <f t="shared" ref="M259:M322" si="28">I259-K259</f>
        <v>21.260000000000005</v>
      </c>
      <c r="N259" s="7">
        <f t="shared" ref="N259:N321" si="29">M259/ABS(K259)</f>
        <v>2.5552884615384643</v>
      </c>
    </row>
    <row r="260" spans="1:14" x14ac:dyDescent="0.25">
      <c r="A260" s="67" t="s">
        <v>690</v>
      </c>
      <c r="B260" s="68" t="s">
        <v>691</v>
      </c>
      <c r="C260" s="3">
        <v>0</v>
      </c>
      <c r="D260" s="13">
        <v>0</v>
      </c>
      <c r="E260" s="4">
        <v>0</v>
      </c>
      <c r="F260" s="13">
        <v>0</v>
      </c>
      <c r="G260" s="6"/>
      <c r="H260" s="4">
        <f t="shared" si="25"/>
        <v>0</v>
      </c>
      <c r="I260" s="11">
        <f t="shared" si="26"/>
        <v>0</v>
      </c>
      <c r="J260" s="4">
        <v>-1</v>
      </c>
      <c r="K260" s="13">
        <v>-12.06</v>
      </c>
      <c r="L260" s="4">
        <f t="shared" si="27"/>
        <v>1</v>
      </c>
      <c r="M260" s="13">
        <f t="shared" si="28"/>
        <v>12.06</v>
      </c>
      <c r="N260" s="7">
        <f t="shared" si="29"/>
        <v>1</v>
      </c>
    </row>
    <row r="261" spans="1:14" x14ac:dyDescent="0.25">
      <c r="A261" s="67" t="s">
        <v>576</v>
      </c>
      <c r="B261" s="68" t="s">
        <v>577</v>
      </c>
      <c r="C261" s="3">
        <v>1</v>
      </c>
      <c r="D261" s="13">
        <v>41.24</v>
      </c>
      <c r="E261" s="4">
        <v>0</v>
      </c>
      <c r="F261" s="13">
        <v>0</v>
      </c>
      <c r="G261" s="6">
        <f t="shared" si="24"/>
        <v>0</v>
      </c>
      <c r="H261" s="4">
        <f t="shared" si="25"/>
        <v>1</v>
      </c>
      <c r="I261" s="11">
        <f t="shared" si="26"/>
        <v>41.24</v>
      </c>
      <c r="J261" s="4">
        <v>1</v>
      </c>
      <c r="K261" s="13">
        <v>28.03</v>
      </c>
      <c r="L261" s="4">
        <f t="shared" si="27"/>
        <v>0</v>
      </c>
      <c r="M261" s="13">
        <f t="shared" si="28"/>
        <v>13.21</v>
      </c>
      <c r="N261" s="7">
        <f t="shared" si="29"/>
        <v>0.47128077060292545</v>
      </c>
    </row>
    <row r="262" spans="1:14" x14ac:dyDescent="0.25">
      <c r="A262" s="67" t="s">
        <v>27</v>
      </c>
      <c r="B262" s="68" t="s">
        <v>26</v>
      </c>
      <c r="C262" s="3">
        <v>0</v>
      </c>
      <c r="D262" s="13">
        <v>0</v>
      </c>
      <c r="E262" s="4">
        <v>0</v>
      </c>
      <c r="F262" s="13">
        <v>0</v>
      </c>
      <c r="G262" s="6" t="e">
        <f t="shared" si="24"/>
        <v>#DIV/0!</v>
      </c>
      <c r="H262" s="4">
        <f t="shared" si="25"/>
        <v>0</v>
      </c>
      <c r="I262" s="11">
        <f t="shared" si="26"/>
        <v>0</v>
      </c>
      <c r="J262" s="4">
        <v>0</v>
      </c>
      <c r="K262" s="13">
        <v>0</v>
      </c>
      <c r="L262" s="4">
        <f t="shared" si="27"/>
        <v>0</v>
      </c>
      <c r="M262" s="13">
        <f t="shared" si="28"/>
        <v>0</v>
      </c>
      <c r="N262" s="7"/>
    </row>
    <row r="263" spans="1:14" x14ac:dyDescent="0.25">
      <c r="A263" s="67" t="s">
        <v>29</v>
      </c>
      <c r="B263" s="68" t="s">
        <v>28</v>
      </c>
      <c r="C263" s="3">
        <v>0</v>
      </c>
      <c r="D263" s="13">
        <v>0</v>
      </c>
      <c r="E263" s="3">
        <v>0</v>
      </c>
      <c r="F263" s="13">
        <v>0</v>
      </c>
      <c r="G263" s="6" t="e">
        <f t="shared" si="24"/>
        <v>#DIV/0!</v>
      </c>
      <c r="H263" s="4">
        <f t="shared" si="25"/>
        <v>0</v>
      </c>
      <c r="I263" s="11">
        <f t="shared" si="26"/>
        <v>0</v>
      </c>
      <c r="J263" s="4">
        <v>2</v>
      </c>
      <c r="K263" s="13">
        <v>6.85</v>
      </c>
      <c r="L263" s="4">
        <f t="shared" si="27"/>
        <v>-2</v>
      </c>
      <c r="M263" s="13">
        <f t="shared" si="28"/>
        <v>-6.85</v>
      </c>
      <c r="N263" s="7">
        <f t="shared" si="29"/>
        <v>-1</v>
      </c>
    </row>
    <row r="264" spans="1:14" x14ac:dyDescent="0.25">
      <c r="A264" s="67" t="s">
        <v>45</v>
      </c>
      <c r="B264" s="68" t="s">
        <v>44</v>
      </c>
      <c r="C264" s="3">
        <v>14</v>
      </c>
      <c r="D264" s="13">
        <v>85.66</v>
      </c>
      <c r="E264" s="3">
        <v>0</v>
      </c>
      <c r="F264" s="13">
        <v>0</v>
      </c>
      <c r="G264" s="6">
        <f t="shared" si="24"/>
        <v>0</v>
      </c>
      <c r="H264" s="4">
        <f t="shared" si="25"/>
        <v>14</v>
      </c>
      <c r="I264" s="11">
        <f t="shared" si="26"/>
        <v>85.66</v>
      </c>
      <c r="J264" s="4">
        <v>8</v>
      </c>
      <c r="K264" s="13">
        <v>45.580000000000005</v>
      </c>
      <c r="L264" s="4">
        <f t="shared" si="27"/>
        <v>6</v>
      </c>
      <c r="M264" s="13">
        <f t="shared" si="28"/>
        <v>40.079999999999991</v>
      </c>
      <c r="N264" s="7">
        <f t="shared" si="29"/>
        <v>0.8793330408073714</v>
      </c>
    </row>
    <row r="265" spans="1:14" x14ac:dyDescent="0.25">
      <c r="A265" s="67" t="s">
        <v>694</v>
      </c>
      <c r="B265" s="68" t="s">
        <v>695</v>
      </c>
      <c r="C265" s="3">
        <v>0</v>
      </c>
      <c r="D265" s="13">
        <v>0</v>
      </c>
      <c r="E265" s="3">
        <v>0</v>
      </c>
      <c r="F265" s="13">
        <v>0</v>
      </c>
      <c r="G265" s="6"/>
      <c r="H265" s="4">
        <f t="shared" si="25"/>
        <v>0</v>
      </c>
      <c r="I265" s="11">
        <f t="shared" si="26"/>
        <v>0</v>
      </c>
      <c r="J265" s="4">
        <v>2</v>
      </c>
      <c r="K265" s="13">
        <v>32.61999999999999</v>
      </c>
      <c r="L265" s="4">
        <f t="shared" si="27"/>
        <v>-2</v>
      </c>
      <c r="M265" s="13">
        <f t="shared" si="28"/>
        <v>-32.61999999999999</v>
      </c>
      <c r="N265" s="7">
        <f t="shared" si="29"/>
        <v>-1</v>
      </c>
    </row>
    <row r="266" spans="1:14" x14ac:dyDescent="0.25">
      <c r="A266" s="67" t="s">
        <v>755</v>
      </c>
      <c r="B266" s="68" t="s">
        <v>756</v>
      </c>
      <c r="C266" s="3">
        <v>0</v>
      </c>
      <c r="D266" s="13">
        <v>0</v>
      </c>
      <c r="E266" s="3">
        <v>0</v>
      </c>
      <c r="F266" s="13">
        <v>0</v>
      </c>
      <c r="G266" s="6"/>
      <c r="H266" s="4">
        <f t="shared" si="25"/>
        <v>0</v>
      </c>
      <c r="I266" s="11">
        <f t="shared" si="26"/>
        <v>0</v>
      </c>
      <c r="J266" s="4">
        <v>-2</v>
      </c>
      <c r="K266" s="13">
        <v>-16.5</v>
      </c>
      <c r="L266" s="4">
        <f t="shared" si="27"/>
        <v>2</v>
      </c>
      <c r="M266" s="13">
        <f t="shared" si="28"/>
        <v>16.5</v>
      </c>
      <c r="N266" s="7">
        <f t="shared" si="29"/>
        <v>1</v>
      </c>
    </row>
    <row r="267" spans="1:14" x14ac:dyDescent="0.25">
      <c r="A267" s="67" t="s">
        <v>749</v>
      </c>
      <c r="B267" s="68" t="s">
        <v>750</v>
      </c>
      <c r="C267" s="3">
        <v>0</v>
      </c>
      <c r="D267" s="13">
        <v>0</v>
      </c>
      <c r="E267" s="3">
        <v>0</v>
      </c>
      <c r="F267" s="13">
        <v>0</v>
      </c>
      <c r="G267" s="6"/>
      <c r="H267" s="4">
        <f t="shared" si="25"/>
        <v>0</v>
      </c>
      <c r="I267" s="11">
        <f t="shared" si="26"/>
        <v>0</v>
      </c>
      <c r="J267" s="4">
        <v>-2</v>
      </c>
      <c r="K267" s="13">
        <v>-31.169999999999998</v>
      </c>
      <c r="L267" s="4">
        <f t="shared" si="27"/>
        <v>2</v>
      </c>
      <c r="M267" s="13">
        <f t="shared" si="28"/>
        <v>31.169999999999998</v>
      </c>
      <c r="N267" s="7">
        <f t="shared" si="29"/>
        <v>1</v>
      </c>
    </row>
    <row r="268" spans="1:14" x14ac:dyDescent="0.25">
      <c r="A268" s="67" t="s">
        <v>608</v>
      </c>
      <c r="B268" s="68" t="s">
        <v>609</v>
      </c>
      <c r="C268" s="3">
        <v>0</v>
      </c>
      <c r="D268" s="13">
        <v>0</v>
      </c>
      <c r="E268" s="3">
        <v>0</v>
      </c>
      <c r="F268" s="13">
        <v>0</v>
      </c>
      <c r="G268" s="6"/>
      <c r="H268" s="4">
        <f t="shared" si="25"/>
        <v>0</v>
      </c>
      <c r="I268" s="11">
        <f t="shared" si="26"/>
        <v>0</v>
      </c>
      <c r="J268" s="4">
        <v>0</v>
      </c>
      <c r="K268" s="13">
        <v>0</v>
      </c>
      <c r="L268" s="4">
        <f t="shared" si="27"/>
        <v>0</v>
      </c>
      <c r="M268" s="13">
        <f t="shared" si="28"/>
        <v>0</v>
      </c>
      <c r="N268" s="7"/>
    </row>
    <row r="269" spans="1:14" x14ac:dyDescent="0.25">
      <c r="A269" s="67" t="s">
        <v>602</v>
      </c>
      <c r="B269" s="68" t="s">
        <v>603</v>
      </c>
      <c r="C269" s="3">
        <v>2</v>
      </c>
      <c r="D269" s="13">
        <v>19.03</v>
      </c>
      <c r="E269" s="3">
        <v>0</v>
      </c>
      <c r="F269" s="13">
        <v>0</v>
      </c>
      <c r="G269" s="6">
        <f t="shared" si="24"/>
        <v>0</v>
      </c>
      <c r="H269" s="4">
        <f t="shared" si="25"/>
        <v>2</v>
      </c>
      <c r="I269" s="11">
        <f t="shared" si="26"/>
        <v>19.03</v>
      </c>
      <c r="J269" s="4">
        <v>0</v>
      </c>
      <c r="K269" s="13">
        <v>0</v>
      </c>
      <c r="L269" s="4">
        <f t="shared" si="27"/>
        <v>2</v>
      </c>
      <c r="M269" s="13">
        <f t="shared" si="28"/>
        <v>19.03</v>
      </c>
      <c r="N269" s="7"/>
    </row>
    <row r="270" spans="1:14" x14ac:dyDescent="0.25">
      <c r="A270" s="67" t="s">
        <v>640</v>
      </c>
      <c r="B270" s="68" t="s">
        <v>641</v>
      </c>
      <c r="C270" s="3">
        <v>0</v>
      </c>
      <c r="D270" s="13">
        <v>0</v>
      </c>
      <c r="E270" s="3">
        <v>0</v>
      </c>
      <c r="F270" s="13">
        <v>0</v>
      </c>
      <c r="G270" s="6" t="e">
        <f t="shared" si="24"/>
        <v>#DIV/0!</v>
      </c>
      <c r="H270" s="4">
        <f t="shared" si="25"/>
        <v>0</v>
      </c>
      <c r="I270" s="11">
        <f t="shared" si="26"/>
        <v>0</v>
      </c>
      <c r="J270" s="4">
        <v>0</v>
      </c>
      <c r="K270" s="13">
        <v>0</v>
      </c>
      <c r="L270" s="4">
        <f t="shared" si="27"/>
        <v>0</v>
      </c>
      <c r="M270" s="13">
        <f t="shared" si="28"/>
        <v>0</v>
      </c>
      <c r="N270" s="7"/>
    </row>
    <row r="271" spans="1:14" x14ac:dyDescent="0.25">
      <c r="A271" s="67" t="s">
        <v>702</v>
      </c>
      <c r="B271" s="68" t="s">
        <v>703</v>
      </c>
      <c r="C271" s="3">
        <v>2</v>
      </c>
      <c r="D271" s="13">
        <v>61.62</v>
      </c>
      <c r="E271" s="3">
        <v>0</v>
      </c>
      <c r="F271" s="13">
        <v>0</v>
      </c>
      <c r="G271" s="6">
        <f t="shared" si="24"/>
        <v>0</v>
      </c>
      <c r="H271" s="4">
        <f t="shared" si="25"/>
        <v>2</v>
      </c>
      <c r="I271" s="11">
        <f t="shared" si="26"/>
        <v>61.62</v>
      </c>
      <c r="J271" s="4">
        <v>1</v>
      </c>
      <c r="K271" s="13">
        <v>40.85</v>
      </c>
      <c r="L271" s="4">
        <f t="shared" si="27"/>
        <v>1</v>
      </c>
      <c r="M271" s="13">
        <f t="shared" si="28"/>
        <v>20.769999999999996</v>
      </c>
      <c r="N271" s="7">
        <f t="shared" si="29"/>
        <v>0.50844553243574042</v>
      </c>
    </row>
    <row r="272" spans="1:14" x14ac:dyDescent="0.25">
      <c r="A272" s="67" t="s">
        <v>648</v>
      </c>
      <c r="B272" s="68" t="s">
        <v>649</v>
      </c>
      <c r="C272" s="3">
        <v>0</v>
      </c>
      <c r="D272" s="13">
        <v>0</v>
      </c>
      <c r="E272" s="3">
        <v>0</v>
      </c>
      <c r="F272" s="13">
        <v>0</v>
      </c>
      <c r="G272" s="6"/>
      <c r="H272" s="4">
        <f t="shared" si="25"/>
        <v>0</v>
      </c>
      <c r="I272" s="11">
        <f t="shared" si="26"/>
        <v>0</v>
      </c>
      <c r="J272" s="4">
        <v>1</v>
      </c>
      <c r="K272" s="13">
        <v>8.11</v>
      </c>
      <c r="L272" s="4">
        <f t="shared" si="27"/>
        <v>-1</v>
      </c>
      <c r="M272" s="13">
        <f t="shared" si="28"/>
        <v>-8.11</v>
      </c>
      <c r="N272" s="7">
        <f t="shared" si="29"/>
        <v>-1</v>
      </c>
    </row>
    <row r="273" spans="1:14" x14ac:dyDescent="0.25">
      <c r="A273" s="67" t="s">
        <v>309</v>
      </c>
      <c r="B273" s="68" t="s">
        <v>308</v>
      </c>
      <c r="C273" s="3">
        <v>0</v>
      </c>
      <c r="D273" s="13">
        <v>0</v>
      </c>
      <c r="E273" s="3">
        <v>0</v>
      </c>
      <c r="F273" s="13">
        <v>0</v>
      </c>
      <c r="G273" s="6" t="e">
        <f t="shared" si="24"/>
        <v>#DIV/0!</v>
      </c>
      <c r="H273" s="4">
        <f t="shared" si="25"/>
        <v>0</v>
      </c>
      <c r="I273" s="11">
        <f t="shared" si="26"/>
        <v>0</v>
      </c>
      <c r="J273" s="4">
        <v>8</v>
      </c>
      <c r="K273" s="13">
        <v>173.22</v>
      </c>
      <c r="L273" s="4">
        <f t="shared" si="27"/>
        <v>-8</v>
      </c>
      <c r="M273" s="13">
        <f t="shared" si="28"/>
        <v>-173.22</v>
      </c>
      <c r="N273" s="7">
        <f t="shared" si="29"/>
        <v>-1</v>
      </c>
    </row>
    <row r="274" spans="1:14" x14ac:dyDescent="0.25">
      <c r="A274" s="67" t="s">
        <v>680</v>
      </c>
      <c r="B274" s="68" t="s">
        <v>681</v>
      </c>
      <c r="C274" s="3">
        <v>0</v>
      </c>
      <c r="D274" s="13">
        <v>0</v>
      </c>
      <c r="E274" s="3">
        <v>0</v>
      </c>
      <c r="F274" s="13">
        <v>0</v>
      </c>
      <c r="G274" s="6"/>
      <c r="H274" s="4">
        <f t="shared" si="25"/>
        <v>0</v>
      </c>
      <c r="I274" s="11">
        <f t="shared" si="26"/>
        <v>0</v>
      </c>
      <c r="J274" s="4">
        <v>-1</v>
      </c>
      <c r="K274" s="13">
        <v>-24.61</v>
      </c>
      <c r="L274" s="4">
        <f t="shared" si="27"/>
        <v>1</v>
      </c>
      <c r="M274" s="13">
        <f t="shared" si="28"/>
        <v>24.61</v>
      </c>
      <c r="N274" s="7">
        <f t="shared" si="29"/>
        <v>1</v>
      </c>
    </row>
    <row r="275" spans="1:14" x14ac:dyDescent="0.25">
      <c r="A275" s="67" t="s">
        <v>263</v>
      </c>
      <c r="B275" s="68" t="s">
        <v>262</v>
      </c>
      <c r="C275" s="3">
        <v>4</v>
      </c>
      <c r="D275" s="13">
        <v>70.400000000000006</v>
      </c>
      <c r="E275" s="4">
        <v>0</v>
      </c>
      <c r="F275" s="13">
        <v>0</v>
      </c>
      <c r="G275" s="6">
        <f t="shared" si="24"/>
        <v>0</v>
      </c>
      <c r="H275" s="4">
        <f t="shared" si="25"/>
        <v>4</v>
      </c>
      <c r="I275" s="11">
        <f t="shared" si="26"/>
        <v>70.400000000000006</v>
      </c>
      <c r="J275" s="4">
        <v>1</v>
      </c>
      <c r="K275" s="13">
        <v>12.61</v>
      </c>
      <c r="L275" s="4">
        <f t="shared" si="27"/>
        <v>3</v>
      </c>
      <c r="M275" s="13">
        <f t="shared" si="28"/>
        <v>57.790000000000006</v>
      </c>
      <c r="N275" s="7">
        <f t="shared" si="29"/>
        <v>4.5828707375099134</v>
      </c>
    </row>
    <row r="276" spans="1:14" x14ac:dyDescent="0.25">
      <c r="A276" s="67" t="s">
        <v>155</v>
      </c>
      <c r="B276" s="68" t="s">
        <v>154</v>
      </c>
      <c r="C276" s="3">
        <v>0</v>
      </c>
      <c r="D276" s="13">
        <v>0</v>
      </c>
      <c r="E276" s="4">
        <v>0</v>
      </c>
      <c r="F276" s="13">
        <v>0</v>
      </c>
      <c r="G276" s="6" t="e">
        <f t="shared" si="24"/>
        <v>#DIV/0!</v>
      </c>
      <c r="H276" s="4">
        <f t="shared" si="25"/>
        <v>0</v>
      </c>
      <c r="I276" s="11">
        <f t="shared" si="26"/>
        <v>0</v>
      </c>
      <c r="J276" s="4">
        <v>0</v>
      </c>
      <c r="K276" s="13">
        <v>0</v>
      </c>
      <c r="L276" s="4">
        <f t="shared" si="27"/>
        <v>0</v>
      </c>
      <c r="M276" s="13">
        <f t="shared" si="28"/>
        <v>0</v>
      </c>
      <c r="N276" s="7"/>
    </row>
    <row r="277" spans="1:14" x14ac:dyDescent="0.25">
      <c r="A277" s="67" t="s">
        <v>75</v>
      </c>
      <c r="B277" s="68" t="s">
        <v>74</v>
      </c>
      <c r="C277" s="3">
        <v>3</v>
      </c>
      <c r="D277" s="13">
        <v>76.64</v>
      </c>
      <c r="E277" s="4">
        <v>0</v>
      </c>
      <c r="F277" s="13">
        <v>0</v>
      </c>
      <c r="G277" s="6">
        <f t="shared" si="24"/>
        <v>0</v>
      </c>
      <c r="H277" s="4">
        <f t="shared" si="25"/>
        <v>3</v>
      </c>
      <c r="I277" s="11">
        <f t="shared" si="26"/>
        <v>76.64</v>
      </c>
      <c r="J277" s="4">
        <v>2</v>
      </c>
      <c r="K277" s="13">
        <v>49.42</v>
      </c>
      <c r="L277" s="4">
        <f t="shared" si="27"/>
        <v>1</v>
      </c>
      <c r="M277" s="13">
        <f t="shared" si="28"/>
        <v>27.22</v>
      </c>
      <c r="N277" s="7">
        <f t="shared" si="29"/>
        <v>0.55078915418858754</v>
      </c>
    </row>
    <row r="278" spans="1:14" x14ac:dyDescent="0.25">
      <c r="A278" s="67" t="s">
        <v>584</v>
      </c>
      <c r="B278" s="68" t="s">
        <v>585</v>
      </c>
      <c r="C278" s="3">
        <v>0</v>
      </c>
      <c r="D278" s="13">
        <v>0</v>
      </c>
      <c r="E278" s="4">
        <v>0</v>
      </c>
      <c r="F278" s="13">
        <v>0</v>
      </c>
      <c r="G278" s="6"/>
      <c r="H278" s="4">
        <f t="shared" si="25"/>
        <v>0</v>
      </c>
      <c r="I278" s="11">
        <f t="shared" si="26"/>
        <v>0</v>
      </c>
      <c r="J278" s="4">
        <v>-3</v>
      </c>
      <c r="K278" s="13">
        <v>-28.5</v>
      </c>
      <c r="L278" s="4">
        <f t="shared" si="27"/>
        <v>3</v>
      </c>
      <c r="M278" s="13">
        <f t="shared" si="28"/>
        <v>28.5</v>
      </c>
      <c r="N278" s="7">
        <f t="shared" si="29"/>
        <v>1</v>
      </c>
    </row>
    <row r="279" spans="1:14" x14ac:dyDescent="0.25">
      <c r="A279" s="67" t="s">
        <v>349</v>
      </c>
      <c r="B279" s="68" t="s">
        <v>348</v>
      </c>
      <c r="C279" s="3">
        <v>1</v>
      </c>
      <c r="D279" s="13">
        <v>17.850000000000001</v>
      </c>
      <c r="E279" s="4">
        <v>0</v>
      </c>
      <c r="F279" s="13">
        <v>0</v>
      </c>
      <c r="G279" s="6">
        <f t="shared" si="24"/>
        <v>0</v>
      </c>
      <c r="H279" s="4">
        <f t="shared" si="25"/>
        <v>1</v>
      </c>
      <c r="I279" s="11">
        <f t="shared" si="26"/>
        <v>17.850000000000001</v>
      </c>
      <c r="J279" s="4">
        <v>1</v>
      </c>
      <c r="K279" s="13">
        <v>11.83</v>
      </c>
      <c r="L279" s="4">
        <f t="shared" si="27"/>
        <v>0</v>
      </c>
      <c r="M279" s="13">
        <f t="shared" si="28"/>
        <v>6.0200000000000014</v>
      </c>
      <c r="N279" s="7">
        <f t="shared" si="29"/>
        <v>0.50887573964497057</v>
      </c>
    </row>
    <row r="280" spans="1:14" x14ac:dyDescent="0.25">
      <c r="A280" s="67" t="s">
        <v>674</v>
      </c>
      <c r="B280" s="68" t="s">
        <v>675</v>
      </c>
      <c r="C280" s="3">
        <v>0</v>
      </c>
      <c r="D280" s="13">
        <v>0</v>
      </c>
      <c r="E280" s="4">
        <v>0</v>
      </c>
      <c r="F280" s="13">
        <v>0</v>
      </c>
      <c r="G280" s="6"/>
      <c r="H280" s="4">
        <f t="shared" si="25"/>
        <v>0</v>
      </c>
      <c r="I280" s="11">
        <f t="shared" si="26"/>
        <v>0</v>
      </c>
      <c r="J280" s="4">
        <v>-1</v>
      </c>
      <c r="K280" s="13">
        <v>-10.84</v>
      </c>
      <c r="L280" s="4">
        <f t="shared" si="27"/>
        <v>1</v>
      </c>
      <c r="M280" s="13">
        <f t="shared" si="28"/>
        <v>10.84</v>
      </c>
      <c r="N280" s="7">
        <f t="shared" si="29"/>
        <v>1</v>
      </c>
    </row>
    <row r="281" spans="1:14" x14ac:dyDescent="0.25">
      <c r="A281" s="67" t="s">
        <v>736</v>
      </c>
      <c r="B281" s="68" t="s">
        <v>737</v>
      </c>
      <c r="C281" s="3">
        <v>1</v>
      </c>
      <c r="D281" s="13">
        <v>32.9</v>
      </c>
      <c r="E281" s="4">
        <v>0</v>
      </c>
      <c r="F281" s="13">
        <v>0</v>
      </c>
      <c r="G281" s="6">
        <f t="shared" si="24"/>
        <v>0</v>
      </c>
      <c r="H281" s="4">
        <f t="shared" si="25"/>
        <v>1</v>
      </c>
      <c r="I281" s="11">
        <f t="shared" si="26"/>
        <v>32.9</v>
      </c>
      <c r="J281" s="4">
        <v>0</v>
      </c>
      <c r="K281" s="13">
        <v>0</v>
      </c>
      <c r="L281" s="4">
        <f t="shared" si="27"/>
        <v>1</v>
      </c>
      <c r="M281" s="13">
        <f t="shared" si="28"/>
        <v>32.9</v>
      </c>
      <c r="N281" s="7"/>
    </row>
    <row r="282" spans="1:14" x14ac:dyDescent="0.25">
      <c r="A282" s="67" t="s">
        <v>722</v>
      </c>
      <c r="B282" s="68" t="s">
        <v>723</v>
      </c>
      <c r="C282" s="3">
        <v>0</v>
      </c>
      <c r="D282" s="13">
        <v>0</v>
      </c>
      <c r="E282" s="4">
        <v>0</v>
      </c>
      <c r="F282" s="13">
        <v>0</v>
      </c>
      <c r="G282" s="6"/>
      <c r="H282" s="4">
        <f t="shared" si="25"/>
        <v>0</v>
      </c>
      <c r="I282" s="11">
        <f t="shared" si="26"/>
        <v>0</v>
      </c>
      <c r="J282" s="4">
        <v>-2</v>
      </c>
      <c r="K282" s="13">
        <v>-33.44</v>
      </c>
      <c r="L282" s="4">
        <f t="shared" si="27"/>
        <v>2</v>
      </c>
      <c r="M282" s="13">
        <f t="shared" si="28"/>
        <v>33.44</v>
      </c>
      <c r="N282" s="7">
        <f t="shared" si="29"/>
        <v>1</v>
      </c>
    </row>
    <row r="283" spans="1:14" x14ac:dyDescent="0.25">
      <c r="A283" s="67" t="s">
        <v>121</v>
      </c>
      <c r="B283" s="68" t="s">
        <v>120</v>
      </c>
      <c r="C283" s="3">
        <v>2</v>
      </c>
      <c r="D283" s="13">
        <v>34.14</v>
      </c>
      <c r="E283" s="4">
        <v>0</v>
      </c>
      <c r="F283" s="13">
        <v>0</v>
      </c>
      <c r="G283" s="6">
        <f t="shared" si="24"/>
        <v>0</v>
      </c>
      <c r="H283" s="4">
        <f t="shared" si="25"/>
        <v>2</v>
      </c>
      <c r="I283" s="11">
        <f t="shared" si="26"/>
        <v>34.14</v>
      </c>
      <c r="J283" s="4">
        <v>0</v>
      </c>
      <c r="K283" s="13">
        <v>0</v>
      </c>
      <c r="L283" s="4">
        <f t="shared" si="27"/>
        <v>2</v>
      </c>
      <c r="M283" s="13">
        <f t="shared" si="28"/>
        <v>34.14</v>
      </c>
      <c r="N283" s="7"/>
    </row>
    <row r="284" spans="1:14" x14ac:dyDescent="0.25">
      <c r="A284" s="67" t="s">
        <v>536</v>
      </c>
      <c r="B284" s="68" t="s">
        <v>535</v>
      </c>
      <c r="C284" s="3">
        <v>2</v>
      </c>
      <c r="D284" s="13">
        <v>36.06</v>
      </c>
      <c r="E284" s="4">
        <v>0</v>
      </c>
      <c r="F284" s="13">
        <v>0</v>
      </c>
      <c r="G284" s="6">
        <f t="shared" si="24"/>
        <v>0</v>
      </c>
      <c r="H284" s="4">
        <f t="shared" si="25"/>
        <v>2</v>
      </c>
      <c r="I284" s="11">
        <f t="shared" si="26"/>
        <v>36.06</v>
      </c>
      <c r="J284" s="4">
        <v>0</v>
      </c>
      <c r="K284" s="13">
        <v>0</v>
      </c>
      <c r="L284" s="4">
        <f t="shared" si="27"/>
        <v>2</v>
      </c>
      <c r="M284" s="13">
        <f t="shared" si="28"/>
        <v>36.06</v>
      </c>
      <c r="N284" s="7"/>
    </row>
    <row r="285" spans="1:14" x14ac:dyDescent="0.25">
      <c r="A285" s="67" t="s">
        <v>630</v>
      </c>
      <c r="B285" s="68" t="s">
        <v>631</v>
      </c>
      <c r="C285" s="3">
        <v>1</v>
      </c>
      <c r="D285" s="13">
        <v>36.58</v>
      </c>
      <c r="E285" s="4">
        <v>0</v>
      </c>
      <c r="F285" s="13">
        <v>0</v>
      </c>
      <c r="G285" s="6">
        <f t="shared" si="24"/>
        <v>0</v>
      </c>
      <c r="H285" s="4">
        <f t="shared" si="25"/>
        <v>1</v>
      </c>
      <c r="I285" s="11">
        <f t="shared" si="26"/>
        <v>36.58</v>
      </c>
      <c r="J285" s="4">
        <v>0</v>
      </c>
      <c r="K285" s="13">
        <v>0</v>
      </c>
      <c r="L285" s="4">
        <f t="shared" si="27"/>
        <v>1</v>
      </c>
      <c r="M285" s="13">
        <f t="shared" si="28"/>
        <v>36.58</v>
      </c>
      <c r="N285" s="7"/>
    </row>
    <row r="286" spans="1:14" x14ac:dyDescent="0.25">
      <c r="A286" s="67" t="s">
        <v>71</v>
      </c>
      <c r="B286" s="68" t="s">
        <v>70</v>
      </c>
      <c r="C286" s="3">
        <v>16</v>
      </c>
      <c r="D286" s="13">
        <v>402.08000000000004</v>
      </c>
      <c r="E286" s="4">
        <v>0</v>
      </c>
      <c r="F286" s="13">
        <v>0</v>
      </c>
      <c r="G286" s="6">
        <f t="shared" si="24"/>
        <v>0</v>
      </c>
      <c r="H286" s="4">
        <f t="shared" si="25"/>
        <v>16</v>
      </c>
      <c r="I286" s="11">
        <f t="shared" si="26"/>
        <v>402.08000000000004</v>
      </c>
      <c r="J286" s="4">
        <v>11</v>
      </c>
      <c r="K286" s="13">
        <v>251.43</v>
      </c>
      <c r="L286" s="4">
        <f t="shared" si="27"/>
        <v>5</v>
      </c>
      <c r="M286" s="13">
        <f t="shared" si="28"/>
        <v>150.65000000000003</v>
      </c>
      <c r="N286" s="7">
        <f t="shared" si="29"/>
        <v>0.59917273197311394</v>
      </c>
    </row>
    <row r="287" spans="1:14" x14ac:dyDescent="0.25">
      <c r="A287" s="67" t="s">
        <v>35</v>
      </c>
      <c r="B287" s="68" t="s">
        <v>34</v>
      </c>
      <c r="C287" s="3">
        <v>0</v>
      </c>
      <c r="D287" s="13">
        <v>0</v>
      </c>
      <c r="E287" s="4">
        <v>0</v>
      </c>
      <c r="F287" s="13">
        <v>0</v>
      </c>
      <c r="G287" s="6" t="e">
        <f t="shared" si="24"/>
        <v>#DIV/0!</v>
      </c>
      <c r="H287" s="4">
        <f t="shared" si="25"/>
        <v>0</v>
      </c>
      <c r="I287" s="11">
        <f t="shared" si="26"/>
        <v>0</v>
      </c>
      <c r="J287" s="4">
        <v>0</v>
      </c>
      <c r="K287" s="13">
        <v>0</v>
      </c>
      <c r="L287" s="4">
        <f t="shared" si="27"/>
        <v>0</v>
      </c>
      <c r="M287" s="13">
        <f t="shared" si="28"/>
        <v>0</v>
      </c>
      <c r="N287" s="7"/>
    </row>
    <row r="288" spans="1:14" x14ac:dyDescent="0.25">
      <c r="A288" s="67" t="s">
        <v>37</v>
      </c>
      <c r="B288" s="68" t="s">
        <v>36</v>
      </c>
      <c r="C288" s="3">
        <v>8</v>
      </c>
      <c r="D288" s="13">
        <v>45.19</v>
      </c>
      <c r="E288" s="4">
        <v>0</v>
      </c>
      <c r="F288" s="13">
        <v>0</v>
      </c>
      <c r="G288" s="6">
        <f t="shared" si="24"/>
        <v>0</v>
      </c>
      <c r="H288" s="4">
        <f t="shared" si="25"/>
        <v>8</v>
      </c>
      <c r="I288" s="11">
        <f t="shared" si="26"/>
        <v>45.19</v>
      </c>
      <c r="J288" s="4">
        <v>0</v>
      </c>
      <c r="K288" s="13">
        <v>0</v>
      </c>
      <c r="L288" s="4">
        <f t="shared" si="27"/>
        <v>8</v>
      </c>
      <c r="M288" s="13">
        <f t="shared" si="28"/>
        <v>45.19</v>
      </c>
      <c r="N288" s="7"/>
    </row>
    <row r="289" spans="1:14" x14ac:dyDescent="0.25">
      <c r="A289" s="67" t="s">
        <v>113</v>
      </c>
      <c r="B289" s="68" t="s">
        <v>112</v>
      </c>
      <c r="C289" s="3">
        <v>3</v>
      </c>
      <c r="D289" s="13">
        <v>47.929999999999993</v>
      </c>
      <c r="E289" s="4">
        <v>0</v>
      </c>
      <c r="F289" s="13">
        <v>0</v>
      </c>
      <c r="G289" s="6">
        <f t="shared" si="24"/>
        <v>0</v>
      </c>
      <c r="H289" s="4">
        <f t="shared" si="25"/>
        <v>3</v>
      </c>
      <c r="I289" s="11">
        <f t="shared" si="26"/>
        <v>47.929999999999993</v>
      </c>
      <c r="J289" s="4">
        <v>3</v>
      </c>
      <c r="K289" s="13">
        <v>43.78</v>
      </c>
      <c r="L289" s="4">
        <f t="shared" si="27"/>
        <v>0</v>
      </c>
      <c r="M289" s="13">
        <f t="shared" si="28"/>
        <v>4.1499999999999915</v>
      </c>
      <c r="N289" s="7">
        <f t="shared" si="29"/>
        <v>9.4792142530835802E-2</v>
      </c>
    </row>
    <row r="290" spans="1:14" x14ac:dyDescent="0.25">
      <c r="A290" s="67" t="s">
        <v>305</v>
      </c>
      <c r="B290" s="68" t="s">
        <v>304</v>
      </c>
      <c r="C290" s="3">
        <v>16</v>
      </c>
      <c r="D290" s="13">
        <v>68.13</v>
      </c>
      <c r="E290" s="4">
        <v>0</v>
      </c>
      <c r="F290" s="13">
        <v>0</v>
      </c>
      <c r="G290" s="6">
        <f t="shared" si="24"/>
        <v>0</v>
      </c>
      <c r="H290" s="4">
        <f t="shared" si="25"/>
        <v>16</v>
      </c>
      <c r="I290" s="11">
        <f t="shared" si="26"/>
        <v>68.13</v>
      </c>
      <c r="J290" s="4">
        <v>2</v>
      </c>
      <c r="K290" s="13">
        <v>22.380000000000003</v>
      </c>
      <c r="L290" s="4">
        <f t="shared" si="27"/>
        <v>14</v>
      </c>
      <c r="M290" s="13">
        <f t="shared" si="28"/>
        <v>45.749999999999993</v>
      </c>
      <c r="N290" s="7">
        <f t="shared" si="29"/>
        <v>2.0442359249329751</v>
      </c>
    </row>
    <row r="291" spans="1:14" x14ac:dyDescent="0.25">
      <c r="A291" s="67" t="s">
        <v>95</v>
      </c>
      <c r="B291" s="68" t="s">
        <v>94</v>
      </c>
      <c r="C291" s="3">
        <v>3</v>
      </c>
      <c r="D291" s="13">
        <v>86.9</v>
      </c>
      <c r="E291" s="4">
        <v>0</v>
      </c>
      <c r="F291" s="13">
        <v>0</v>
      </c>
      <c r="G291" s="6">
        <f t="shared" si="24"/>
        <v>0</v>
      </c>
      <c r="H291" s="4">
        <f t="shared" si="25"/>
        <v>3</v>
      </c>
      <c r="I291" s="11">
        <f t="shared" si="26"/>
        <v>86.9</v>
      </c>
      <c r="J291" s="4">
        <v>1</v>
      </c>
      <c r="K291" s="13">
        <v>33.5</v>
      </c>
      <c r="L291" s="4">
        <f t="shared" si="27"/>
        <v>2</v>
      </c>
      <c r="M291" s="13">
        <f t="shared" si="28"/>
        <v>53.400000000000006</v>
      </c>
      <c r="N291" s="7">
        <f t="shared" si="29"/>
        <v>1.5940298507462689</v>
      </c>
    </row>
    <row r="292" spans="1:14" x14ac:dyDescent="0.25">
      <c r="A292" s="67" t="s">
        <v>383</v>
      </c>
      <c r="B292" s="68" t="s">
        <v>382</v>
      </c>
      <c r="C292" s="3">
        <v>12</v>
      </c>
      <c r="D292" s="13">
        <v>167.34</v>
      </c>
      <c r="E292" s="4">
        <v>0</v>
      </c>
      <c r="F292" s="13">
        <v>0</v>
      </c>
      <c r="G292" s="6">
        <f t="shared" si="24"/>
        <v>0</v>
      </c>
      <c r="H292" s="4">
        <f t="shared" si="25"/>
        <v>12</v>
      </c>
      <c r="I292" s="11">
        <f t="shared" si="26"/>
        <v>167.34</v>
      </c>
      <c r="J292" s="4">
        <v>6</v>
      </c>
      <c r="K292" s="13">
        <v>107.58000000000001</v>
      </c>
      <c r="L292" s="4">
        <f t="shared" si="27"/>
        <v>6</v>
      </c>
      <c r="M292" s="13">
        <f t="shared" si="28"/>
        <v>59.759999999999991</v>
      </c>
      <c r="N292" s="7">
        <f t="shared" si="29"/>
        <v>0.5554935861684327</v>
      </c>
    </row>
    <row r="293" spans="1:14" x14ac:dyDescent="0.25">
      <c r="A293" s="67" t="s">
        <v>209</v>
      </c>
      <c r="B293" s="68" t="s">
        <v>208</v>
      </c>
      <c r="C293" s="3">
        <v>0</v>
      </c>
      <c r="D293" s="13">
        <v>0</v>
      </c>
      <c r="E293" s="4">
        <v>0</v>
      </c>
      <c r="F293" s="13">
        <v>0</v>
      </c>
      <c r="G293" s="6"/>
      <c r="H293" s="4">
        <f t="shared" si="25"/>
        <v>0</v>
      </c>
      <c r="I293" s="11">
        <f t="shared" si="26"/>
        <v>0</v>
      </c>
      <c r="J293" s="4">
        <v>-3</v>
      </c>
      <c r="K293" s="13">
        <v>-55.37</v>
      </c>
      <c r="L293" s="4">
        <f t="shared" si="27"/>
        <v>3</v>
      </c>
      <c r="M293" s="13">
        <f t="shared" si="28"/>
        <v>55.37</v>
      </c>
      <c r="N293" s="7">
        <f t="shared" si="29"/>
        <v>1</v>
      </c>
    </row>
    <row r="294" spans="1:14" x14ac:dyDescent="0.25">
      <c r="A294" s="67" t="s">
        <v>89</v>
      </c>
      <c r="B294" s="68" t="s">
        <v>88</v>
      </c>
      <c r="C294" s="3">
        <v>1</v>
      </c>
      <c r="D294" s="13">
        <v>55.84</v>
      </c>
      <c r="E294" s="4">
        <v>0</v>
      </c>
      <c r="F294" s="13">
        <v>0</v>
      </c>
      <c r="G294" s="6">
        <f t="shared" si="24"/>
        <v>0</v>
      </c>
      <c r="H294" s="4">
        <f t="shared" si="25"/>
        <v>1</v>
      </c>
      <c r="I294" s="11">
        <f t="shared" si="26"/>
        <v>55.84</v>
      </c>
      <c r="J294" s="4">
        <v>0</v>
      </c>
      <c r="K294" s="13">
        <v>0</v>
      </c>
      <c r="L294" s="4">
        <f t="shared" si="27"/>
        <v>1</v>
      </c>
      <c r="M294" s="13">
        <f t="shared" si="28"/>
        <v>55.84</v>
      </c>
      <c r="N294" s="7"/>
    </row>
    <row r="295" spans="1:14" x14ac:dyDescent="0.25">
      <c r="A295" s="67" t="s">
        <v>93</v>
      </c>
      <c r="B295" s="68" t="s">
        <v>92</v>
      </c>
      <c r="C295" s="3">
        <v>6</v>
      </c>
      <c r="D295" s="13">
        <v>34.590000000000003</v>
      </c>
      <c r="E295" s="4">
        <v>0</v>
      </c>
      <c r="F295" s="13">
        <v>0</v>
      </c>
      <c r="G295" s="6">
        <f t="shared" si="24"/>
        <v>0</v>
      </c>
      <c r="H295" s="4">
        <f t="shared" si="25"/>
        <v>6</v>
      </c>
      <c r="I295" s="11">
        <f t="shared" si="26"/>
        <v>34.590000000000003</v>
      </c>
      <c r="J295" s="4">
        <v>2</v>
      </c>
      <c r="K295" s="13">
        <v>9.27</v>
      </c>
      <c r="L295" s="4">
        <f t="shared" si="27"/>
        <v>4</v>
      </c>
      <c r="M295" s="13">
        <f t="shared" si="28"/>
        <v>25.320000000000004</v>
      </c>
      <c r="N295" s="7">
        <f t="shared" si="29"/>
        <v>2.7313915857605182</v>
      </c>
    </row>
    <row r="296" spans="1:14" x14ac:dyDescent="0.25">
      <c r="A296" s="67" t="s">
        <v>506</v>
      </c>
      <c r="B296" s="68" t="s">
        <v>505</v>
      </c>
      <c r="C296" s="3">
        <v>4</v>
      </c>
      <c r="D296" s="13">
        <v>180.38</v>
      </c>
      <c r="E296" s="4">
        <v>0</v>
      </c>
      <c r="F296" s="13">
        <v>0</v>
      </c>
      <c r="G296" s="6">
        <f t="shared" si="24"/>
        <v>0</v>
      </c>
      <c r="H296" s="4">
        <f t="shared" si="25"/>
        <v>4</v>
      </c>
      <c r="I296" s="11">
        <f t="shared" si="26"/>
        <v>180.38</v>
      </c>
      <c r="J296" s="4">
        <v>1</v>
      </c>
      <c r="K296" s="13">
        <v>57.5</v>
      </c>
      <c r="L296" s="4">
        <f t="shared" si="27"/>
        <v>3</v>
      </c>
      <c r="M296" s="13">
        <f t="shared" si="28"/>
        <v>122.88</v>
      </c>
      <c r="N296" s="7">
        <f t="shared" si="29"/>
        <v>2.1370434782608694</v>
      </c>
    </row>
    <row r="297" spans="1:14" x14ac:dyDescent="0.25">
      <c r="A297" s="67" t="s">
        <v>429</v>
      </c>
      <c r="B297" s="68" t="s">
        <v>428</v>
      </c>
      <c r="C297" s="3">
        <v>2</v>
      </c>
      <c r="D297" s="13">
        <v>64.739999999999995</v>
      </c>
      <c r="E297" s="4">
        <v>0</v>
      </c>
      <c r="F297" s="13">
        <v>0</v>
      </c>
      <c r="G297" s="6">
        <f t="shared" si="24"/>
        <v>0</v>
      </c>
      <c r="H297" s="4">
        <f t="shared" si="25"/>
        <v>2</v>
      </c>
      <c r="I297" s="11">
        <f t="shared" si="26"/>
        <v>64.739999999999995</v>
      </c>
      <c r="J297" s="4">
        <v>0</v>
      </c>
      <c r="K297" s="13">
        <v>0</v>
      </c>
      <c r="L297" s="4">
        <f t="shared" si="27"/>
        <v>2</v>
      </c>
      <c r="M297" s="13">
        <f t="shared" si="28"/>
        <v>64.739999999999995</v>
      </c>
      <c r="N297" s="7"/>
    </row>
    <row r="298" spans="1:14" x14ac:dyDescent="0.25">
      <c r="A298" s="67" t="s">
        <v>439</v>
      </c>
      <c r="B298" s="68" t="s">
        <v>438</v>
      </c>
      <c r="C298" s="3">
        <v>628</v>
      </c>
      <c r="D298" s="13">
        <v>25.039999999999992</v>
      </c>
      <c r="E298" s="4">
        <v>0</v>
      </c>
      <c r="F298" s="13">
        <v>0</v>
      </c>
      <c r="G298" s="6">
        <f t="shared" si="24"/>
        <v>0</v>
      </c>
      <c r="H298" s="4">
        <f t="shared" si="25"/>
        <v>628</v>
      </c>
      <c r="I298" s="11">
        <f t="shared" si="26"/>
        <v>25.039999999999992</v>
      </c>
      <c r="J298" s="4">
        <v>0</v>
      </c>
      <c r="K298" s="13">
        <v>0</v>
      </c>
      <c r="L298" s="4">
        <f t="shared" si="27"/>
        <v>628</v>
      </c>
      <c r="M298" s="13">
        <f t="shared" si="28"/>
        <v>25.039999999999992</v>
      </c>
      <c r="N298" s="7"/>
    </row>
    <row r="299" spans="1:14" x14ac:dyDescent="0.25">
      <c r="A299" s="67" t="s">
        <v>441</v>
      </c>
      <c r="B299" s="68" t="s">
        <v>440</v>
      </c>
      <c r="C299" s="3">
        <v>19</v>
      </c>
      <c r="D299" s="13">
        <v>74.599999999999994</v>
      </c>
      <c r="E299" s="4">
        <v>0</v>
      </c>
      <c r="F299" s="13">
        <v>0</v>
      </c>
      <c r="G299" s="6">
        <f t="shared" si="24"/>
        <v>0</v>
      </c>
      <c r="H299" s="4">
        <f t="shared" si="25"/>
        <v>19</v>
      </c>
      <c r="I299" s="11">
        <f t="shared" si="26"/>
        <v>74.599999999999994</v>
      </c>
      <c r="J299" s="4">
        <v>0</v>
      </c>
      <c r="K299" s="13">
        <v>0</v>
      </c>
      <c r="L299" s="4">
        <f t="shared" si="27"/>
        <v>19</v>
      </c>
      <c r="M299" s="13">
        <f t="shared" si="28"/>
        <v>74.599999999999994</v>
      </c>
      <c r="N299" s="7"/>
    </row>
    <row r="300" spans="1:14" x14ac:dyDescent="0.25">
      <c r="A300" s="67" t="s">
        <v>97</v>
      </c>
      <c r="B300" s="68" t="s">
        <v>96</v>
      </c>
      <c r="C300" s="3">
        <v>2</v>
      </c>
      <c r="D300" s="13">
        <v>111.24</v>
      </c>
      <c r="E300" s="4">
        <v>0</v>
      </c>
      <c r="F300" s="13">
        <v>0</v>
      </c>
      <c r="G300" s="6">
        <f t="shared" si="24"/>
        <v>0</v>
      </c>
      <c r="H300" s="4">
        <f t="shared" si="25"/>
        <v>2</v>
      </c>
      <c r="I300" s="11">
        <f t="shared" si="26"/>
        <v>111.24</v>
      </c>
      <c r="J300" s="4">
        <v>1</v>
      </c>
      <c r="K300" s="13">
        <v>36.46</v>
      </c>
      <c r="L300" s="4">
        <f t="shared" si="27"/>
        <v>1</v>
      </c>
      <c r="M300" s="13">
        <f t="shared" si="28"/>
        <v>74.78</v>
      </c>
      <c r="N300" s="7">
        <f t="shared" si="29"/>
        <v>2.0510148107515085</v>
      </c>
    </row>
    <row r="301" spans="1:14" x14ac:dyDescent="0.25">
      <c r="A301" s="67" t="s">
        <v>335</v>
      </c>
      <c r="B301" s="68" t="s">
        <v>334</v>
      </c>
      <c r="C301" s="3">
        <v>17</v>
      </c>
      <c r="D301" s="13">
        <v>1513.85</v>
      </c>
      <c r="E301" s="4">
        <v>0</v>
      </c>
      <c r="F301" s="13">
        <v>0</v>
      </c>
      <c r="G301" s="6">
        <f t="shared" si="24"/>
        <v>0</v>
      </c>
      <c r="H301" s="4">
        <f t="shared" si="25"/>
        <v>17</v>
      </c>
      <c r="I301" s="11">
        <f t="shared" si="26"/>
        <v>1513.85</v>
      </c>
      <c r="J301" s="4">
        <v>3</v>
      </c>
      <c r="K301" s="13">
        <v>254.92999999999984</v>
      </c>
      <c r="L301" s="4">
        <f t="shared" si="27"/>
        <v>14</v>
      </c>
      <c r="M301" s="13">
        <f t="shared" si="28"/>
        <v>1258.92</v>
      </c>
      <c r="N301" s="7">
        <f t="shared" si="29"/>
        <v>4.9382967873533943</v>
      </c>
    </row>
    <row r="302" spans="1:14" x14ac:dyDescent="0.25">
      <c r="A302" s="67" t="s">
        <v>504</v>
      </c>
      <c r="B302" s="68" t="s">
        <v>503</v>
      </c>
      <c r="C302" s="3">
        <v>0</v>
      </c>
      <c r="D302" s="13">
        <v>0</v>
      </c>
      <c r="E302" s="4">
        <v>0</v>
      </c>
      <c r="F302" s="13">
        <v>0</v>
      </c>
      <c r="G302" s="6" t="e">
        <f t="shared" si="24"/>
        <v>#DIV/0!</v>
      </c>
      <c r="H302" s="4">
        <f t="shared" si="25"/>
        <v>0</v>
      </c>
      <c r="I302" s="11">
        <f t="shared" si="26"/>
        <v>0</v>
      </c>
      <c r="J302" s="4">
        <v>0</v>
      </c>
      <c r="K302" s="13">
        <v>0</v>
      </c>
      <c r="L302" s="4">
        <f t="shared" si="27"/>
        <v>0</v>
      </c>
      <c r="M302" s="13">
        <f t="shared" si="28"/>
        <v>0</v>
      </c>
      <c r="N302" s="7"/>
    </row>
    <row r="303" spans="1:14" x14ac:dyDescent="0.25">
      <c r="A303" s="67" t="s">
        <v>688</v>
      </c>
      <c r="B303" s="68" t="s">
        <v>689</v>
      </c>
      <c r="C303" s="3">
        <v>3</v>
      </c>
      <c r="D303" s="13">
        <v>167.51999999999998</v>
      </c>
      <c r="E303" s="4">
        <v>0</v>
      </c>
      <c r="F303" s="13">
        <v>0</v>
      </c>
      <c r="G303" s="6">
        <f t="shared" si="24"/>
        <v>0</v>
      </c>
      <c r="H303" s="4">
        <f t="shared" si="25"/>
        <v>3</v>
      </c>
      <c r="I303" s="11">
        <f t="shared" si="26"/>
        <v>167.51999999999998</v>
      </c>
      <c r="J303" s="4">
        <v>2</v>
      </c>
      <c r="K303" s="13">
        <v>75.819999999999993</v>
      </c>
      <c r="L303" s="4">
        <f t="shared" si="27"/>
        <v>1</v>
      </c>
      <c r="M303" s="13">
        <f t="shared" si="28"/>
        <v>91.699999999999989</v>
      </c>
      <c r="N303" s="7">
        <f t="shared" si="29"/>
        <v>1.2094434186230545</v>
      </c>
    </row>
    <row r="304" spans="1:14" x14ac:dyDescent="0.25">
      <c r="A304" s="67" t="s">
        <v>321</v>
      </c>
      <c r="B304" s="68" t="s">
        <v>320</v>
      </c>
      <c r="C304" s="3">
        <v>19</v>
      </c>
      <c r="D304" s="13">
        <v>314.53000000000003</v>
      </c>
      <c r="E304" s="4">
        <v>0</v>
      </c>
      <c r="F304" s="13">
        <v>0</v>
      </c>
      <c r="G304" s="6">
        <f t="shared" si="24"/>
        <v>0</v>
      </c>
      <c r="H304" s="4">
        <f t="shared" si="25"/>
        <v>19</v>
      </c>
      <c r="I304" s="11">
        <f t="shared" si="26"/>
        <v>314.53000000000003</v>
      </c>
      <c r="J304" s="4">
        <v>9</v>
      </c>
      <c r="K304" s="13">
        <v>212.49</v>
      </c>
      <c r="L304" s="4">
        <f t="shared" si="27"/>
        <v>10</v>
      </c>
      <c r="M304" s="13">
        <f t="shared" si="28"/>
        <v>102.04000000000002</v>
      </c>
      <c r="N304" s="7">
        <f t="shared" si="29"/>
        <v>0.48021083345098603</v>
      </c>
    </row>
    <row r="305" spans="1:14" x14ac:dyDescent="0.25">
      <c r="A305" s="67" t="s">
        <v>107</v>
      </c>
      <c r="B305" s="68" t="s">
        <v>106</v>
      </c>
      <c r="C305" s="3">
        <v>6</v>
      </c>
      <c r="D305" s="13">
        <v>89.58</v>
      </c>
      <c r="E305" s="4">
        <v>0</v>
      </c>
      <c r="F305" s="13">
        <v>0</v>
      </c>
      <c r="G305" s="6">
        <f t="shared" si="24"/>
        <v>0</v>
      </c>
      <c r="H305" s="4">
        <f t="shared" si="25"/>
        <v>6</v>
      </c>
      <c r="I305" s="11">
        <f t="shared" si="26"/>
        <v>89.58</v>
      </c>
      <c r="J305" s="4">
        <v>1</v>
      </c>
      <c r="K305" s="13">
        <v>23.019999999999996</v>
      </c>
      <c r="L305" s="4">
        <f t="shared" si="27"/>
        <v>5</v>
      </c>
      <c r="M305" s="13">
        <f t="shared" si="28"/>
        <v>66.56</v>
      </c>
      <c r="N305" s="7">
        <f t="shared" si="29"/>
        <v>2.8913987836663777</v>
      </c>
    </row>
    <row r="306" spans="1:14" x14ac:dyDescent="0.25">
      <c r="A306" s="67" t="s">
        <v>67</v>
      </c>
      <c r="B306" s="68" t="s">
        <v>66</v>
      </c>
      <c r="C306" s="3">
        <v>24</v>
      </c>
      <c r="D306" s="13">
        <v>832.16</v>
      </c>
      <c r="E306" s="4">
        <v>0</v>
      </c>
      <c r="F306" s="13">
        <v>0</v>
      </c>
      <c r="G306" s="6">
        <f t="shared" si="24"/>
        <v>0</v>
      </c>
      <c r="H306" s="4">
        <f t="shared" si="25"/>
        <v>24</v>
      </c>
      <c r="I306" s="11">
        <f t="shared" si="26"/>
        <v>832.16</v>
      </c>
      <c r="J306" s="4">
        <v>24</v>
      </c>
      <c r="K306" s="13">
        <v>717.56999999999994</v>
      </c>
      <c r="L306" s="4">
        <f t="shared" si="27"/>
        <v>0</v>
      </c>
      <c r="M306" s="13">
        <f t="shared" si="28"/>
        <v>114.59000000000003</v>
      </c>
      <c r="N306" s="7">
        <f t="shared" si="29"/>
        <v>0.15969173739147405</v>
      </c>
    </row>
    <row r="307" spans="1:14" x14ac:dyDescent="0.25">
      <c r="A307" s="67" t="s">
        <v>403</v>
      </c>
      <c r="B307" s="68" t="s">
        <v>402</v>
      </c>
      <c r="C307" s="3">
        <v>4</v>
      </c>
      <c r="D307" s="13">
        <v>193.73999999999995</v>
      </c>
      <c r="E307" s="4">
        <v>0</v>
      </c>
      <c r="F307" s="13">
        <v>0</v>
      </c>
      <c r="G307" s="6">
        <f t="shared" si="24"/>
        <v>0</v>
      </c>
      <c r="H307" s="4">
        <f t="shared" si="25"/>
        <v>4</v>
      </c>
      <c r="I307" s="11">
        <f t="shared" si="26"/>
        <v>193.73999999999995</v>
      </c>
      <c r="J307" s="4">
        <v>4</v>
      </c>
      <c r="K307" s="13">
        <v>126.90999999999997</v>
      </c>
      <c r="L307" s="4">
        <f t="shared" si="27"/>
        <v>0</v>
      </c>
      <c r="M307" s="13">
        <f t="shared" si="28"/>
        <v>66.829999999999984</v>
      </c>
      <c r="N307" s="7">
        <f t="shared" si="29"/>
        <v>0.52659364904262862</v>
      </c>
    </row>
    <row r="308" spans="1:14" x14ac:dyDescent="0.25">
      <c r="A308" s="67" t="s">
        <v>556</v>
      </c>
      <c r="B308" s="68" t="s">
        <v>555</v>
      </c>
      <c r="C308" s="3">
        <v>32</v>
      </c>
      <c r="D308" s="13">
        <v>127.69999999999999</v>
      </c>
      <c r="E308" s="4">
        <v>0</v>
      </c>
      <c r="F308" s="13">
        <v>0</v>
      </c>
      <c r="G308" s="6">
        <f t="shared" si="24"/>
        <v>0</v>
      </c>
      <c r="H308" s="4">
        <f t="shared" si="25"/>
        <v>32</v>
      </c>
      <c r="I308" s="11">
        <f t="shared" si="26"/>
        <v>127.69999999999999</v>
      </c>
      <c r="J308" s="4">
        <v>0</v>
      </c>
      <c r="K308" s="13">
        <v>0</v>
      </c>
      <c r="L308" s="4">
        <f t="shared" si="27"/>
        <v>32</v>
      </c>
      <c r="M308" s="13">
        <f t="shared" si="28"/>
        <v>127.69999999999999</v>
      </c>
      <c r="N308" s="7"/>
    </row>
    <row r="309" spans="1:14" x14ac:dyDescent="0.25">
      <c r="A309" s="67" t="s">
        <v>496</v>
      </c>
      <c r="B309" s="68" t="s">
        <v>495</v>
      </c>
      <c r="C309" s="3">
        <v>23</v>
      </c>
      <c r="D309" s="13">
        <v>572.32000000000005</v>
      </c>
      <c r="E309" s="4">
        <v>0</v>
      </c>
      <c r="F309" s="13">
        <v>0</v>
      </c>
      <c r="G309" s="6">
        <f t="shared" si="24"/>
        <v>0</v>
      </c>
      <c r="H309" s="4">
        <f t="shared" si="25"/>
        <v>23</v>
      </c>
      <c r="I309" s="11">
        <f t="shared" si="26"/>
        <v>572.32000000000005</v>
      </c>
      <c r="J309" s="4">
        <v>18</v>
      </c>
      <c r="K309" s="13">
        <v>443.33</v>
      </c>
      <c r="L309" s="4">
        <f t="shared" si="27"/>
        <v>5</v>
      </c>
      <c r="M309" s="13">
        <f t="shared" si="28"/>
        <v>128.99000000000007</v>
      </c>
      <c r="N309" s="7">
        <f t="shared" si="29"/>
        <v>0.29095707486522471</v>
      </c>
    </row>
    <row r="310" spans="1:14" x14ac:dyDescent="0.25">
      <c r="A310" s="67" t="s">
        <v>435</v>
      </c>
      <c r="B310" s="68" t="s">
        <v>434</v>
      </c>
      <c r="C310" s="3">
        <v>4</v>
      </c>
      <c r="D310" s="13">
        <v>134.18</v>
      </c>
      <c r="E310" s="4">
        <v>0</v>
      </c>
      <c r="F310" s="13">
        <v>0</v>
      </c>
      <c r="G310" s="6">
        <f t="shared" si="24"/>
        <v>0</v>
      </c>
      <c r="H310" s="4">
        <f t="shared" si="25"/>
        <v>4</v>
      </c>
      <c r="I310" s="11">
        <f t="shared" si="26"/>
        <v>134.18</v>
      </c>
      <c r="J310" s="4">
        <v>0</v>
      </c>
      <c r="K310" s="13">
        <v>0</v>
      </c>
      <c r="L310" s="4">
        <f t="shared" si="27"/>
        <v>4</v>
      </c>
      <c r="M310" s="13">
        <f t="shared" si="28"/>
        <v>134.18</v>
      </c>
      <c r="N310" s="7"/>
    </row>
    <row r="311" spans="1:14" x14ac:dyDescent="0.25">
      <c r="A311" s="67" t="s">
        <v>425</v>
      </c>
      <c r="B311" s="68" t="s">
        <v>424</v>
      </c>
      <c r="C311" s="3">
        <v>3</v>
      </c>
      <c r="D311" s="13">
        <v>42.370000000000005</v>
      </c>
      <c r="E311" s="4">
        <v>0</v>
      </c>
      <c r="F311" s="13">
        <v>0</v>
      </c>
      <c r="G311" s="6">
        <f t="shared" si="24"/>
        <v>0</v>
      </c>
      <c r="H311" s="4">
        <f t="shared" si="25"/>
        <v>3</v>
      </c>
      <c r="I311" s="11">
        <f t="shared" si="26"/>
        <v>42.370000000000005</v>
      </c>
      <c r="J311" s="4">
        <v>0</v>
      </c>
      <c r="K311" s="13">
        <v>0</v>
      </c>
      <c r="L311" s="4">
        <f t="shared" si="27"/>
        <v>3</v>
      </c>
      <c r="M311" s="13">
        <f t="shared" si="28"/>
        <v>42.370000000000005</v>
      </c>
      <c r="N311" s="7"/>
    </row>
    <row r="312" spans="1:14" x14ac:dyDescent="0.25">
      <c r="A312" s="67" t="s">
        <v>303</v>
      </c>
      <c r="B312" s="68" t="s">
        <v>302</v>
      </c>
      <c r="C312" s="3">
        <v>26</v>
      </c>
      <c r="D312" s="13">
        <v>317.34000000000003</v>
      </c>
      <c r="E312" s="4">
        <v>0</v>
      </c>
      <c r="F312" s="13">
        <v>0</v>
      </c>
      <c r="G312" s="6">
        <f t="shared" si="24"/>
        <v>0</v>
      </c>
      <c r="H312" s="4">
        <f t="shared" si="25"/>
        <v>26</v>
      </c>
      <c r="I312" s="11">
        <f t="shared" si="26"/>
        <v>317.34000000000003</v>
      </c>
      <c r="J312" s="4">
        <v>6</v>
      </c>
      <c r="K312" s="13">
        <v>61.369999999999948</v>
      </c>
      <c r="L312" s="4">
        <f t="shared" si="27"/>
        <v>20</v>
      </c>
      <c r="M312" s="13">
        <f t="shared" si="28"/>
        <v>255.97000000000008</v>
      </c>
      <c r="N312" s="7">
        <f t="shared" si="29"/>
        <v>4.1709304220303132</v>
      </c>
    </row>
    <row r="313" spans="1:14" x14ac:dyDescent="0.25">
      <c r="A313" s="67" t="s">
        <v>327</v>
      </c>
      <c r="B313" s="68" t="s">
        <v>326</v>
      </c>
      <c r="C313" s="3">
        <v>2</v>
      </c>
      <c r="D313" s="13">
        <v>123.14000000000001</v>
      </c>
      <c r="E313" s="4">
        <v>0</v>
      </c>
      <c r="F313" s="13">
        <v>0</v>
      </c>
      <c r="G313" s="6">
        <f t="shared" si="24"/>
        <v>0</v>
      </c>
      <c r="H313" s="4">
        <f t="shared" si="25"/>
        <v>2</v>
      </c>
      <c r="I313" s="11">
        <f t="shared" si="26"/>
        <v>123.14000000000001</v>
      </c>
      <c r="J313" s="4">
        <v>0</v>
      </c>
      <c r="K313" s="13">
        <v>0</v>
      </c>
      <c r="L313" s="4">
        <f t="shared" si="27"/>
        <v>2</v>
      </c>
      <c r="M313" s="13">
        <f t="shared" si="28"/>
        <v>123.14000000000001</v>
      </c>
      <c r="N313" s="7"/>
    </row>
    <row r="314" spans="1:14" x14ac:dyDescent="0.25">
      <c r="A314" s="67" t="s">
        <v>433</v>
      </c>
      <c r="B314" s="68" t="s">
        <v>432</v>
      </c>
      <c r="C314" s="3">
        <v>6</v>
      </c>
      <c r="D314" s="13">
        <v>183.79</v>
      </c>
      <c r="E314" s="4">
        <v>0</v>
      </c>
      <c r="F314" s="13">
        <v>0</v>
      </c>
      <c r="G314" s="6">
        <f t="shared" si="24"/>
        <v>0</v>
      </c>
      <c r="H314" s="4">
        <f t="shared" si="25"/>
        <v>6</v>
      </c>
      <c r="I314" s="11">
        <f t="shared" si="26"/>
        <v>183.79</v>
      </c>
      <c r="J314" s="4">
        <v>0</v>
      </c>
      <c r="K314" s="13">
        <v>0</v>
      </c>
      <c r="L314" s="4">
        <f t="shared" si="27"/>
        <v>6</v>
      </c>
      <c r="M314" s="13">
        <f t="shared" si="28"/>
        <v>183.79</v>
      </c>
      <c r="N314" s="7"/>
    </row>
    <row r="315" spans="1:14" x14ac:dyDescent="0.25">
      <c r="A315" s="67" t="s">
        <v>373</v>
      </c>
      <c r="B315" s="68" t="s">
        <v>372</v>
      </c>
      <c r="C315" s="3">
        <v>11</v>
      </c>
      <c r="D315" s="13">
        <v>526.74</v>
      </c>
      <c r="E315" s="4">
        <v>0</v>
      </c>
      <c r="F315" s="13">
        <v>0</v>
      </c>
      <c r="G315" s="6">
        <f t="shared" si="24"/>
        <v>0</v>
      </c>
      <c r="H315" s="4">
        <f t="shared" si="25"/>
        <v>11</v>
      </c>
      <c r="I315" s="11">
        <f t="shared" si="26"/>
        <v>526.74</v>
      </c>
      <c r="J315" s="4">
        <v>7</v>
      </c>
      <c r="K315" s="13">
        <v>342.03999999999996</v>
      </c>
      <c r="L315" s="4">
        <f t="shared" si="27"/>
        <v>4</v>
      </c>
      <c r="M315" s="13">
        <f t="shared" si="28"/>
        <v>184.70000000000005</v>
      </c>
      <c r="N315" s="7">
        <f t="shared" si="29"/>
        <v>0.53999532218454005</v>
      </c>
    </row>
    <row r="316" spans="1:14" x14ac:dyDescent="0.25">
      <c r="A316" s="67" t="s">
        <v>237</v>
      </c>
      <c r="B316" s="68" t="s">
        <v>236</v>
      </c>
      <c r="C316" s="3">
        <v>11</v>
      </c>
      <c r="D316" s="13">
        <v>181.73000000000008</v>
      </c>
      <c r="E316" s="4">
        <v>0</v>
      </c>
      <c r="F316" s="13">
        <v>0</v>
      </c>
      <c r="G316" s="6">
        <f t="shared" si="24"/>
        <v>0</v>
      </c>
      <c r="H316" s="4">
        <f t="shared" si="25"/>
        <v>11</v>
      </c>
      <c r="I316" s="11">
        <f t="shared" si="26"/>
        <v>181.73000000000008</v>
      </c>
      <c r="J316" s="4">
        <v>5</v>
      </c>
      <c r="K316" s="13">
        <v>94.02000000000001</v>
      </c>
      <c r="L316" s="4">
        <f t="shared" si="27"/>
        <v>6</v>
      </c>
      <c r="M316" s="13">
        <f t="shared" si="28"/>
        <v>87.710000000000065</v>
      </c>
      <c r="N316" s="7">
        <f t="shared" si="29"/>
        <v>0.93288661986811372</v>
      </c>
    </row>
    <row r="317" spans="1:14" x14ac:dyDescent="0.25">
      <c r="A317" s="67" t="s">
        <v>61</v>
      </c>
      <c r="B317" s="68" t="s">
        <v>60</v>
      </c>
      <c r="C317" s="3">
        <v>1</v>
      </c>
      <c r="D317" s="13">
        <v>20.579999999999984</v>
      </c>
      <c r="E317" s="4">
        <v>0</v>
      </c>
      <c r="F317" s="13">
        <v>0</v>
      </c>
      <c r="G317" s="6">
        <f t="shared" si="24"/>
        <v>0</v>
      </c>
      <c r="H317" s="4">
        <f t="shared" si="25"/>
        <v>1</v>
      </c>
      <c r="I317" s="11">
        <f t="shared" si="26"/>
        <v>20.579999999999984</v>
      </c>
      <c r="J317" s="4">
        <v>0</v>
      </c>
      <c r="K317" s="13">
        <v>0</v>
      </c>
      <c r="L317" s="4">
        <f t="shared" si="27"/>
        <v>1</v>
      </c>
      <c r="M317" s="13">
        <f t="shared" si="28"/>
        <v>20.579999999999984</v>
      </c>
      <c r="N317" s="7"/>
    </row>
    <row r="318" spans="1:14" x14ac:dyDescent="0.25">
      <c r="A318" s="67" t="s">
        <v>359</v>
      </c>
      <c r="B318" s="68" t="s">
        <v>358</v>
      </c>
      <c r="C318" s="3">
        <v>7</v>
      </c>
      <c r="D318" s="13">
        <v>247.94</v>
      </c>
      <c r="E318" s="4">
        <v>0</v>
      </c>
      <c r="F318" s="13">
        <v>0</v>
      </c>
      <c r="G318" s="6">
        <f t="shared" si="24"/>
        <v>0</v>
      </c>
      <c r="H318" s="4">
        <f t="shared" si="25"/>
        <v>7</v>
      </c>
      <c r="I318" s="11">
        <f t="shared" si="26"/>
        <v>247.94</v>
      </c>
      <c r="J318" s="4">
        <v>2</v>
      </c>
      <c r="K318" s="13">
        <v>38.61</v>
      </c>
      <c r="L318" s="4">
        <f t="shared" si="27"/>
        <v>5</v>
      </c>
      <c r="M318" s="13">
        <f t="shared" si="28"/>
        <v>209.32999999999998</v>
      </c>
      <c r="N318" s="7">
        <f t="shared" si="29"/>
        <v>5.4216524216524213</v>
      </c>
    </row>
    <row r="319" spans="1:14" x14ac:dyDescent="0.25">
      <c r="A319" s="67" t="s">
        <v>15</v>
      </c>
      <c r="B319" s="68" t="s">
        <v>14</v>
      </c>
      <c r="C319" s="3">
        <v>9</v>
      </c>
      <c r="D319" s="13">
        <v>97.499999999999972</v>
      </c>
      <c r="E319" s="4">
        <v>0</v>
      </c>
      <c r="F319" s="13">
        <v>0</v>
      </c>
      <c r="G319" s="6">
        <f t="shared" si="24"/>
        <v>0</v>
      </c>
      <c r="H319" s="4">
        <f t="shared" si="25"/>
        <v>9</v>
      </c>
      <c r="I319" s="11">
        <f t="shared" si="26"/>
        <v>97.499999999999972</v>
      </c>
      <c r="J319" s="4">
        <v>0</v>
      </c>
      <c r="K319" s="13">
        <v>0</v>
      </c>
      <c r="L319" s="4">
        <f t="shared" si="27"/>
        <v>9</v>
      </c>
      <c r="M319" s="13">
        <f t="shared" si="28"/>
        <v>97.499999999999972</v>
      </c>
      <c r="N319" s="7"/>
    </row>
    <row r="320" spans="1:14" x14ac:dyDescent="0.25">
      <c r="A320" s="67" t="s">
        <v>744</v>
      </c>
      <c r="B320" s="68" t="s">
        <v>745</v>
      </c>
      <c r="C320" s="3">
        <v>0</v>
      </c>
      <c r="D320" s="13">
        <v>0</v>
      </c>
      <c r="E320" s="4">
        <v>0</v>
      </c>
      <c r="F320" s="13">
        <v>0</v>
      </c>
      <c r="G320" s="6" t="e">
        <f t="shared" si="24"/>
        <v>#DIV/0!</v>
      </c>
      <c r="H320" s="4">
        <f t="shared" si="25"/>
        <v>0</v>
      </c>
      <c r="I320" s="11">
        <f t="shared" si="26"/>
        <v>0</v>
      </c>
      <c r="J320" s="4">
        <v>0</v>
      </c>
      <c r="K320" s="13">
        <v>0</v>
      </c>
      <c r="L320" s="4">
        <f t="shared" si="27"/>
        <v>0</v>
      </c>
      <c r="M320" s="13">
        <f t="shared" si="28"/>
        <v>0</v>
      </c>
      <c r="N320" s="7"/>
    </row>
    <row r="321" spans="1:14" x14ac:dyDescent="0.25">
      <c r="A321" s="67" t="s">
        <v>413</v>
      </c>
      <c r="B321" s="68" t="s">
        <v>412</v>
      </c>
      <c r="C321" s="3">
        <v>5</v>
      </c>
      <c r="D321" s="13">
        <v>321.74</v>
      </c>
      <c r="E321" s="4">
        <v>0</v>
      </c>
      <c r="F321" s="13">
        <v>0</v>
      </c>
      <c r="G321" s="6">
        <f t="shared" si="24"/>
        <v>0</v>
      </c>
      <c r="H321" s="4">
        <f t="shared" si="25"/>
        <v>5</v>
      </c>
      <c r="I321" s="11">
        <f t="shared" si="26"/>
        <v>321.74</v>
      </c>
      <c r="J321" s="4">
        <v>1</v>
      </c>
      <c r="K321" s="13">
        <v>83.19</v>
      </c>
      <c r="L321" s="4">
        <f t="shared" si="27"/>
        <v>4</v>
      </c>
      <c r="M321" s="13">
        <f t="shared" si="28"/>
        <v>238.55</v>
      </c>
      <c r="N321" s="7">
        <f t="shared" si="29"/>
        <v>2.8675321553071287</v>
      </c>
    </row>
    <row r="322" spans="1:14" x14ac:dyDescent="0.25">
      <c r="A322" s="67" t="s">
        <v>740</v>
      </c>
      <c r="B322" s="68" t="s">
        <v>741</v>
      </c>
      <c r="C322" s="3">
        <v>2</v>
      </c>
      <c r="D322" s="13">
        <v>248.52</v>
      </c>
      <c r="E322" s="4">
        <v>0</v>
      </c>
      <c r="F322" s="13">
        <v>0</v>
      </c>
      <c r="G322" s="6">
        <f t="shared" si="24"/>
        <v>0</v>
      </c>
      <c r="H322" s="4">
        <f t="shared" si="25"/>
        <v>2</v>
      </c>
      <c r="I322" s="11">
        <f t="shared" si="26"/>
        <v>248.52</v>
      </c>
      <c r="J322" s="4">
        <v>0</v>
      </c>
      <c r="K322" s="13">
        <v>0</v>
      </c>
      <c r="L322" s="4">
        <f t="shared" si="27"/>
        <v>2</v>
      </c>
      <c r="M322" s="13">
        <f t="shared" si="28"/>
        <v>248.52</v>
      </c>
      <c r="N322" s="7"/>
    </row>
    <row r="323" spans="1:14" x14ac:dyDescent="0.25">
      <c r="A323" s="67" t="s">
        <v>367</v>
      </c>
      <c r="B323" s="68" t="s">
        <v>366</v>
      </c>
      <c r="C323" s="3">
        <v>33</v>
      </c>
      <c r="D323" s="13">
        <v>824.66999999999985</v>
      </c>
      <c r="E323" s="4">
        <v>0</v>
      </c>
      <c r="F323" s="13">
        <v>0</v>
      </c>
      <c r="G323" s="6">
        <f t="shared" ref="G323:G386" si="30">F323/I323</f>
        <v>0</v>
      </c>
      <c r="H323" s="4">
        <f t="shared" ref="H323:H386" si="31">C323+E323</f>
        <v>33</v>
      </c>
      <c r="I323" s="11">
        <f t="shared" ref="I323:I385" si="32">D323+F323</f>
        <v>824.66999999999985</v>
      </c>
      <c r="J323" s="4">
        <v>19</v>
      </c>
      <c r="K323" s="13">
        <v>473.69000000000005</v>
      </c>
      <c r="L323" s="4">
        <f t="shared" ref="L323:L387" si="33">H323-J323</f>
        <v>14</v>
      </c>
      <c r="M323" s="13">
        <f t="shared" ref="M323:M386" si="34">I323-K323</f>
        <v>350.97999999999979</v>
      </c>
      <c r="N323" s="7">
        <f t="shared" ref="N323:N385" si="35">M323/ABS(K323)</f>
        <v>0.74094872173784487</v>
      </c>
    </row>
    <row r="324" spans="1:14" x14ac:dyDescent="0.25">
      <c r="A324" s="67" t="s">
        <v>41</v>
      </c>
      <c r="B324" s="68" t="s">
        <v>40</v>
      </c>
      <c r="C324" s="3">
        <v>26</v>
      </c>
      <c r="D324" s="13">
        <v>2297.1</v>
      </c>
      <c r="E324" s="4">
        <v>0</v>
      </c>
      <c r="F324" s="13">
        <v>0</v>
      </c>
      <c r="G324" s="6">
        <f t="shared" si="30"/>
        <v>0</v>
      </c>
      <c r="H324" s="4">
        <f t="shared" si="31"/>
        <v>26</v>
      </c>
      <c r="I324" s="11">
        <f t="shared" si="32"/>
        <v>2297.1</v>
      </c>
      <c r="J324" s="4">
        <v>17</v>
      </c>
      <c r="K324" s="13">
        <v>1296.3699999999999</v>
      </c>
      <c r="L324" s="4">
        <f t="shared" si="33"/>
        <v>9</v>
      </c>
      <c r="M324" s="13">
        <f t="shared" si="34"/>
        <v>1000.73</v>
      </c>
      <c r="N324" s="7">
        <f t="shared" si="35"/>
        <v>0.77194782353803315</v>
      </c>
    </row>
    <row r="325" spans="1:14" x14ac:dyDescent="0.25">
      <c r="A325" s="67" t="s">
        <v>175</v>
      </c>
      <c r="B325" s="68" t="s">
        <v>174</v>
      </c>
      <c r="C325" s="3">
        <v>12</v>
      </c>
      <c r="D325" s="13">
        <v>285.27999999999997</v>
      </c>
      <c r="E325" s="4">
        <v>0</v>
      </c>
      <c r="F325" s="13">
        <v>0</v>
      </c>
      <c r="G325" s="6">
        <f t="shared" si="30"/>
        <v>0</v>
      </c>
      <c r="H325" s="4">
        <f t="shared" si="31"/>
        <v>12</v>
      </c>
      <c r="I325" s="11">
        <f t="shared" si="32"/>
        <v>285.27999999999997</v>
      </c>
      <c r="J325" s="4">
        <v>0</v>
      </c>
      <c r="K325" s="13">
        <v>0</v>
      </c>
      <c r="L325" s="4">
        <f t="shared" si="33"/>
        <v>12</v>
      </c>
      <c r="M325" s="13">
        <f t="shared" si="34"/>
        <v>285.27999999999997</v>
      </c>
      <c r="N325" s="7"/>
    </row>
    <row r="326" spans="1:14" x14ac:dyDescent="0.25">
      <c r="A326" s="67" t="s">
        <v>279</v>
      </c>
      <c r="B326" s="68" t="s">
        <v>278</v>
      </c>
      <c r="C326" s="3">
        <v>24</v>
      </c>
      <c r="D326" s="13">
        <v>184.97</v>
      </c>
      <c r="E326" s="4">
        <v>0</v>
      </c>
      <c r="F326" s="13">
        <v>0</v>
      </c>
      <c r="G326" s="6">
        <f t="shared" si="30"/>
        <v>0</v>
      </c>
      <c r="H326" s="4">
        <f t="shared" si="31"/>
        <v>24</v>
      </c>
      <c r="I326" s="11">
        <f t="shared" si="32"/>
        <v>184.97</v>
      </c>
      <c r="J326" s="4">
        <v>1</v>
      </c>
      <c r="K326" s="13">
        <v>12.420000000000002</v>
      </c>
      <c r="L326" s="4">
        <f t="shared" si="33"/>
        <v>23</v>
      </c>
      <c r="M326" s="13">
        <f t="shared" si="34"/>
        <v>172.55</v>
      </c>
      <c r="N326" s="7">
        <f t="shared" si="35"/>
        <v>13.892914653784217</v>
      </c>
    </row>
    <row r="327" spans="1:14" x14ac:dyDescent="0.25">
      <c r="A327" s="67" t="s">
        <v>179</v>
      </c>
      <c r="B327" s="68" t="s">
        <v>178</v>
      </c>
      <c r="C327" s="3">
        <v>10</v>
      </c>
      <c r="D327" s="13">
        <v>330.9</v>
      </c>
      <c r="E327" s="4">
        <v>0</v>
      </c>
      <c r="F327" s="13">
        <v>0</v>
      </c>
      <c r="G327" s="6">
        <f t="shared" si="30"/>
        <v>0</v>
      </c>
      <c r="H327" s="4">
        <f t="shared" si="31"/>
        <v>10</v>
      </c>
      <c r="I327" s="11">
        <f t="shared" si="32"/>
        <v>330.9</v>
      </c>
      <c r="J327" s="4">
        <v>1</v>
      </c>
      <c r="K327" s="13">
        <v>37.03</v>
      </c>
      <c r="L327" s="4">
        <f t="shared" si="33"/>
        <v>9</v>
      </c>
      <c r="M327" s="13">
        <f t="shared" si="34"/>
        <v>293.87</v>
      </c>
      <c r="N327" s="7">
        <f t="shared" si="35"/>
        <v>7.9359978395895219</v>
      </c>
    </row>
    <row r="328" spans="1:14" x14ac:dyDescent="0.25">
      <c r="A328" s="67" t="s">
        <v>195</v>
      </c>
      <c r="B328" s="68" t="s">
        <v>194</v>
      </c>
      <c r="C328" s="3">
        <v>38</v>
      </c>
      <c r="D328" s="13">
        <v>792.69999999999993</v>
      </c>
      <c r="E328" s="4">
        <v>0</v>
      </c>
      <c r="F328" s="13">
        <v>0</v>
      </c>
      <c r="G328" s="6">
        <f t="shared" si="30"/>
        <v>0</v>
      </c>
      <c r="H328" s="4">
        <f t="shared" si="31"/>
        <v>38</v>
      </c>
      <c r="I328" s="11">
        <f t="shared" si="32"/>
        <v>792.69999999999993</v>
      </c>
      <c r="J328" s="4">
        <v>21</v>
      </c>
      <c r="K328" s="13">
        <v>477.27</v>
      </c>
      <c r="L328" s="4">
        <f t="shared" si="33"/>
        <v>17</v>
      </c>
      <c r="M328" s="13">
        <f t="shared" si="34"/>
        <v>315.42999999999995</v>
      </c>
      <c r="N328" s="7">
        <f t="shared" si="35"/>
        <v>0.66090472897940367</v>
      </c>
    </row>
    <row r="329" spans="1:14" x14ac:dyDescent="0.25">
      <c r="A329" s="67" t="s">
        <v>247</v>
      </c>
      <c r="B329" s="68" t="s">
        <v>246</v>
      </c>
      <c r="C329" s="3">
        <v>20</v>
      </c>
      <c r="D329" s="13">
        <v>443.57000000000005</v>
      </c>
      <c r="E329" s="4">
        <v>0</v>
      </c>
      <c r="F329" s="13">
        <v>0</v>
      </c>
      <c r="G329" s="6">
        <f t="shared" si="30"/>
        <v>0</v>
      </c>
      <c r="H329" s="4">
        <f t="shared" si="31"/>
        <v>20</v>
      </c>
      <c r="I329" s="11">
        <f t="shared" si="32"/>
        <v>443.57000000000005</v>
      </c>
      <c r="J329" s="4">
        <v>0</v>
      </c>
      <c r="K329" s="13">
        <v>0</v>
      </c>
      <c r="L329" s="4">
        <f t="shared" si="33"/>
        <v>20</v>
      </c>
      <c r="M329" s="13">
        <f t="shared" si="34"/>
        <v>443.57000000000005</v>
      </c>
      <c r="N329" s="7"/>
    </row>
    <row r="330" spans="1:14" x14ac:dyDescent="0.25">
      <c r="A330" s="67" t="s">
        <v>87</v>
      </c>
      <c r="B330" s="68" t="s">
        <v>86</v>
      </c>
      <c r="C330" s="3">
        <v>20</v>
      </c>
      <c r="D330" s="13">
        <v>211.76</v>
      </c>
      <c r="E330" s="4">
        <v>0</v>
      </c>
      <c r="F330" s="13">
        <v>0</v>
      </c>
      <c r="G330" s="6">
        <f t="shared" si="30"/>
        <v>0</v>
      </c>
      <c r="H330" s="4">
        <f t="shared" si="31"/>
        <v>20</v>
      </c>
      <c r="I330" s="11">
        <f t="shared" si="32"/>
        <v>211.76</v>
      </c>
      <c r="J330" s="4">
        <v>65</v>
      </c>
      <c r="K330" s="13">
        <v>542.68999999999983</v>
      </c>
      <c r="L330" s="4">
        <f t="shared" si="33"/>
        <v>-45</v>
      </c>
      <c r="M330" s="13">
        <f t="shared" si="34"/>
        <v>-330.92999999999984</v>
      </c>
      <c r="N330" s="7">
        <f t="shared" si="35"/>
        <v>-0.60979564760728955</v>
      </c>
    </row>
    <row r="331" spans="1:14" x14ac:dyDescent="0.25">
      <c r="A331" s="67" t="s">
        <v>83</v>
      </c>
      <c r="B331" s="68" t="s">
        <v>82</v>
      </c>
      <c r="C331" s="3">
        <v>3</v>
      </c>
      <c r="D331" s="13">
        <v>352.23</v>
      </c>
      <c r="E331" s="4">
        <v>0</v>
      </c>
      <c r="F331" s="13">
        <v>0</v>
      </c>
      <c r="G331" s="6">
        <f t="shared" si="30"/>
        <v>0</v>
      </c>
      <c r="H331" s="4">
        <f t="shared" si="31"/>
        <v>3</v>
      </c>
      <c r="I331" s="11">
        <f t="shared" si="32"/>
        <v>352.23</v>
      </c>
      <c r="J331" s="4">
        <v>0</v>
      </c>
      <c r="K331" s="13">
        <v>0</v>
      </c>
      <c r="L331" s="4">
        <f t="shared" si="33"/>
        <v>3</v>
      </c>
      <c r="M331" s="13">
        <f t="shared" si="34"/>
        <v>352.23</v>
      </c>
      <c r="N331" s="7"/>
    </row>
    <row r="332" spans="1:14" x14ac:dyDescent="0.25">
      <c r="A332" s="67" t="s">
        <v>471</v>
      </c>
      <c r="B332" s="68" t="s">
        <v>470</v>
      </c>
      <c r="C332" s="3">
        <v>10</v>
      </c>
      <c r="D332" s="13">
        <v>148.25999999999996</v>
      </c>
      <c r="E332" s="4">
        <v>0</v>
      </c>
      <c r="F332" s="13">
        <v>0</v>
      </c>
      <c r="G332" s="6">
        <f t="shared" si="30"/>
        <v>0</v>
      </c>
      <c r="H332" s="4">
        <f t="shared" si="31"/>
        <v>10</v>
      </c>
      <c r="I332" s="11">
        <f t="shared" si="32"/>
        <v>148.25999999999996</v>
      </c>
      <c r="J332" s="4">
        <v>0</v>
      </c>
      <c r="K332" s="13">
        <v>0</v>
      </c>
      <c r="L332" s="4">
        <f t="shared" si="33"/>
        <v>10</v>
      </c>
      <c r="M332" s="13">
        <f t="shared" si="34"/>
        <v>148.25999999999996</v>
      </c>
      <c r="N332" s="7"/>
    </row>
    <row r="333" spans="1:14" x14ac:dyDescent="0.25">
      <c r="A333" s="67" t="s">
        <v>447</v>
      </c>
      <c r="B333" s="68" t="s">
        <v>446</v>
      </c>
      <c r="C333" s="3">
        <v>1</v>
      </c>
      <c r="D333" s="13">
        <v>5.4300000000000637</v>
      </c>
      <c r="E333" s="4">
        <v>0</v>
      </c>
      <c r="F333" s="13">
        <v>0</v>
      </c>
      <c r="G333" s="6">
        <f t="shared" si="30"/>
        <v>0</v>
      </c>
      <c r="H333" s="4">
        <f t="shared" si="31"/>
        <v>1</v>
      </c>
      <c r="I333" s="11">
        <f t="shared" si="32"/>
        <v>5.4300000000000637</v>
      </c>
      <c r="J333" s="4">
        <v>0</v>
      </c>
      <c r="K333" s="13">
        <v>0</v>
      </c>
      <c r="L333" s="4">
        <f t="shared" si="33"/>
        <v>1</v>
      </c>
      <c r="M333" s="13">
        <f t="shared" si="34"/>
        <v>5.4300000000000637</v>
      </c>
      <c r="N333" s="7"/>
    </row>
    <row r="334" spans="1:14" x14ac:dyDescent="0.25">
      <c r="A334" s="67" t="s">
        <v>405</v>
      </c>
      <c r="B334" s="68" t="s">
        <v>404</v>
      </c>
      <c r="C334" s="3">
        <v>0</v>
      </c>
      <c r="D334" s="13">
        <v>0</v>
      </c>
      <c r="E334" s="4">
        <v>0</v>
      </c>
      <c r="F334" s="13">
        <v>0</v>
      </c>
      <c r="G334" s="6" t="e">
        <f t="shared" si="30"/>
        <v>#DIV/0!</v>
      </c>
      <c r="H334" s="4">
        <f t="shared" si="31"/>
        <v>0</v>
      </c>
      <c r="I334" s="11">
        <f t="shared" si="32"/>
        <v>0</v>
      </c>
      <c r="J334" s="4">
        <v>0</v>
      </c>
      <c r="K334" s="13">
        <v>0</v>
      </c>
      <c r="L334" s="4">
        <f t="shared" si="33"/>
        <v>0</v>
      </c>
      <c r="M334" s="13">
        <f t="shared" si="34"/>
        <v>0</v>
      </c>
      <c r="N334" s="7"/>
    </row>
    <row r="335" spans="1:14" x14ac:dyDescent="0.25">
      <c r="A335" s="67" t="s">
        <v>742</v>
      </c>
      <c r="B335" s="68" t="s">
        <v>743</v>
      </c>
      <c r="C335" s="3">
        <v>4</v>
      </c>
      <c r="D335" s="13">
        <v>394.93</v>
      </c>
      <c r="E335" s="4">
        <v>0</v>
      </c>
      <c r="F335" s="13">
        <v>0</v>
      </c>
      <c r="G335" s="6">
        <f t="shared" si="30"/>
        <v>0</v>
      </c>
      <c r="H335" s="4">
        <f t="shared" si="31"/>
        <v>4</v>
      </c>
      <c r="I335" s="11">
        <f t="shared" si="32"/>
        <v>394.93</v>
      </c>
      <c r="J335" s="4">
        <v>0</v>
      </c>
      <c r="K335" s="13">
        <v>0</v>
      </c>
      <c r="L335" s="4">
        <f t="shared" si="33"/>
        <v>4</v>
      </c>
      <c r="M335" s="13">
        <f t="shared" si="34"/>
        <v>394.93</v>
      </c>
      <c r="N335" s="7"/>
    </row>
    <row r="336" spans="1:14" x14ac:dyDescent="0.25">
      <c r="A336" s="67" t="s">
        <v>277</v>
      </c>
      <c r="B336" s="68" t="s">
        <v>276</v>
      </c>
      <c r="C336" s="3">
        <v>19</v>
      </c>
      <c r="D336" s="13">
        <v>218.29</v>
      </c>
      <c r="E336" s="4">
        <v>0</v>
      </c>
      <c r="F336" s="13">
        <v>0</v>
      </c>
      <c r="G336" s="6">
        <f t="shared" si="30"/>
        <v>0</v>
      </c>
      <c r="H336" s="4">
        <f t="shared" si="31"/>
        <v>19</v>
      </c>
      <c r="I336" s="11">
        <f t="shared" si="32"/>
        <v>218.29</v>
      </c>
      <c r="J336" s="4">
        <v>0</v>
      </c>
      <c r="K336" s="13">
        <v>0</v>
      </c>
      <c r="L336" s="4">
        <f t="shared" si="33"/>
        <v>19</v>
      </c>
      <c r="M336" s="13">
        <f t="shared" si="34"/>
        <v>218.29</v>
      </c>
      <c r="N336" s="7"/>
    </row>
    <row r="337" spans="1:14" x14ac:dyDescent="0.25">
      <c r="A337" s="67" t="s">
        <v>157</v>
      </c>
      <c r="B337" s="68" t="s">
        <v>156</v>
      </c>
      <c r="C337" s="3">
        <v>9</v>
      </c>
      <c r="D337" s="13">
        <v>151.75999999999993</v>
      </c>
      <c r="E337" s="4">
        <v>0</v>
      </c>
      <c r="F337" s="13">
        <v>0</v>
      </c>
      <c r="G337" s="6">
        <f t="shared" si="30"/>
        <v>0</v>
      </c>
      <c r="H337" s="4">
        <f t="shared" si="31"/>
        <v>9</v>
      </c>
      <c r="I337" s="11">
        <f t="shared" si="32"/>
        <v>151.75999999999993</v>
      </c>
      <c r="J337" s="4">
        <v>0</v>
      </c>
      <c r="K337" s="13">
        <v>0</v>
      </c>
      <c r="L337" s="4">
        <f t="shared" si="33"/>
        <v>9</v>
      </c>
      <c r="M337" s="13">
        <f t="shared" si="34"/>
        <v>151.75999999999993</v>
      </c>
      <c r="N337" s="7"/>
    </row>
    <row r="338" spans="1:14" x14ac:dyDescent="0.25">
      <c r="A338" s="67" t="s">
        <v>91</v>
      </c>
      <c r="B338" s="68" t="s">
        <v>90</v>
      </c>
      <c r="C338" s="3">
        <v>20</v>
      </c>
      <c r="D338" s="13">
        <v>462.66</v>
      </c>
      <c r="E338" s="4">
        <v>0</v>
      </c>
      <c r="F338" s="13">
        <v>0</v>
      </c>
      <c r="G338" s="6">
        <f t="shared" si="30"/>
        <v>0</v>
      </c>
      <c r="H338" s="4">
        <f t="shared" si="31"/>
        <v>20</v>
      </c>
      <c r="I338" s="11">
        <f t="shared" si="32"/>
        <v>462.66</v>
      </c>
      <c r="J338" s="4">
        <v>2</v>
      </c>
      <c r="K338" s="13">
        <v>34.89</v>
      </c>
      <c r="L338" s="4">
        <f t="shared" si="33"/>
        <v>18</v>
      </c>
      <c r="M338" s="13">
        <f t="shared" si="34"/>
        <v>427.77000000000004</v>
      </c>
      <c r="N338" s="7">
        <f t="shared" si="35"/>
        <v>12.260533104041274</v>
      </c>
    </row>
    <row r="339" spans="1:14" x14ac:dyDescent="0.25">
      <c r="A339" s="67" t="s">
        <v>129</v>
      </c>
      <c r="B339" s="68" t="s">
        <v>128</v>
      </c>
      <c r="C339" s="3">
        <v>3</v>
      </c>
      <c r="D339" s="13">
        <v>459.39</v>
      </c>
      <c r="E339" s="4">
        <v>0</v>
      </c>
      <c r="F339" s="13">
        <v>0</v>
      </c>
      <c r="G339" s="6">
        <f t="shared" si="30"/>
        <v>0</v>
      </c>
      <c r="H339" s="4">
        <f t="shared" si="31"/>
        <v>3</v>
      </c>
      <c r="I339" s="11">
        <f t="shared" si="32"/>
        <v>459.39</v>
      </c>
      <c r="J339" s="4">
        <v>0</v>
      </c>
      <c r="K339" s="13">
        <v>0</v>
      </c>
      <c r="L339" s="4">
        <f t="shared" si="33"/>
        <v>3</v>
      </c>
      <c r="M339" s="13">
        <f t="shared" si="34"/>
        <v>459.39</v>
      </c>
      <c r="N339" s="7"/>
    </row>
    <row r="340" spans="1:14" x14ac:dyDescent="0.25">
      <c r="A340" s="67" t="s">
        <v>431</v>
      </c>
      <c r="B340" s="68" t="s">
        <v>430</v>
      </c>
      <c r="C340" s="3">
        <v>2</v>
      </c>
      <c r="D340" s="13">
        <v>67.079999999999984</v>
      </c>
      <c r="E340" s="4">
        <v>0</v>
      </c>
      <c r="F340" s="13">
        <v>0</v>
      </c>
      <c r="G340" s="6">
        <f t="shared" si="30"/>
        <v>0</v>
      </c>
      <c r="H340" s="4">
        <f t="shared" si="31"/>
        <v>2</v>
      </c>
      <c r="I340" s="11">
        <f t="shared" si="32"/>
        <v>67.079999999999984</v>
      </c>
      <c r="J340" s="4">
        <v>0</v>
      </c>
      <c r="K340" s="13">
        <v>0</v>
      </c>
      <c r="L340" s="4">
        <f t="shared" si="33"/>
        <v>2</v>
      </c>
      <c r="M340" s="13">
        <f t="shared" si="34"/>
        <v>67.079999999999984</v>
      </c>
      <c r="N340" s="7"/>
    </row>
    <row r="341" spans="1:14" x14ac:dyDescent="0.25">
      <c r="A341" s="67" t="s">
        <v>457</v>
      </c>
      <c r="B341" s="68" t="s">
        <v>456</v>
      </c>
      <c r="C341" s="3">
        <v>6</v>
      </c>
      <c r="D341" s="13">
        <v>337.25</v>
      </c>
      <c r="E341" s="4">
        <v>0</v>
      </c>
      <c r="F341" s="13">
        <v>0</v>
      </c>
      <c r="G341" s="6">
        <f t="shared" si="30"/>
        <v>0</v>
      </c>
      <c r="H341" s="4">
        <f t="shared" si="31"/>
        <v>6</v>
      </c>
      <c r="I341" s="11">
        <f t="shared" si="32"/>
        <v>337.25</v>
      </c>
      <c r="J341" s="4">
        <v>0</v>
      </c>
      <c r="K341" s="13">
        <v>0</v>
      </c>
      <c r="L341" s="4">
        <f t="shared" si="33"/>
        <v>6</v>
      </c>
      <c r="M341" s="13">
        <f t="shared" si="34"/>
        <v>337.25</v>
      </c>
      <c r="N341" s="7"/>
    </row>
    <row r="342" spans="1:14" x14ac:dyDescent="0.25">
      <c r="A342" s="67" t="s">
        <v>522</v>
      </c>
      <c r="B342" s="68" t="s">
        <v>521</v>
      </c>
      <c r="C342" s="3">
        <v>156</v>
      </c>
      <c r="D342" s="13">
        <v>6610.09</v>
      </c>
      <c r="E342" s="4">
        <v>0</v>
      </c>
      <c r="F342" s="13">
        <v>0</v>
      </c>
      <c r="G342" s="6">
        <f t="shared" si="30"/>
        <v>0</v>
      </c>
      <c r="H342" s="4">
        <f t="shared" si="31"/>
        <v>156</v>
      </c>
      <c r="I342" s="11">
        <f t="shared" si="32"/>
        <v>6610.09</v>
      </c>
      <c r="J342" s="4">
        <v>192</v>
      </c>
      <c r="K342" s="13">
        <v>8727.82</v>
      </c>
      <c r="L342" s="4">
        <f t="shared" si="33"/>
        <v>-36</v>
      </c>
      <c r="M342" s="13">
        <f t="shared" si="34"/>
        <v>-2117.7299999999996</v>
      </c>
      <c r="N342" s="7">
        <f t="shared" si="35"/>
        <v>-0.24264134686554026</v>
      </c>
    </row>
    <row r="343" spans="1:14" x14ac:dyDescent="0.25">
      <c r="A343" s="67" t="s">
        <v>540</v>
      </c>
      <c r="B343" s="68" t="s">
        <v>539</v>
      </c>
      <c r="C343" s="3">
        <v>14</v>
      </c>
      <c r="D343" s="13">
        <v>468.28</v>
      </c>
      <c r="E343" s="4">
        <v>0</v>
      </c>
      <c r="F343" s="13">
        <v>0</v>
      </c>
      <c r="G343" s="6">
        <f t="shared" si="30"/>
        <v>0</v>
      </c>
      <c r="H343" s="4">
        <f t="shared" si="31"/>
        <v>14</v>
      </c>
      <c r="I343" s="11">
        <f t="shared" si="32"/>
        <v>468.28</v>
      </c>
      <c r="J343" s="4">
        <v>24</v>
      </c>
      <c r="K343" s="13">
        <v>837.9</v>
      </c>
      <c r="L343" s="4">
        <f t="shared" si="33"/>
        <v>-10</v>
      </c>
      <c r="M343" s="13">
        <f t="shared" si="34"/>
        <v>-369.62</v>
      </c>
      <c r="N343" s="7">
        <f t="shared" si="35"/>
        <v>-0.44112662608903214</v>
      </c>
    </row>
    <row r="344" spans="1:14" x14ac:dyDescent="0.25">
      <c r="A344" s="67" t="s">
        <v>488</v>
      </c>
      <c r="B344" s="68" t="s">
        <v>487</v>
      </c>
      <c r="C344" s="3">
        <v>58</v>
      </c>
      <c r="D344" s="13">
        <v>837.36</v>
      </c>
      <c r="E344" s="4">
        <v>0</v>
      </c>
      <c r="F344" s="13">
        <v>0</v>
      </c>
      <c r="G344" s="6">
        <f t="shared" si="30"/>
        <v>0</v>
      </c>
      <c r="H344" s="4">
        <f t="shared" si="31"/>
        <v>58</v>
      </c>
      <c r="I344" s="11">
        <f t="shared" si="32"/>
        <v>837.36</v>
      </c>
      <c r="J344" s="4">
        <v>8</v>
      </c>
      <c r="K344" s="13">
        <v>230.14</v>
      </c>
      <c r="L344" s="4">
        <f t="shared" si="33"/>
        <v>50</v>
      </c>
      <c r="M344" s="13">
        <f t="shared" si="34"/>
        <v>607.22</v>
      </c>
      <c r="N344" s="7">
        <f t="shared" si="35"/>
        <v>2.6384809246545582</v>
      </c>
    </row>
    <row r="345" spans="1:14" x14ac:dyDescent="0.25">
      <c r="A345" s="67" t="s">
        <v>427</v>
      </c>
      <c r="B345" s="68" t="s">
        <v>426</v>
      </c>
      <c r="C345" s="3">
        <v>9</v>
      </c>
      <c r="D345" s="13">
        <v>306.86</v>
      </c>
      <c r="E345" s="4">
        <v>0</v>
      </c>
      <c r="F345" s="13">
        <v>0</v>
      </c>
      <c r="G345" s="6">
        <f t="shared" si="30"/>
        <v>0</v>
      </c>
      <c r="H345" s="4">
        <f t="shared" si="31"/>
        <v>9</v>
      </c>
      <c r="I345" s="11">
        <f t="shared" si="32"/>
        <v>306.86</v>
      </c>
      <c r="J345" s="4">
        <v>0</v>
      </c>
      <c r="K345" s="13">
        <v>0</v>
      </c>
      <c r="L345" s="4">
        <f t="shared" si="33"/>
        <v>9</v>
      </c>
      <c r="M345" s="13">
        <f t="shared" si="34"/>
        <v>306.86</v>
      </c>
      <c r="N345" s="7"/>
    </row>
    <row r="346" spans="1:14" x14ac:dyDescent="0.25">
      <c r="A346" s="67" t="s">
        <v>437</v>
      </c>
      <c r="B346" s="68" t="s">
        <v>436</v>
      </c>
      <c r="C346" s="3">
        <v>14</v>
      </c>
      <c r="D346" s="13">
        <v>292.0100000000001</v>
      </c>
      <c r="E346" s="4">
        <v>0</v>
      </c>
      <c r="F346" s="13">
        <v>0</v>
      </c>
      <c r="G346" s="6">
        <f t="shared" si="30"/>
        <v>0</v>
      </c>
      <c r="H346" s="4">
        <f t="shared" si="31"/>
        <v>14</v>
      </c>
      <c r="I346" s="11">
        <f t="shared" si="32"/>
        <v>292.0100000000001</v>
      </c>
      <c r="J346" s="4">
        <v>0</v>
      </c>
      <c r="K346" s="13">
        <v>0</v>
      </c>
      <c r="L346" s="4">
        <f t="shared" si="33"/>
        <v>14</v>
      </c>
      <c r="M346" s="13">
        <f t="shared" si="34"/>
        <v>292.0100000000001</v>
      </c>
      <c r="N346" s="7"/>
    </row>
    <row r="347" spans="1:14" x14ac:dyDescent="0.25">
      <c r="A347" s="67" t="s">
        <v>23</v>
      </c>
      <c r="B347" s="68" t="s">
        <v>22</v>
      </c>
      <c r="C347" s="3">
        <v>0</v>
      </c>
      <c r="D347" s="13">
        <v>0</v>
      </c>
      <c r="E347" s="4">
        <v>0</v>
      </c>
      <c r="F347" s="13">
        <v>0</v>
      </c>
      <c r="G347" s="6" t="e">
        <f t="shared" si="30"/>
        <v>#DIV/0!</v>
      </c>
      <c r="H347" s="4">
        <f t="shared" si="31"/>
        <v>0</v>
      </c>
      <c r="I347" s="11">
        <f t="shared" si="32"/>
        <v>0</v>
      </c>
      <c r="J347" s="4">
        <v>548</v>
      </c>
      <c r="K347" s="13">
        <v>9233.5700000000015</v>
      </c>
      <c r="L347" s="4">
        <f t="shared" si="33"/>
        <v>-548</v>
      </c>
      <c r="M347" s="13">
        <f t="shared" si="34"/>
        <v>-9233.5700000000015</v>
      </c>
      <c r="N347" s="7">
        <f t="shared" si="35"/>
        <v>-1</v>
      </c>
    </row>
    <row r="348" spans="1:14" x14ac:dyDescent="0.25">
      <c r="A348" s="67" t="s">
        <v>173</v>
      </c>
      <c r="B348" s="68" t="s">
        <v>172</v>
      </c>
      <c r="C348" s="3">
        <v>44</v>
      </c>
      <c r="D348" s="13">
        <v>891.34</v>
      </c>
      <c r="E348" s="4">
        <v>0</v>
      </c>
      <c r="F348" s="13">
        <v>0</v>
      </c>
      <c r="G348" s="6">
        <f t="shared" si="30"/>
        <v>0</v>
      </c>
      <c r="H348" s="4">
        <f t="shared" si="31"/>
        <v>44</v>
      </c>
      <c r="I348" s="11">
        <f t="shared" si="32"/>
        <v>891.34</v>
      </c>
      <c r="J348" s="4">
        <v>5</v>
      </c>
      <c r="K348" s="13">
        <v>96.95</v>
      </c>
      <c r="L348" s="4">
        <f t="shared" si="33"/>
        <v>39</v>
      </c>
      <c r="M348" s="13">
        <f t="shared" si="34"/>
        <v>794.39</v>
      </c>
      <c r="N348" s="7">
        <f t="shared" si="35"/>
        <v>8.1938112429087155</v>
      </c>
    </row>
    <row r="349" spans="1:14" x14ac:dyDescent="0.25">
      <c r="A349" s="67" t="s">
        <v>215</v>
      </c>
      <c r="B349" s="68" t="s">
        <v>214</v>
      </c>
      <c r="C349" s="3">
        <v>94</v>
      </c>
      <c r="D349" s="13">
        <v>1560.9700000000003</v>
      </c>
      <c r="E349" s="4">
        <v>0</v>
      </c>
      <c r="F349" s="13">
        <v>0</v>
      </c>
      <c r="G349" s="6">
        <f t="shared" si="30"/>
        <v>0</v>
      </c>
      <c r="H349" s="4">
        <f t="shared" si="31"/>
        <v>94</v>
      </c>
      <c r="I349" s="11">
        <f t="shared" si="32"/>
        <v>1560.9700000000003</v>
      </c>
      <c r="J349" s="4">
        <v>16</v>
      </c>
      <c r="K349" s="13">
        <v>336.18000000000029</v>
      </c>
      <c r="L349" s="4">
        <f t="shared" si="33"/>
        <v>78</v>
      </c>
      <c r="M349" s="13">
        <f t="shared" si="34"/>
        <v>1224.79</v>
      </c>
      <c r="N349" s="7">
        <f t="shared" si="35"/>
        <v>3.6432565887322235</v>
      </c>
    </row>
    <row r="350" spans="1:14" x14ac:dyDescent="0.25">
      <c r="A350" s="67" t="s">
        <v>165</v>
      </c>
      <c r="B350" s="68" t="s">
        <v>164</v>
      </c>
      <c r="C350" s="3">
        <v>24</v>
      </c>
      <c r="D350" s="13">
        <v>612.77</v>
      </c>
      <c r="E350" s="4">
        <v>0</v>
      </c>
      <c r="F350" s="13">
        <v>0</v>
      </c>
      <c r="G350" s="6">
        <f t="shared" si="30"/>
        <v>0</v>
      </c>
      <c r="H350" s="4">
        <f t="shared" si="31"/>
        <v>24</v>
      </c>
      <c r="I350" s="11">
        <f t="shared" si="32"/>
        <v>612.77</v>
      </c>
      <c r="J350" s="4">
        <v>0</v>
      </c>
      <c r="K350" s="13">
        <v>0</v>
      </c>
      <c r="L350" s="4">
        <f t="shared" si="33"/>
        <v>24</v>
      </c>
      <c r="M350" s="13">
        <f t="shared" si="34"/>
        <v>612.77</v>
      </c>
      <c r="N350" s="7"/>
    </row>
    <row r="351" spans="1:14" x14ac:dyDescent="0.25">
      <c r="A351" s="67" t="s">
        <v>105</v>
      </c>
      <c r="B351" s="68" t="s">
        <v>104</v>
      </c>
      <c r="C351" s="3">
        <v>43</v>
      </c>
      <c r="D351" s="13">
        <v>1066.24</v>
      </c>
      <c r="E351" s="4">
        <v>0</v>
      </c>
      <c r="F351" s="13">
        <v>0</v>
      </c>
      <c r="G351" s="6">
        <f t="shared" si="30"/>
        <v>0</v>
      </c>
      <c r="H351" s="4">
        <f t="shared" si="31"/>
        <v>43</v>
      </c>
      <c r="I351" s="11">
        <f t="shared" si="32"/>
        <v>1066.24</v>
      </c>
      <c r="J351" s="4">
        <v>0</v>
      </c>
      <c r="K351" s="13">
        <v>0</v>
      </c>
      <c r="L351" s="4">
        <f t="shared" si="33"/>
        <v>43</v>
      </c>
      <c r="M351" s="13">
        <f t="shared" si="34"/>
        <v>1066.24</v>
      </c>
      <c r="N351" s="7"/>
    </row>
    <row r="352" spans="1:14" x14ac:dyDescent="0.25">
      <c r="A352" s="67" t="s">
        <v>443</v>
      </c>
      <c r="B352" s="68" t="s">
        <v>442</v>
      </c>
      <c r="C352" s="3">
        <v>9</v>
      </c>
      <c r="D352" s="13">
        <v>1128.1600000000001</v>
      </c>
      <c r="E352" s="4">
        <v>0</v>
      </c>
      <c r="F352" s="13">
        <v>0</v>
      </c>
      <c r="G352" s="6">
        <f t="shared" si="30"/>
        <v>0</v>
      </c>
      <c r="H352" s="4">
        <f t="shared" si="31"/>
        <v>9</v>
      </c>
      <c r="I352" s="11">
        <f t="shared" si="32"/>
        <v>1128.1600000000001</v>
      </c>
      <c r="J352" s="4">
        <v>0</v>
      </c>
      <c r="K352" s="13">
        <v>0</v>
      </c>
      <c r="L352" s="4">
        <f t="shared" si="33"/>
        <v>9</v>
      </c>
      <c r="M352" s="13">
        <f t="shared" si="34"/>
        <v>1128.1600000000001</v>
      </c>
      <c r="N352" s="7"/>
    </row>
    <row r="353" spans="1:14" x14ac:dyDescent="0.25">
      <c r="A353" s="67" t="s">
        <v>482</v>
      </c>
      <c r="B353" s="68" t="s">
        <v>481</v>
      </c>
      <c r="C353" s="3">
        <v>0</v>
      </c>
      <c r="D353" s="13">
        <v>0</v>
      </c>
      <c r="E353" s="4">
        <v>0</v>
      </c>
      <c r="F353" s="13">
        <v>0</v>
      </c>
      <c r="G353" s="6" t="e">
        <f t="shared" si="30"/>
        <v>#DIV/0!</v>
      </c>
      <c r="H353" s="4">
        <f t="shared" si="31"/>
        <v>0</v>
      </c>
      <c r="I353" s="11">
        <f t="shared" si="32"/>
        <v>0</v>
      </c>
      <c r="J353" s="4">
        <v>2</v>
      </c>
      <c r="K353" s="13">
        <v>110.65999999999985</v>
      </c>
      <c r="L353" s="4">
        <f t="shared" si="33"/>
        <v>-2</v>
      </c>
      <c r="M353" s="13">
        <f t="shared" si="34"/>
        <v>-110.65999999999985</v>
      </c>
      <c r="N353" s="7">
        <f t="shared" si="35"/>
        <v>-1</v>
      </c>
    </row>
    <row r="354" spans="1:14" x14ac:dyDescent="0.25">
      <c r="A354" s="67" t="s">
        <v>417</v>
      </c>
      <c r="B354" s="68" t="s">
        <v>416</v>
      </c>
      <c r="C354" s="3">
        <v>41</v>
      </c>
      <c r="D354" s="13">
        <v>1700.16</v>
      </c>
      <c r="E354" s="4">
        <v>0</v>
      </c>
      <c r="F354" s="13">
        <v>0</v>
      </c>
      <c r="G354" s="6">
        <f t="shared" si="30"/>
        <v>0</v>
      </c>
      <c r="H354" s="4">
        <f t="shared" si="31"/>
        <v>41</v>
      </c>
      <c r="I354" s="11">
        <f t="shared" si="32"/>
        <v>1700.16</v>
      </c>
      <c r="J354" s="4">
        <v>10</v>
      </c>
      <c r="K354" s="13">
        <v>491.03999999999996</v>
      </c>
      <c r="L354" s="4">
        <f t="shared" si="33"/>
        <v>31</v>
      </c>
      <c r="M354" s="13">
        <f t="shared" si="34"/>
        <v>1209.1200000000001</v>
      </c>
      <c r="N354" s="7">
        <f t="shared" si="35"/>
        <v>2.4623655913978499</v>
      </c>
    </row>
    <row r="355" spans="1:14" x14ac:dyDescent="0.25">
      <c r="A355" s="67" t="s">
        <v>261</v>
      </c>
      <c r="B355" s="68" t="s">
        <v>260</v>
      </c>
      <c r="C355" s="3">
        <v>23</v>
      </c>
      <c r="D355" s="13">
        <v>1322.9299999999998</v>
      </c>
      <c r="E355" s="4">
        <v>0</v>
      </c>
      <c r="F355" s="13">
        <v>0</v>
      </c>
      <c r="G355" s="6">
        <f t="shared" si="30"/>
        <v>0</v>
      </c>
      <c r="H355" s="4">
        <f t="shared" si="31"/>
        <v>23</v>
      </c>
      <c r="I355" s="11">
        <f t="shared" si="32"/>
        <v>1322.9299999999998</v>
      </c>
      <c r="J355" s="4">
        <v>0</v>
      </c>
      <c r="K355" s="13">
        <v>0</v>
      </c>
      <c r="L355" s="4">
        <f t="shared" si="33"/>
        <v>23</v>
      </c>
      <c r="M355" s="13">
        <f t="shared" si="34"/>
        <v>1322.9299999999998</v>
      </c>
      <c r="N355" s="7"/>
    </row>
    <row r="356" spans="1:14" x14ac:dyDescent="0.25">
      <c r="A356" s="67" t="s">
        <v>568</v>
      </c>
      <c r="B356" s="68" t="s">
        <v>567</v>
      </c>
      <c r="C356" s="3">
        <v>133</v>
      </c>
      <c r="D356" s="13">
        <v>1761.3700000000003</v>
      </c>
      <c r="E356" s="4">
        <v>0</v>
      </c>
      <c r="F356" s="13">
        <v>0</v>
      </c>
      <c r="G356" s="6">
        <f t="shared" si="30"/>
        <v>0</v>
      </c>
      <c r="H356" s="4">
        <f t="shared" si="31"/>
        <v>133</v>
      </c>
      <c r="I356" s="11">
        <f t="shared" si="32"/>
        <v>1761.3700000000003</v>
      </c>
      <c r="J356" s="4">
        <v>30</v>
      </c>
      <c r="K356" s="13">
        <v>373.71000000000004</v>
      </c>
      <c r="L356" s="4">
        <f t="shared" si="33"/>
        <v>103</v>
      </c>
      <c r="M356" s="13">
        <f t="shared" si="34"/>
        <v>1387.6600000000003</v>
      </c>
      <c r="N356" s="7">
        <f t="shared" si="35"/>
        <v>3.7132000749244072</v>
      </c>
    </row>
    <row r="357" spans="1:14" x14ac:dyDescent="0.25">
      <c r="A357" s="67" t="s">
        <v>85</v>
      </c>
      <c r="B357" s="68" t="s">
        <v>84</v>
      </c>
      <c r="C357" s="3">
        <v>106</v>
      </c>
      <c r="D357" s="13">
        <v>6096.7000000000007</v>
      </c>
      <c r="E357" s="4">
        <v>0</v>
      </c>
      <c r="F357" s="13">
        <v>0</v>
      </c>
      <c r="G357" s="6">
        <f t="shared" si="30"/>
        <v>0</v>
      </c>
      <c r="H357" s="4">
        <f t="shared" si="31"/>
        <v>106</v>
      </c>
      <c r="I357" s="11">
        <f t="shared" si="32"/>
        <v>6096.7000000000007</v>
      </c>
      <c r="J357" s="4">
        <v>26</v>
      </c>
      <c r="K357" s="13">
        <v>1396.6599999999999</v>
      </c>
      <c r="L357" s="4">
        <f t="shared" si="33"/>
        <v>80</v>
      </c>
      <c r="M357" s="13">
        <f t="shared" si="34"/>
        <v>4700.0400000000009</v>
      </c>
      <c r="N357" s="7">
        <f t="shared" si="35"/>
        <v>3.3651998338894229</v>
      </c>
    </row>
    <row r="358" spans="1:14" x14ac:dyDescent="0.25">
      <c r="A358" s="67" t="s">
        <v>177</v>
      </c>
      <c r="B358" s="68" t="s">
        <v>176</v>
      </c>
      <c r="C358" s="3">
        <v>5</v>
      </c>
      <c r="D358" s="13">
        <v>274.31999999999971</v>
      </c>
      <c r="E358" s="4">
        <v>0</v>
      </c>
      <c r="F358" s="13">
        <v>0</v>
      </c>
      <c r="G358" s="6">
        <f t="shared" si="30"/>
        <v>0</v>
      </c>
      <c r="H358" s="4">
        <f t="shared" si="31"/>
        <v>5</v>
      </c>
      <c r="I358" s="11">
        <f t="shared" si="32"/>
        <v>274.31999999999971</v>
      </c>
      <c r="J358" s="4">
        <v>0</v>
      </c>
      <c r="K358" s="13">
        <v>0</v>
      </c>
      <c r="L358" s="4">
        <f t="shared" si="33"/>
        <v>5</v>
      </c>
      <c r="M358" s="13">
        <f t="shared" si="34"/>
        <v>274.31999999999971</v>
      </c>
      <c r="N358" s="7"/>
    </row>
    <row r="359" spans="1:14" x14ac:dyDescent="0.25">
      <c r="A359" s="67" t="s">
        <v>313</v>
      </c>
      <c r="B359" s="68" t="s">
        <v>312</v>
      </c>
      <c r="C359" s="3">
        <v>38</v>
      </c>
      <c r="D359" s="13">
        <v>1845.6799999999998</v>
      </c>
      <c r="E359" s="4">
        <v>0</v>
      </c>
      <c r="F359" s="13">
        <v>0</v>
      </c>
      <c r="G359" s="6">
        <f t="shared" si="30"/>
        <v>0</v>
      </c>
      <c r="H359" s="4">
        <f t="shared" si="31"/>
        <v>38</v>
      </c>
      <c r="I359" s="11">
        <f t="shared" si="32"/>
        <v>1845.6799999999998</v>
      </c>
      <c r="J359" s="4">
        <v>0</v>
      </c>
      <c r="K359" s="13">
        <v>0</v>
      </c>
      <c r="L359" s="4">
        <f t="shared" si="33"/>
        <v>38</v>
      </c>
      <c r="M359" s="13">
        <f t="shared" si="34"/>
        <v>1845.6799999999998</v>
      </c>
      <c r="N359" s="7"/>
    </row>
    <row r="360" spans="1:14" x14ac:dyDescent="0.25">
      <c r="A360" s="67" t="s">
        <v>712</v>
      </c>
      <c r="B360" s="68" t="s">
        <v>713</v>
      </c>
      <c r="C360" s="3">
        <v>0</v>
      </c>
      <c r="D360" s="13">
        <v>0</v>
      </c>
      <c r="E360" s="4">
        <v>-76</v>
      </c>
      <c r="F360" s="13">
        <v>-2932.4000000000069</v>
      </c>
      <c r="G360" s="6">
        <f t="shared" si="30"/>
        <v>1</v>
      </c>
      <c r="H360" s="4">
        <f t="shared" si="31"/>
        <v>-76</v>
      </c>
      <c r="I360" s="11">
        <f t="shared" si="32"/>
        <v>-2932.4000000000069</v>
      </c>
      <c r="J360" s="4">
        <v>173</v>
      </c>
      <c r="K360" s="13">
        <v>5008.51</v>
      </c>
      <c r="L360" s="4">
        <f t="shared" si="33"/>
        <v>-249</v>
      </c>
      <c r="M360" s="13">
        <f t="shared" si="34"/>
        <v>-7940.9100000000071</v>
      </c>
      <c r="N360" s="7">
        <f t="shared" si="35"/>
        <v>-1.5854835070709665</v>
      </c>
    </row>
    <row r="361" spans="1:14" x14ac:dyDescent="0.25">
      <c r="A361" s="67" t="s">
        <v>137</v>
      </c>
      <c r="B361" s="68" t="s">
        <v>136</v>
      </c>
      <c r="C361" s="3">
        <v>114</v>
      </c>
      <c r="D361" s="13">
        <v>6024.16</v>
      </c>
      <c r="E361" s="4">
        <v>0</v>
      </c>
      <c r="F361" s="13">
        <v>0</v>
      </c>
      <c r="G361" s="6">
        <f t="shared" si="30"/>
        <v>0</v>
      </c>
      <c r="H361" s="4">
        <f t="shared" si="31"/>
        <v>114</v>
      </c>
      <c r="I361" s="11">
        <f t="shared" si="32"/>
        <v>6024.16</v>
      </c>
      <c r="J361" s="4">
        <v>27</v>
      </c>
      <c r="K361" s="13">
        <v>1587.4999999999991</v>
      </c>
      <c r="L361" s="4">
        <f t="shared" si="33"/>
        <v>87</v>
      </c>
      <c r="M361" s="13">
        <f t="shared" si="34"/>
        <v>4436.6600000000008</v>
      </c>
      <c r="N361" s="7">
        <f t="shared" si="35"/>
        <v>2.7947464566929154</v>
      </c>
    </row>
    <row r="362" spans="1:14" x14ac:dyDescent="0.25">
      <c r="A362" s="67" t="s">
        <v>421</v>
      </c>
      <c r="B362" s="68" t="s">
        <v>420</v>
      </c>
      <c r="C362" s="3">
        <v>59</v>
      </c>
      <c r="D362" s="13">
        <v>2429.8100000000004</v>
      </c>
      <c r="E362" s="4">
        <v>0</v>
      </c>
      <c r="F362" s="13">
        <v>0</v>
      </c>
      <c r="G362" s="6">
        <f t="shared" si="30"/>
        <v>0</v>
      </c>
      <c r="H362" s="4">
        <f t="shared" si="31"/>
        <v>59</v>
      </c>
      <c r="I362" s="11">
        <f t="shared" si="32"/>
        <v>2429.8100000000004</v>
      </c>
      <c r="J362" s="4">
        <v>0</v>
      </c>
      <c r="K362" s="13">
        <v>0</v>
      </c>
      <c r="L362" s="4">
        <f t="shared" si="33"/>
        <v>59</v>
      </c>
      <c r="M362" s="13">
        <f t="shared" si="34"/>
        <v>2429.8100000000004</v>
      </c>
      <c r="N362" s="7"/>
    </row>
    <row r="363" spans="1:14" x14ac:dyDescent="0.25">
      <c r="A363" s="67" t="s">
        <v>459</v>
      </c>
      <c r="B363" s="68" t="s">
        <v>458</v>
      </c>
      <c r="C363" s="3">
        <v>61</v>
      </c>
      <c r="D363" s="13">
        <v>2531.2399999999998</v>
      </c>
      <c r="E363" s="4">
        <v>0</v>
      </c>
      <c r="F363" s="13">
        <v>0</v>
      </c>
      <c r="G363" s="6">
        <f t="shared" si="30"/>
        <v>0</v>
      </c>
      <c r="H363" s="4">
        <f t="shared" si="31"/>
        <v>61</v>
      </c>
      <c r="I363" s="11">
        <f t="shared" si="32"/>
        <v>2531.2399999999998</v>
      </c>
      <c r="J363" s="4">
        <v>0</v>
      </c>
      <c r="K363" s="13">
        <v>0</v>
      </c>
      <c r="L363" s="4">
        <f t="shared" si="33"/>
        <v>61</v>
      </c>
      <c r="M363" s="13">
        <f t="shared" si="34"/>
        <v>2531.2399999999998</v>
      </c>
      <c r="N363" s="7"/>
    </row>
    <row r="364" spans="1:14" x14ac:dyDescent="0.25">
      <c r="A364" s="67" t="s">
        <v>461</v>
      </c>
      <c r="B364" s="68" t="s">
        <v>460</v>
      </c>
      <c r="C364" s="3">
        <v>12</v>
      </c>
      <c r="D364" s="13">
        <v>228.38000000000011</v>
      </c>
      <c r="E364" s="4">
        <v>0</v>
      </c>
      <c r="F364" s="13">
        <v>0</v>
      </c>
      <c r="G364" s="6">
        <f t="shared" si="30"/>
        <v>0</v>
      </c>
      <c r="H364" s="4">
        <f t="shared" si="31"/>
        <v>12</v>
      </c>
      <c r="I364" s="11">
        <f t="shared" si="32"/>
        <v>228.38000000000011</v>
      </c>
      <c r="J364" s="4">
        <v>0</v>
      </c>
      <c r="K364" s="13">
        <v>0</v>
      </c>
      <c r="L364" s="4">
        <f t="shared" si="33"/>
        <v>12</v>
      </c>
      <c r="M364" s="13">
        <f t="shared" si="34"/>
        <v>228.38000000000011</v>
      </c>
      <c r="N364" s="7"/>
    </row>
    <row r="365" spans="1:14" x14ac:dyDescent="0.25">
      <c r="A365" s="67" t="s">
        <v>77</v>
      </c>
      <c r="B365" s="68" t="s">
        <v>76</v>
      </c>
      <c r="C365" s="3">
        <v>34</v>
      </c>
      <c r="D365" s="13">
        <v>394.85000000000127</v>
      </c>
      <c r="E365" s="4">
        <v>0</v>
      </c>
      <c r="F365" s="13">
        <v>0</v>
      </c>
      <c r="G365" s="6">
        <f t="shared" si="30"/>
        <v>0</v>
      </c>
      <c r="H365" s="4">
        <f t="shared" si="31"/>
        <v>34</v>
      </c>
      <c r="I365" s="11">
        <f t="shared" si="32"/>
        <v>394.85000000000127</v>
      </c>
      <c r="J365" s="4">
        <v>20</v>
      </c>
      <c r="K365" s="13">
        <v>203.44000000000017</v>
      </c>
      <c r="L365" s="4">
        <f t="shared" si="33"/>
        <v>14</v>
      </c>
      <c r="M365" s="13">
        <f t="shared" si="34"/>
        <v>191.41000000000111</v>
      </c>
      <c r="N365" s="7">
        <f t="shared" si="35"/>
        <v>0.94086708611876202</v>
      </c>
    </row>
    <row r="366" spans="1:14" x14ac:dyDescent="0.25">
      <c r="A366" s="67" t="s">
        <v>423</v>
      </c>
      <c r="B366" s="68" t="s">
        <v>422</v>
      </c>
      <c r="C366" s="3">
        <v>61</v>
      </c>
      <c r="D366" s="13">
        <v>2191.5099999999993</v>
      </c>
      <c r="E366" s="4">
        <v>0</v>
      </c>
      <c r="F366" s="13">
        <v>0</v>
      </c>
      <c r="G366" s="6">
        <f t="shared" si="30"/>
        <v>0</v>
      </c>
      <c r="H366" s="4">
        <f t="shared" si="31"/>
        <v>61</v>
      </c>
      <c r="I366" s="11">
        <f t="shared" si="32"/>
        <v>2191.5099999999993</v>
      </c>
      <c r="J366" s="4">
        <v>0</v>
      </c>
      <c r="K366" s="13">
        <v>0</v>
      </c>
      <c r="L366" s="4">
        <f t="shared" si="33"/>
        <v>61</v>
      </c>
      <c r="M366" s="13">
        <f t="shared" si="34"/>
        <v>2191.5099999999993</v>
      </c>
      <c r="N366" s="7"/>
    </row>
    <row r="367" spans="1:14" x14ac:dyDescent="0.25">
      <c r="A367" s="67" t="s">
        <v>566</v>
      </c>
      <c r="B367" s="68" t="s">
        <v>565</v>
      </c>
      <c r="C367" s="3">
        <v>1</v>
      </c>
      <c r="D367" s="13">
        <v>65.75</v>
      </c>
      <c r="E367" s="4">
        <v>13</v>
      </c>
      <c r="F367" s="13">
        <v>1286.9999999999991</v>
      </c>
      <c r="G367" s="6">
        <f t="shared" si="30"/>
        <v>0.95139530585843646</v>
      </c>
      <c r="H367" s="4">
        <f t="shared" si="31"/>
        <v>14</v>
      </c>
      <c r="I367" s="11">
        <f t="shared" si="32"/>
        <v>1352.7499999999991</v>
      </c>
      <c r="J367" s="4">
        <v>42</v>
      </c>
      <c r="K367" s="13">
        <v>2725.1600000000003</v>
      </c>
      <c r="L367" s="4">
        <f t="shared" si="33"/>
        <v>-28</v>
      </c>
      <c r="M367" s="13">
        <f t="shared" si="34"/>
        <v>-1372.4100000000012</v>
      </c>
      <c r="N367" s="7">
        <f t="shared" si="35"/>
        <v>-0.50360712765489035</v>
      </c>
    </row>
    <row r="368" spans="1:14" x14ac:dyDescent="0.25">
      <c r="A368" s="67" t="s">
        <v>111</v>
      </c>
      <c r="B368" s="68" t="s">
        <v>110</v>
      </c>
      <c r="C368" s="3">
        <v>790</v>
      </c>
      <c r="D368" s="13">
        <v>10033.89</v>
      </c>
      <c r="E368" s="4">
        <v>0</v>
      </c>
      <c r="F368" s="13">
        <v>0</v>
      </c>
      <c r="G368" s="6">
        <f t="shared" si="30"/>
        <v>0</v>
      </c>
      <c r="H368" s="4">
        <f t="shared" si="31"/>
        <v>790</v>
      </c>
      <c r="I368" s="11">
        <f t="shared" si="32"/>
        <v>10033.89</v>
      </c>
      <c r="J368" s="4">
        <v>40</v>
      </c>
      <c r="K368" s="13">
        <v>569.46000000000095</v>
      </c>
      <c r="L368" s="4">
        <f t="shared" si="33"/>
        <v>750</v>
      </c>
      <c r="M368" s="13">
        <f t="shared" si="34"/>
        <v>9464.4299999999985</v>
      </c>
      <c r="N368" s="7">
        <f t="shared" si="35"/>
        <v>16.620008429038005</v>
      </c>
    </row>
    <row r="369" spans="1:14" x14ac:dyDescent="0.25">
      <c r="A369" s="67" t="s">
        <v>510</v>
      </c>
      <c r="B369" s="68" t="s">
        <v>509</v>
      </c>
      <c r="C369" s="3">
        <v>525</v>
      </c>
      <c r="D369" s="13">
        <v>7831.0199999999995</v>
      </c>
      <c r="E369" s="4">
        <v>0</v>
      </c>
      <c r="F369" s="13">
        <v>0</v>
      </c>
      <c r="G369" s="6">
        <f t="shared" si="30"/>
        <v>0</v>
      </c>
      <c r="H369" s="4">
        <f t="shared" si="31"/>
        <v>525</v>
      </c>
      <c r="I369" s="11">
        <f t="shared" si="32"/>
        <v>7831.0199999999995</v>
      </c>
      <c r="J369" s="4">
        <v>94</v>
      </c>
      <c r="K369" s="13">
        <v>1218.3699999999997</v>
      </c>
      <c r="L369" s="4">
        <f t="shared" si="33"/>
        <v>431</v>
      </c>
      <c r="M369" s="13">
        <f t="shared" si="34"/>
        <v>6612.65</v>
      </c>
      <c r="N369" s="7">
        <f t="shared" si="35"/>
        <v>5.4274563556226774</v>
      </c>
    </row>
    <row r="370" spans="1:14" x14ac:dyDescent="0.25">
      <c r="A370" s="67" t="s">
        <v>445</v>
      </c>
      <c r="B370" s="68" t="s">
        <v>444</v>
      </c>
      <c r="C370" s="3">
        <v>56</v>
      </c>
      <c r="D370" s="13">
        <v>1154.7999999999993</v>
      </c>
      <c r="E370" s="4">
        <v>0</v>
      </c>
      <c r="F370" s="13">
        <v>0</v>
      </c>
      <c r="G370" s="6">
        <f t="shared" si="30"/>
        <v>0</v>
      </c>
      <c r="H370" s="4">
        <f t="shared" si="31"/>
        <v>56</v>
      </c>
      <c r="I370" s="11">
        <f t="shared" si="32"/>
        <v>1154.7999999999993</v>
      </c>
      <c r="J370" s="4">
        <v>0</v>
      </c>
      <c r="K370" s="13">
        <v>0</v>
      </c>
      <c r="L370" s="4">
        <f t="shared" si="33"/>
        <v>56</v>
      </c>
      <c r="M370" s="13">
        <f t="shared" si="34"/>
        <v>1154.7999999999993</v>
      </c>
      <c r="N370" s="7"/>
    </row>
    <row r="371" spans="1:14" x14ac:dyDescent="0.25">
      <c r="A371" s="67" t="s">
        <v>467</v>
      </c>
      <c r="B371" s="68" t="s">
        <v>466</v>
      </c>
      <c r="C371" s="3">
        <v>110</v>
      </c>
      <c r="D371" s="13">
        <v>4235</v>
      </c>
      <c r="E371" s="4">
        <v>0</v>
      </c>
      <c r="F371" s="13">
        <v>0</v>
      </c>
      <c r="G371" s="6">
        <f t="shared" si="30"/>
        <v>0</v>
      </c>
      <c r="H371" s="4">
        <f t="shared" si="31"/>
        <v>110</v>
      </c>
      <c r="I371" s="11">
        <f t="shared" si="32"/>
        <v>4235</v>
      </c>
      <c r="J371" s="4">
        <v>0</v>
      </c>
      <c r="K371" s="13">
        <v>0</v>
      </c>
      <c r="L371" s="4">
        <f t="shared" si="33"/>
        <v>110</v>
      </c>
      <c r="M371" s="13">
        <f t="shared" si="34"/>
        <v>4235</v>
      </c>
      <c r="N371" s="7"/>
    </row>
    <row r="372" spans="1:14" x14ac:dyDescent="0.25">
      <c r="A372" s="67" t="s">
        <v>419</v>
      </c>
      <c r="B372" s="68" t="s">
        <v>418</v>
      </c>
      <c r="C372" s="3">
        <v>328</v>
      </c>
      <c r="D372" s="13">
        <v>2701.6500000000005</v>
      </c>
      <c r="E372" s="4">
        <v>0</v>
      </c>
      <c r="F372" s="13">
        <v>0</v>
      </c>
      <c r="G372" s="6">
        <f t="shared" si="30"/>
        <v>0</v>
      </c>
      <c r="H372" s="4">
        <f t="shared" si="31"/>
        <v>328</v>
      </c>
      <c r="I372" s="11">
        <f t="shared" si="32"/>
        <v>2701.6500000000005</v>
      </c>
      <c r="J372" s="4">
        <v>2</v>
      </c>
      <c r="K372" s="13">
        <v>19</v>
      </c>
      <c r="L372" s="4">
        <f t="shared" si="33"/>
        <v>326</v>
      </c>
      <c r="M372" s="13">
        <f t="shared" si="34"/>
        <v>2682.6500000000005</v>
      </c>
      <c r="N372" s="7">
        <f t="shared" si="35"/>
        <v>141.19210526315791</v>
      </c>
    </row>
    <row r="373" spans="1:14" x14ac:dyDescent="0.25">
      <c r="A373" s="67" t="s">
        <v>451</v>
      </c>
      <c r="B373" s="68" t="s">
        <v>450</v>
      </c>
      <c r="C373" s="3">
        <v>591</v>
      </c>
      <c r="D373" s="13">
        <v>3927.05</v>
      </c>
      <c r="E373" s="4">
        <v>0</v>
      </c>
      <c r="F373" s="13">
        <v>0</v>
      </c>
      <c r="G373" s="6">
        <f t="shared" si="30"/>
        <v>0</v>
      </c>
      <c r="H373" s="4">
        <f t="shared" si="31"/>
        <v>591</v>
      </c>
      <c r="I373" s="11">
        <f t="shared" si="32"/>
        <v>3927.05</v>
      </c>
      <c r="J373" s="4">
        <v>0</v>
      </c>
      <c r="K373" s="13">
        <v>0</v>
      </c>
      <c r="L373" s="4">
        <f t="shared" si="33"/>
        <v>591</v>
      </c>
      <c r="M373" s="13">
        <f t="shared" si="34"/>
        <v>3927.05</v>
      </c>
      <c r="N373" s="7"/>
    </row>
    <row r="374" spans="1:14" x14ac:dyDescent="0.25">
      <c r="A374" s="67" t="s">
        <v>465</v>
      </c>
      <c r="B374" s="68" t="s">
        <v>464</v>
      </c>
      <c r="C374" s="3">
        <v>0</v>
      </c>
      <c r="D374" s="13">
        <v>0</v>
      </c>
      <c r="E374" s="4">
        <v>0</v>
      </c>
      <c r="F374" s="13">
        <v>0</v>
      </c>
      <c r="G374" s="6" t="e">
        <f t="shared" si="30"/>
        <v>#DIV/0!</v>
      </c>
      <c r="H374" s="4">
        <f t="shared" si="31"/>
        <v>0</v>
      </c>
      <c r="I374" s="11">
        <f t="shared" si="32"/>
        <v>0</v>
      </c>
      <c r="J374" s="4">
        <v>0</v>
      </c>
      <c r="K374" s="13">
        <v>0</v>
      </c>
      <c r="L374" s="4">
        <f t="shared" si="33"/>
        <v>0</v>
      </c>
      <c r="M374" s="13">
        <f t="shared" si="34"/>
        <v>0</v>
      </c>
      <c r="N374" s="7"/>
    </row>
    <row r="375" spans="1:14" x14ac:dyDescent="0.25">
      <c r="A375" s="67" t="s">
        <v>449</v>
      </c>
      <c r="B375" s="68" t="s">
        <v>448</v>
      </c>
      <c r="C375" s="3">
        <v>1365</v>
      </c>
      <c r="D375" s="13">
        <v>9091.2800000000025</v>
      </c>
      <c r="E375" s="4">
        <v>0</v>
      </c>
      <c r="F375" s="13">
        <v>0</v>
      </c>
      <c r="G375" s="6">
        <f t="shared" si="30"/>
        <v>0</v>
      </c>
      <c r="H375" s="4">
        <f t="shared" si="31"/>
        <v>1365</v>
      </c>
      <c r="I375" s="11">
        <f t="shared" si="32"/>
        <v>9091.2800000000025</v>
      </c>
      <c r="J375" s="4">
        <v>0</v>
      </c>
      <c r="K375" s="13">
        <v>0</v>
      </c>
      <c r="L375" s="4">
        <f t="shared" si="33"/>
        <v>1365</v>
      </c>
      <c r="M375" s="13">
        <f t="shared" si="34"/>
        <v>9091.2800000000025</v>
      </c>
      <c r="N375" s="7"/>
    </row>
    <row r="376" spans="1:14" x14ac:dyDescent="0.25">
      <c r="A376" s="67" t="s">
        <v>319</v>
      </c>
      <c r="B376" s="68" t="s">
        <v>318</v>
      </c>
      <c r="C376" s="3">
        <v>712</v>
      </c>
      <c r="D376" s="13">
        <v>10050.16</v>
      </c>
      <c r="E376" s="4">
        <v>0</v>
      </c>
      <c r="F376" s="13">
        <v>0</v>
      </c>
      <c r="G376" s="6">
        <f t="shared" si="30"/>
        <v>0</v>
      </c>
      <c r="H376" s="4">
        <f t="shared" si="31"/>
        <v>712</v>
      </c>
      <c r="I376" s="11">
        <f t="shared" si="32"/>
        <v>10050.16</v>
      </c>
      <c r="J376" s="4">
        <v>22</v>
      </c>
      <c r="K376" s="13">
        <v>311.04999999999995</v>
      </c>
      <c r="L376" s="4">
        <f t="shared" si="33"/>
        <v>690</v>
      </c>
      <c r="M376" s="13">
        <f t="shared" si="34"/>
        <v>9739.11</v>
      </c>
      <c r="N376" s="7">
        <f t="shared" si="35"/>
        <v>31.310432406365543</v>
      </c>
    </row>
    <row r="377" spans="1:14" x14ac:dyDescent="0.25">
      <c r="A377" s="67" t="s">
        <v>516</v>
      </c>
      <c r="B377" s="68" t="s">
        <v>515</v>
      </c>
      <c r="C377" s="3">
        <v>812</v>
      </c>
      <c r="D377" s="13">
        <v>11623.65</v>
      </c>
      <c r="E377" s="4">
        <v>0</v>
      </c>
      <c r="F377" s="13">
        <v>0</v>
      </c>
      <c r="G377" s="6">
        <f t="shared" si="30"/>
        <v>0</v>
      </c>
      <c r="H377" s="4">
        <f t="shared" si="31"/>
        <v>812</v>
      </c>
      <c r="I377" s="11">
        <f t="shared" si="32"/>
        <v>11623.65</v>
      </c>
      <c r="J377" s="4">
        <v>260</v>
      </c>
      <c r="K377" s="13">
        <v>3686.8999999999996</v>
      </c>
      <c r="L377" s="4">
        <f t="shared" si="33"/>
        <v>552</v>
      </c>
      <c r="M377" s="13">
        <f t="shared" si="34"/>
        <v>7936.75</v>
      </c>
      <c r="N377" s="7">
        <f t="shared" si="35"/>
        <v>2.1526892511323878</v>
      </c>
    </row>
    <row r="378" spans="1:14" x14ac:dyDescent="0.25">
      <c r="A378" s="67" t="s">
        <v>387</v>
      </c>
      <c r="B378" s="68" t="s">
        <v>386</v>
      </c>
      <c r="C378" s="3">
        <v>262</v>
      </c>
      <c r="D378" s="13">
        <v>11758.17</v>
      </c>
      <c r="E378" s="4">
        <v>0</v>
      </c>
      <c r="F378" s="13">
        <v>0</v>
      </c>
      <c r="G378" s="6">
        <f t="shared" si="30"/>
        <v>0</v>
      </c>
      <c r="H378" s="4">
        <f t="shared" si="31"/>
        <v>262</v>
      </c>
      <c r="I378" s="11">
        <f t="shared" si="32"/>
        <v>11758.17</v>
      </c>
      <c r="J378" s="4">
        <v>3</v>
      </c>
      <c r="K378" s="13">
        <v>119.4</v>
      </c>
      <c r="L378" s="4">
        <f t="shared" si="33"/>
        <v>259</v>
      </c>
      <c r="M378" s="13">
        <f t="shared" si="34"/>
        <v>11638.77</v>
      </c>
      <c r="N378" s="7">
        <f t="shared" si="35"/>
        <v>97.47713567839196</v>
      </c>
    </row>
    <row r="379" spans="1:14" x14ac:dyDescent="0.25">
      <c r="A379" s="67" t="s">
        <v>415</v>
      </c>
      <c r="B379" s="68" t="s">
        <v>414</v>
      </c>
      <c r="C379" s="3">
        <v>767</v>
      </c>
      <c r="D379" s="13">
        <v>9604.4000000000015</v>
      </c>
      <c r="E379" s="4">
        <v>0</v>
      </c>
      <c r="F379" s="13">
        <v>0</v>
      </c>
      <c r="G379" s="6">
        <f t="shared" si="30"/>
        <v>0</v>
      </c>
      <c r="H379" s="4">
        <f t="shared" si="31"/>
        <v>767</v>
      </c>
      <c r="I379" s="11">
        <f t="shared" si="32"/>
        <v>9604.4000000000015</v>
      </c>
      <c r="J379" s="4">
        <v>13</v>
      </c>
      <c r="K379" s="13">
        <v>149.76999999999998</v>
      </c>
      <c r="L379" s="4">
        <f t="shared" si="33"/>
        <v>754</v>
      </c>
      <c r="M379" s="13">
        <f t="shared" si="34"/>
        <v>9454.630000000001</v>
      </c>
      <c r="N379" s="7">
        <f t="shared" si="35"/>
        <v>63.127662415704094</v>
      </c>
    </row>
    <row r="380" spans="1:14" x14ac:dyDescent="0.25">
      <c r="A380" s="67" t="s">
        <v>453</v>
      </c>
      <c r="B380" s="68" t="s">
        <v>452</v>
      </c>
      <c r="C380" s="3">
        <v>158</v>
      </c>
      <c r="D380" s="13">
        <v>4331.25</v>
      </c>
      <c r="E380" s="4">
        <v>0</v>
      </c>
      <c r="F380" s="13">
        <v>0</v>
      </c>
      <c r="G380" s="6">
        <f t="shared" si="30"/>
        <v>0</v>
      </c>
      <c r="H380" s="4">
        <f t="shared" si="31"/>
        <v>158</v>
      </c>
      <c r="I380" s="11">
        <f t="shared" si="32"/>
        <v>4331.25</v>
      </c>
      <c r="J380" s="4">
        <v>0</v>
      </c>
      <c r="K380" s="13">
        <v>0</v>
      </c>
      <c r="L380" s="4">
        <f t="shared" si="33"/>
        <v>158</v>
      </c>
      <c r="M380" s="13">
        <f t="shared" si="34"/>
        <v>4331.25</v>
      </c>
      <c r="N380" s="7"/>
    </row>
    <row r="381" spans="1:14" x14ac:dyDescent="0.25">
      <c r="A381" s="67" t="s">
        <v>455</v>
      </c>
      <c r="B381" s="68" t="s">
        <v>454</v>
      </c>
      <c r="C381" s="3">
        <v>440</v>
      </c>
      <c r="D381" s="13">
        <v>6675.9400000000005</v>
      </c>
      <c r="E381" s="4">
        <v>0</v>
      </c>
      <c r="F381" s="13">
        <v>0</v>
      </c>
      <c r="G381" s="6">
        <f t="shared" si="30"/>
        <v>0</v>
      </c>
      <c r="H381" s="4">
        <f t="shared" si="31"/>
        <v>440</v>
      </c>
      <c r="I381" s="11">
        <f t="shared" si="32"/>
        <v>6675.9400000000005</v>
      </c>
      <c r="J381" s="4">
        <v>0</v>
      </c>
      <c r="K381" s="13">
        <v>0</v>
      </c>
      <c r="L381" s="4">
        <f t="shared" si="33"/>
        <v>440</v>
      </c>
      <c r="M381" s="13">
        <f t="shared" si="34"/>
        <v>6675.9400000000005</v>
      </c>
      <c r="N381" s="7"/>
    </row>
    <row r="382" spans="1:14" x14ac:dyDescent="0.25">
      <c r="A382" s="67" t="s">
        <v>469</v>
      </c>
      <c r="B382" s="68" t="s">
        <v>468</v>
      </c>
      <c r="C382" s="3">
        <v>111</v>
      </c>
      <c r="D382" s="13">
        <v>2828.42</v>
      </c>
      <c r="E382" s="4">
        <v>0</v>
      </c>
      <c r="F382" s="13">
        <v>0</v>
      </c>
      <c r="G382" s="6">
        <f t="shared" si="30"/>
        <v>0</v>
      </c>
      <c r="H382" s="4">
        <f t="shared" si="31"/>
        <v>111</v>
      </c>
      <c r="I382" s="11">
        <f t="shared" si="32"/>
        <v>2828.42</v>
      </c>
      <c r="J382" s="4">
        <v>0</v>
      </c>
      <c r="K382" s="13">
        <v>0</v>
      </c>
      <c r="L382" s="4">
        <f t="shared" si="33"/>
        <v>111</v>
      </c>
      <c r="M382" s="13">
        <f t="shared" si="34"/>
        <v>2828.42</v>
      </c>
      <c r="N382" s="7"/>
    </row>
    <row r="383" spans="1:14" x14ac:dyDescent="0.25">
      <c r="A383" s="67" t="s">
        <v>463</v>
      </c>
      <c r="B383" s="68" t="s">
        <v>462</v>
      </c>
      <c r="C383" s="3">
        <v>139</v>
      </c>
      <c r="D383" s="13">
        <v>2643.7300000000014</v>
      </c>
      <c r="E383" s="4">
        <v>0</v>
      </c>
      <c r="F383" s="13">
        <v>0</v>
      </c>
      <c r="G383" s="6">
        <f t="shared" si="30"/>
        <v>0</v>
      </c>
      <c r="H383" s="4">
        <f t="shared" si="31"/>
        <v>139</v>
      </c>
      <c r="I383" s="11">
        <f t="shared" si="32"/>
        <v>2643.7300000000014</v>
      </c>
      <c r="J383" s="4">
        <v>0</v>
      </c>
      <c r="K383" s="13">
        <v>0</v>
      </c>
      <c r="L383" s="4">
        <f t="shared" si="33"/>
        <v>139</v>
      </c>
      <c r="M383" s="13">
        <f t="shared" si="34"/>
        <v>2643.7300000000014</v>
      </c>
      <c r="N383" s="7"/>
    </row>
    <row r="384" spans="1:14" x14ac:dyDescent="0.25">
      <c r="A384" s="67" t="s">
        <v>391</v>
      </c>
      <c r="B384" s="68" t="s">
        <v>390</v>
      </c>
      <c r="C384" s="3">
        <v>53</v>
      </c>
      <c r="D384" s="13">
        <v>4876.880000000001</v>
      </c>
      <c r="E384" s="4">
        <v>0</v>
      </c>
      <c r="F384" s="13">
        <v>0</v>
      </c>
      <c r="G384" s="6">
        <f t="shared" si="30"/>
        <v>0</v>
      </c>
      <c r="H384" s="4">
        <f t="shared" si="31"/>
        <v>53</v>
      </c>
      <c r="I384" s="11">
        <f t="shared" si="32"/>
        <v>4876.880000000001</v>
      </c>
      <c r="J384" s="4">
        <v>2</v>
      </c>
      <c r="K384" s="13">
        <v>234.13999999999942</v>
      </c>
      <c r="L384" s="4">
        <f t="shared" si="33"/>
        <v>51</v>
      </c>
      <c r="M384" s="13">
        <f t="shared" si="34"/>
        <v>4642.7400000000016</v>
      </c>
      <c r="N384" s="7">
        <f t="shared" si="35"/>
        <v>19.828905782865007</v>
      </c>
    </row>
    <row r="385" spans="1:14" x14ac:dyDescent="0.25">
      <c r="A385" s="67" t="s">
        <v>477</v>
      </c>
      <c r="B385" s="68" t="s">
        <v>476</v>
      </c>
      <c r="C385" s="3">
        <v>170</v>
      </c>
      <c r="D385" s="13">
        <v>4732.2700000000004</v>
      </c>
      <c r="E385" s="4">
        <v>479</v>
      </c>
      <c r="F385" s="13">
        <v>19081.600000000479</v>
      </c>
      <c r="G385" s="6">
        <f t="shared" si="30"/>
        <v>0.80128093417827906</v>
      </c>
      <c r="H385" s="4">
        <f t="shared" si="31"/>
        <v>649</v>
      </c>
      <c r="I385" s="11">
        <f t="shared" si="32"/>
        <v>23813.870000000479</v>
      </c>
      <c r="J385" s="4">
        <v>983</v>
      </c>
      <c r="K385" s="13">
        <v>30243.43</v>
      </c>
      <c r="L385" s="4">
        <f t="shared" si="33"/>
        <v>-334</v>
      </c>
      <c r="M385" s="13">
        <f t="shared" si="34"/>
        <v>-6429.5599999995211</v>
      </c>
      <c r="N385" s="7">
        <f t="shared" si="35"/>
        <v>-0.21259361124050813</v>
      </c>
    </row>
    <row r="386" spans="1:14" x14ac:dyDescent="0.25">
      <c r="A386" s="67" t="s">
        <v>11</v>
      </c>
      <c r="B386" s="68" t="s">
        <v>10</v>
      </c>
      <c r="C386" s="3">
        <v>2200</v>
      </c>
      <c r="D386" s="13">
        <v>31212.959999999999</v>
      </c>
      <c r="E386" s="4">
        <v>0</v>
      </c>
      <c r="F386" s="13">
        <v>0</v>
      </c>
      <c r="G386" s="6">
        <f t="shared" si="30"/>
        <v>0</v>
      </c>
      <c r="H386" s="4">
        <f t="shared" si="31"/>
        <v>2200</v>
      </c>
      <c r="I386" s="11">
        <f>D386+F386</f>
        <v>31212.959999999999</v>
      </c>
      <c r="J386" s="4">
        <v>0</v>
      </c>
      <c r="K386" s="13">
        <v>0</v>
      </c>
      <c r="L386" s="4">
        <f t="shared" si="33"/>
        <v>2200</v>
      </c>
      <c r="M386" s="13">
        <f t="shared" si="34"/>
        <v>31212.959999999999</v>
      </c>
      <c r="N386" s="7"/>
    </row>
    <row r="387" spans="1:14" ht="15.75" thickBot="1" x14ac:dyDescent="0.3">
      <c r="A387" s="69" t="s">
        <v>571</v>
      </c>
      <c r="B387" s="70"/>
      <c r="C387" s="43">
        <v>22001</v>
      </c>
      <c r="D387" s="14">
        <v>352805.6200000004</v>
      </c>
      <c r="E387" s="8">
        <v>659</v>
      </c>
      <c r="F387" s="14">
        <v>29321.55000000057</v>
      </c>
      <c r="G387" s="9">
        <f t="shared" ref="G387" si="36">F387/I387</f>
        <v>7.6732439622130236E-2</v>
      </c>
      <c r="H387" s="8">
        <f t="shared" ref="H387" si="37">C387+E387</f>
        <v>22660</v>
      </c>
      <c r="I387" s="12">
        <f t="shared" ref="I387" si="38">D387+F387</f>
        <v>382127.17000000097</v>
      </c>
      <c r="J387" s="8">
        <v>57497</v>
      </c>
      <c r="K387" s="12">
        <v>912460.95999999833</v>
      </c>
      <c r="L387" s="8">
        <f t="shared" si="33"/>
        <v>-34837</v>
      </c>
      <c r="M387" s="44">
        <f>I387-K387</f>
        <v>-530333.78999999736</v>
      </c>
      <c r="N387" s="45">
        <f>M387/ABS(K387)</f>
        <v>-0.58121258141279641</v>
      </c>
    </row>
  </sheetData>
  <autoFilter ref="A1:N387" xr:uid="{B90C9A5E-8D2A-4B97-8688-1FECFFC4D1D7}"/>
  <phoneticPr fontId="5" type="noConversion"/>
  <conditionalFormatting sqref="L2:N387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A736-6A48-4BB3-BCFF-6E3444D0333B}">
  <dimension ref="A1:N4"/>
  <sheetViews>
    <sheetView tabSelected="1" zoomScale="130" zoomScaleNormal="130" workbookViewId="0">
      <selection activeCell="C9" sqref="C9"/>
    </sheetView>
  </sheetViews>
  <sheetFormatPr defaultRowHeight="15" x14ac:dyDescent="0.25"/>
  <cols>
    <col min="1" max="1" width="18.28515625" bestFit="1" customWidth="1"/>
    <col min="2" max="2" width="12.140625" customWidth="1"/>
    <col min="3" max="3" width="17.42578125" style="90" bestFit="1" customWidth="1"/>
    <col min="4" max="4" width="23.28515625" style="92" bestFit="1" customWidth="1"/>
    <col min="5" max="5" width="12.140625" bestFit="1" customWidth="1"/>
    <col min="6" max="6" width="19.28515625" style="25" bestFit="1" customWidth="1"/>
    <col min="7" max="7" width="29.42578125" bestFit="1" customWidth="1"/>
    <col min="8" max="8" width="20.42578125" bestFit="1" customWidth="1"/>
    <col min="9" max="9" width="27.5703125" style="25" bestFit="1" customWidth="1"/>
    <col min="10" max="10" width="16.140625" bestFit="1" customWidth="1"/>
    <col min="11" max="11" width="21.85546875" style="25" bestFit="1" customWidth="1"/>
    <col min="12" max="12" width="16.42578125" bestFit="1" customWidth="1"/>
    <col min="13" max="13" width="18.28515625" style="25" bestFit="1" customWidth="1"/>
    <col min="14" max="14" width="18.85546875" bestFit="1" customWidth="1"/>
  </cols>
  <sheetData>
    <row r="1" spans="1:14" s="3" customFormat="1" ht="31.5" customHeight="1" thickBot="1" x14ac:dyDescent="0.3">
      <c r="A1" s="126"/>
      <c r="B1" s="127"/>
      <c r="C1" s="86" t="s">
        <v>829</v>
      </c>
      <c r="D1" s="91" t="s">
        <v>790</v>
      </c>
      <c r="E1" s="60" t="s">
        <v>791</v>
      </c>
      <c r="F1" s="53" t="s">
        <v>792</v>
      </c>
      <c r="G1" s="62" t="s">
        <v>799</v>
      </c>
      <c r="H1" s="60" t="s">
        <v>793</v>
      </c>
      <c r="I1" s="53" t="s">
        <v>794</v>
      </c>
      <c r="J1" s="54" t="s">
        <v>795</v>
      </c>
      <c r="K1" s="55" t="s">
        <v>796</v>
      </c>
      <c r="L1" s="57" t="s">
        <v>802</v>
      </c>
      <c r="M1" s="58" t="s">
        <v>803</v>
      </c>
      <c r="N1" s="59" t="s">
        <v>804</v>
      </c>
    </row>
    <row r="2" spans="1:14" s="3" customFormat="1" x14ac:dyDescent="0.25">
      <c r="A2" s="120" t="s">
        <v>826</v>
      </c>
      <c r="B2" s="121"/>
      <c r="C2" s="87">
        <v>43016</v>
      </c>
      <c r="D2" s="93">
        <v>696455.17000000039</v>
      </c>
      <c r="E2" s="87">
        <v>10511</v>
      </c>
      <c r="F2" s="93">
        <v>307972.67999999988</v>
      </c>
      <c r="G2" s="48">
        <f t="shared" ref="G2:G4" si="0">F2/I2</f>
        <v>0.30661503461896211</v>
      </c>
      <c r="H2" s="87">
        <v>53527</v>
      </c>
      <c r="I2" s="93">
        <v>1004427.8500000007</v>
      </c>
      <c r="J2" s="87">
        <v>132134</v>
      </c>
      <c r="K2" s="93">
        <v>2052605.2199999986</v>
      </c>
      <c r="L2" s="87">
        <f t="shared" ref="L2:M3" si="1">H2-J2</f>
        <v>-78607</v>
      </c>
      <c r="M2" s="93">
        <f t="shared" si="1"/>
        <v>-1048177.3699999979</v>
      </c>
      <c r="N2" s="63">
        <f t="shared" ref="N2" si="2">M2/K2</f>
        <v>-0.51065707121216353</v>
      </c>
    </row>
    <row r="3" spans="1:14" s="31" customFormat="1" x14ac:dyDescent="0.25">
      <c r="A3" s="122" t="s">
        <v>828</v>
      </c>
      <c r="B3" s="123"/>
      <c r="C3" s="88">
        <v>21015</v>
      </c>
      <c r="D3" s="94">
        <v>343649.55</v>
      </c>
      <c r="E3" s="87">
        <v>9852</v>
      </c>
      <c r="F3" s="94">
        <v>278651.12999999931</v>
      </c>
      <c r="G3" s="47">
        <f t="shared" si="0"/>
        <v>0.44777571189541343</v>
      </c>
      <c r="H3" s="87">
        <v>30867</v>
      </c>
      <c r="I3" s="94">
        <v>622300.67999999877</v>
      </c>
      <c r="J3" s="87">
        <v>74637</v>
      </c>
      <c r="K3" s="94">
        <v>1140144.2600000002</v>
      </c>
      <c r="L3" s="87">
        <f t="shared" si="1"/>
        <v>-43770</v>
      </c>
      <c r="M3" s="94">
        <f>I3-K3</f>
        <v>-517843.58000000147</v>
      </c>
      <c r="N3" s="64">
        <f t="shared" ref="N3" si="3">M3/ABS(K3)</f>
        <v>-0.45419127926846853</v>
      </c>
    </row>
    <row r="4" spans="1:14" s="3" customFormat="1" ht="15.75" thickBot="1" x14ac:dyDescent="0.3">
      <c r="A4" s="124" t="s">
        <v>827</v>
      </c>
      <c r="B4" s="125"/>
      <c r="C4" s="89">
        <v>22001</v>
      </c>
      <c r="D4" s="95">
        <v>352805.6200000004</v>
      </c>
      <c r="E4" s="87">
        <v>659</v>
      </c>
      <c r="F4" s="95">
        <v>29321.55000000057</v>
      </c>
      <c r="G4" s="46">
        <f t="shared" si="0"/>
        <v>7.6732439622130236E-2</v>
      </c>
      <c r="H4" s="87">
        <f t="shared" ref="H4:I4" si="4">C4+E4</f>
        <v>22660</v>
      </c>
      <c r="I4" s="95">
        <f t="shared" si="4"/>
        <v>382127.17000000097</v>
      </c>
      <c r="J4" s="87">
        <v>57497</v>
      </c>
      <c r="K4" s="95">
        <v>912460.95999999833</v>
      </c>
      <c r="L4" s="87">
        <f>H4-J4</f>
        <v>-34837</v>
      </c>
      <c r="M4" s="95">
        <f>I4-K4</f>
        <v>-530333.78999999736</v>
      </c>
      <c r="N4" s="65">
        <f>M4/ABS(K4)</f>
        <v>-0.58121258141279641</v>
      </c>
    </row>
  </sheetData>
  <mergeCells count="4">
    <mergeCell ref="A2:B2"/>
    <mergeCell ref="A3:B3"/>
    <mergeCell ref="A4:B4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ds_ALL_MP</vt:lpstr>
      <vt:lpstr>ds_IT</vt:lpstr>
      <vt:lpstr>pivot_ALL_MP</vt:lpstr>
      <vt:lpstr>pivot_IT</vt:lpstr>
      <vt:lpstr>analisi_ALL_MP</vt:lpstr>
      <vt:lpstr>analisi_IT</vt:lpstr>
      <vt:lpstr>analisi_ESTERO</vt:lpstr>
      <vt:lpstr>RIEPILOGATIVO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</dc:creator>
  <cp:lastModifiedBy>Filippo Bosetto - Beper Srl</cp:lastModifiedBy>
  <dcterms:created xsi:type="dcterms:W3CDTF">2015-06-05T18:17:20Z</dcterms:created>
  <dcterms:modified xsi:type="dcterms:W3CDTF">2024-04-19T10:28:11Z</dcterms:modified>
</cp:coreProperties>
</file>